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6"/>
  <workbookPr defaultThemeVersion="202300"/>
  <mc:AlternateContent xmlns:mc="http://schemas.openxmlformats.org/markup-compatibility/2006">
    <mc:Choice Requires="x15">
      <x15ac:absPath xmlns:x15ac="http://schemas.microsoft.com/office/spreadsheetml/2010/11/ac" url="https://tmpl365.sharepoint.com/sites/DCaCS_o365/Shared Documents/DCS-Central/PMR 2025/"/>
    </mc:Choice>
  </mc:AlternateContent>
  <xr:revisionPtr revIDLastSave="4189" documentId="8_{816BF947-49C8-4F08-A53B-6099A9F99DEC}" xr6:coauthVersionLast="47" xr6:coauthVersionMax="47" xr10:uidLastSave="{1825E5D9-F779-BF45-813F-11FE8D97F7FF}"/>
  <bookViews>
    <workbookView xWindow="0" yWindow="680" windowWidth="30240" windowHeight="17320" tabRatio="849" activeTab="5" xr2:uid="{744FFB46-9868-4DDB-ADE9-5F7E005507A4}"/>
  </bookViews>
  <sheets>
    <sheet name="About PMR" sheetId="14" r:id="rId1"/>
    <sheet name="Table of contents" sheetId="16" r:id="rId2"/>
    <sheet name="Summary" sheetId="12" r:id="rId3"/>
    <sheet name="Poland" sheetId="2" r:id="rId4"/>
    <sheet name="Austria" sheetId="9" r:id="rId5"/>
    <sheet name="Greece" sheetId="4" r:id="rId6"/>
    <sheet name="Czech Republic" sheetId="10" r:id="rId7"/>
    <sheet name="Hungary" sheetId="11" r:id="rId8"/>
    <sheet name="Slovakia" sheetId="8" r:id="rId9"/>
    <sheet name="Croatia" sheetId="6" r:id="rId10"/>
    <sheet name="Vertical split" sheetId="18" r:id="rId11"/>
    <sheet name="Methodology" sheetId="17" r:id="rId12"/>
    <sheet name="Contacts details" sheetId="15" r:id="rId13"/>
  </sheets>
  <externalReferences>
    <externalReference r:id="rId14"/>
    <externalReference r:id="rId15"/>
  </externalReferences>
  <definedNames>
    <definedName name="_xlnm._FilterDatabase" localSheetId="4" hidden="1">Austria!$E$178:$P$206</definedName>
    <definedName name="_xlnm._FilterDatabase" localSheetId="9" hidden="1">Croatia!$E$178:$P$206</definedName>
    <definedName name="_xlnm._FilterDatabase" localSheetId="6" hidden="1">'Czech Republic'!$E$178:$P$206</definedName>
    <definedName name="_xlnm._FilterDatabase" localSheetId="5" hidden="1">Greece!$E$184:$P$212</definedName>
    <definedName name="_xlnm._FilterDatabase" localSheetId="7" hidden="1">Hungary!$E$178:$P$206</definedName>
    <definedName name="_xlnm._FilterDatabase" localSheetId="3" hidden="1">Poland!$E$178:$P$204</definedName>
    <definedName name="_xlnm._FilterDatabase" localSheetId="8" hidden="1">Slovakia!$E$178:$P$206</definedName>
    <definedName name="_xlnm._FilterDatabase" localSheetId="2" hidden="1">Summary!$E$178:$P$206</definedName>
    <definedName name="Be">[1]lists!$B$4:$B$10</definedName>
    <definedName name="Bu">[1]lists!$C$4:$C$31</definedName>
    <definedName name="Cz">[1]lists!$D$4:$D$17</definedName>
    <definedName name="dw">[2]lists!$D$4:$D$17</definedName>
    <definedName name="dwqdf">[2]lists!$C$4:$C$31</definedName>
    <definedName name="fedf">[2]lists!$G$4:$G$19</definedName>
    <definedName name="H">#REF!</definedName>
    <definedName name="Hu">[1]lists!$E$4:$E$10</definedName>
    <definedName name="I">#REF!</definedName>
    <definedName name="J">#REF!</definedName>
    <definedName name="Ka">[1]lists!$F$4:$F$19</definedName>
    <definedName name="Po">[1]lists!$G$4:$G$19</definedName>
    <definedName name="Ro">[1]lists!$H$4:$H$11</definedName>
    <definedName name="Ru">[1]lists!$I$4:$I$83</definedName>
    <definedName name="Sl">[1]lists!$J$4:$J$11</definedName>
    <definedName name="Slo">[1]lists!$K$4:$K$15</definedName>
    <definedName name="Uk">[1]lists!$L$4:$L$30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20" i="12" l="1"/>
  <c r="O120" i="12"/>
  <c r="N120" i="12"/>
  <c r="M120" i="12"/>
  <c r="L120" i="12"/>
  <c r="K120" i="12"/>
  <c r="J120" i="12"/>
  <c r="I120" i="12"/>
  <c r="H120" i="12"/>
  <c r="G120" i="12"/>
  <c r="F120" i="12"/>
  <c r="E120" i="12"/>
  <c r="D120" i="12"/>
  <c r="C120" i="12"/>
  <c r="P118" i="12"/>
  <c r="O118" i="12"/>
  <c r="N118" i="12"/>
  <c r="M118" i="12"/>
  <c r="L118" i="12"/>
  <c r="K118" i="12"/>
  <c r="J118" i="12"/>
  <c r="I118" i="12"/>
  <c r="H118" i="12"/>
  <c r="G118" i="12"/>
  <c r="F118" i="12"/>
  <c r="E118" i="12"/>
  <c r="D118" i="12"/>
  <c r="C118" i="12"/>
  <c r="P116" i="12"/>
  <c r="O116" i="12"/>
  <c r="N116" i="12"/>
  <c r="M116" i="12"/>
  <c r="L116" i="12"/>
  <c r="K116" i="12"/>
  <c r="J116" i="12"/>
  <c r="I116" i="12"/>
  <c r="H116" i="12"/>
  <c r="G116" i="12"/>
  <c r="F116" i="12"/>
  <c r="E116" i="12"/>
  <c r="D116" i="12"/>
  <c r="C116" i="12"/>
  <c r="J59" i="8"/>
  <c r="J202" i="18"/>
  <c r="P74" i="4"/>
  <c r="P43" i="8"/>
  <c r="B111" i="9"/>
  <c r="B43" i="9"/>
  <c r="B145" i="11"/>
  <c r="B115" i="9"/>
  <c r="P177" i="4"/>
  <c r="F59" i="4"/>
  <c r="P108" i="9"/>
  <c r="C110" i="9"/>
  <c r="J366" i="18"/>
  <c r="J369" i="18"/>
  <c r="J370" i="18"/>
  <c r="J372" i="18"/>
  <c r="I153" i="18"/>
  <c r="J151" i="18"/>
  <c r="I99" i="18"/>
  <c r="J99" i="18"/>
  <c r="B362" i="18"/>
  <c r="C362" i="18"/>
  <c r="D362" i="18"/>
  <c r="E362" i="18"/>
  <c r="F362" i="18"/>
  <c r="G362" i="18"/>
  <c r="H362" i="18"/>
  <c r="I362" i="18"/>
  <c r="J362" i="18"/>
  <c r="B363" i="18"/>
  <c r="C363" i="18"/>
  <c r="D363" i="18"/>
  <c r="E363" i="18"/>
  <c r="F363" i="18"/>
  <c r="G363" i="18"/>
  <c r="H363" i="18"/>
  <c r="I363" i="18"/>
  <c r="J363" i="18"/>
  <c r="B364" i="18"/>
  <c r="C364" i="18"/>
  <c r="D364" i="18"/>
  <c r="E364" i="18"/>
  <c r="F364" i="18"/>
  <c r="G364" i="18"/>
  <c r="H364" i="18"/>
  <c r="I364" i="18"/>
  <c r="J364" i="18"/>
  <c r="B365" i="18"/>
  <c r="C365" i="18"/>
  <c r="D365" i="18"/>
  <c r="E365" i="18"/>
  <c r="F365" i="18"/>
  <c r="G365" i="18"/>
  <c r="H365" i="18"/>
  <c r="I365" i="18"/>
  <c r="J365" i="18"/>
  <c r="B366" i="18"/>
  <c r="C366" i="18"/>
  <c r="D366" i="18"/>
  <c r="E366" i="18"/>
  <c r="F366" i="18"/>
  <c r="G366" i="18"/>
  <c r="H366" i="18"/>
  <c r="I366" i="18"/>
  <c r="B367" i="18"/>
  <c r="C367" i="18"/>
  <c r="D367" i="18"/>
  <c r="E367" i="18"/>
  <c r="F367" i="18"/>
  <c r="G367" i="18"/>
  <c r="H367" i="18"/>
  <c r="I367" i="18"/>
  <c r="J367" i="18"/>
  <c r="B368" i="18"/>
  <c r="C368" i="18"/>
  <c r="D368" i="18"/>
  <c r="E368" i="18"/>
  <c r="F368" i="18"/>
  <c r="G368" i="18"/>
  <c r="H368" i="18"/>
  <c r="I368" i="18"/>
  <c r="J368" i="18"/>
  <c r="B369" i="18"/>
  <c r="C369" i="18"/>
  <c r="D369" i="18"/>
  <c r="E369" i="18"/>
  <c r="F369" i="18"/>
  <c r="G369" i="18"/>
  <c r="H369" i="18"/>
  <c r="I369" i="18"/>
  <c r="B370" i="18"/>
  <c r="C370" i="18"/>
  <c r="D370" i="18"/>
  <c r="E370" i="18"/>
  <c r="F370" i="18"/>
  <c r="G370" i="18"/>
  <c r="H370" i="18"/>
  <c r="I370" i="18"/>
  <c r="B371" i="18"/>
  <c r="C371" i="18"/>
  <c r="D371" i="18"/>
  <c r="E371" i="18"/>
  <c r="F371" i="18"/>
  <c r="G371" i="18"/>
  <c r="H371" i="18"/>
  <c r="I371" i="18"/>
  <c r="J371" i="18"/>
  <c r="B372" i="18"/>
  <c r="C372" i="18"/>
  <c r="D372" i="18"/>
  <c r="E372" i="18"/>
  <c r="F372" i="18"/>
  <c r="G372" i="18"/>
  <c r="H372" i="18"/>
  <c r="I372" i="18"/>
  <c r="B309" i="18"/>
  <c r="C309" i="18"/>
  <c r="D309" i="18"/>
  <c r="E309" i="18"/>
  <c r="F309" i="18"/>
  <c r="G309" i="18"/>
  <c r="H309" i="18"/>
  <c r="I309" i="18"/>
  <c r="J309" i="18"/>
  <c r="B310" i="18"/>
  <c r="C310" i="18"/>
  <c r="D310" i="18"/>
  <c r="E310" i="18"/>
  <c r="F310" i="18"/>
  <c r="G310" i="18"/>
  <c r="H310" i="18"/>
  <c r="I310" i="18"/>
  <c r="J310" i="18"/>
  <c r="B311" i="18"/>
  <c r="C311" i="18"/>
  <c r="D311" i="18"/>
  <c r="E311" i="18"/>
  <c r="F311" i="18"/>
  <c r="G311" i="18"/>
  <c r="H311" i="18"/>
  <c r="I311" i="18"/>
  <c r="J311" i="18"/>
  <c r="B312" i="18"/>
  <c r="C312" i="18"/>
  <c r="D312" i="18"/>
  <c r="E312" i="18"/>
  <c r="F312" i="18"/>
  <c r="G312" i="18"/>
  <c r="H312" i="18"/>
  <c r="I312" i="18"/>
  <c r="J312" i="18"/>
  <c r="B313" i="18"/>
  <c r="C313" i="18"/>
  <c r="D313" i="18"/>
  <c r="E313" i="18"/>
  <c r="F313" i="18"/>
  <c r="G313" i="18"/>
  <c r="H313" i="18"/>
  <c r="I313" i="18"/>
  <c r="J313" i="18"/>
  <c r="B314" i="18"/>
  <c r="C314" i="18"/>
  <c r="D314" i="18"/>
  <c r="E314" i="18"/>
  <c r="F314" i="18"/>
  <c r="G314" i="18"/>
  <c r="H314" i="18"/>
  <c r="I314" i="18"/>
  <c r="J314" i="18"/>
  <c r="B315" i="18"/>
  <c r="C315" i="18"/>
  <c r="D315" i="18"/>
  <c r="E315" i="18"/>
  <c r="F315" i="18"/>
  <c r="G315" i="18"/>
  <c r="H315" i="18"/>
  <c r="I315" i="18"/>
  <c r="J315" i="18"/>
  <c r="B316" i="18"/>
  <c r="C316" i="18"/>
  <c r="D316" i="18"/>
  <c r="E316" i="18"/>
  <c r="F316" i="18"/>
  <c r="G316" i="18"/>
  <c r="H316" i="18"/>
  <c r="I316" i="18"/>
  <c r="J316" i="18"/>
  <c r="B317" i="18"/>
  <c r="C317" i="18"/>
  <c r="D317" i="18"/>
  <c r="E317" i="18"/>
  <c r="F317" i="18"/>
  <c r="G317" i="18"/>
  <c r="H317" i="18"/>
  <c r="I317" i="18"/>
  <c r="J317" i="18"/>
  <c r="B318" i="18"/>
  <c r="C318" i="18"/>
  <c r="D318" i="18"/>
  <c r="E318" i="18"/>
  <c r="F318" i="18"/>
  <c r="G318" i="18"/>
  <c r="H318" i="18"/>
  <c r="I318" i="18"/>
  <c r="J318" i="18"/>
  <c r="B319" i="18"/>
  <c r="C319" i="18"/>
  <c r="D319" i="18"/>
  <c r="E319" i="18"/>
  <c r="F319" i="18"/>
  <c r="G319" i="18"/>
  <c r="H319" i="18"/>
  <c r="I319" i="18"/>
  <c r="J319" i="18"/>
  <c r="B256" i="18"/>
  <c r="C256" i="18"/>
  <c r="D256" i="18"/>
  <c r="E256" i="18"/>
  <c r="F256" i="18"/>
  <c r="G256" i="18"/>
  <c r="H256" i="18"/>
  <c r="I256" i="18"/>
  <c r="J256" i="18"/>
  <c r="B257" i="18"/>
  <c r="C257" i="18"/>
  <c r="D257" i="18"/>
  <c r="E257" i="18"/>
  <c r="F257" i="18"/>
  <c r="G257" i="18"/>
  <c r="H257" i="18"/>
  <c r="I257" i="18"/>
  <c r="J257" i="18"/>
  <c r="B258" i="18"/>
  <c r="C258" i="18"/>
  <c r="D258" i="18"/>
  <c r="E258" i="18"/>
  <c r="F258" i="18"/>
  <c r="G258" i="18"/>
  <c r="H258" i="18"/>
  <c r="I258" i="18"/>
  <c r="J258" i="18"/>
  <c r="B259" i="18"/>
  <c r="C259" i="18"/>
  <c r="D259" i="18"/>
  <c r="E259" i="18"/>
  <c r="F259" i="18"/>
  <c r="G259" i="18"/>
  <c r="H259" i="18"/>
  <c r="I259" i="18"/>
  <c r="J259" i="18"/>
  <c r="B260" i="18"/>
  <c r="C260" i="18"/>
  <c r="D260" i="18"/>
  <c r="E260" i="18"/>
  <c r="F260" i="18"/>
  <c r="G260" i="18"/>
  <c r="H260" i="18"/>
  <c r="I260" i="18"/>
  <c r="J260" i="18"/>
  <c r="B261" i="18"/>
  <c r="C261" i="18"/>
  <c r="D261" i="18"/>
  <c r="E261" i="18"/>
  <c r="F261" i="18"/>
  <c r="G261" i="18"/>
  <c r="H261" i="18"/>
  <c r="I261" i="18"/>
  <c r="J261" i="18"/>
  <c r="B262" i="18"/>
  <c r="C262" i="18"/>
  <c r="D262" i="18"/>
  <c r="E262" i="18"/>
  <c r="F262" i="18"/>
  <c r="G262" i="18"/>
  <c r="H262" i="18"/>
  <c r="I262" i="18"/>
  <c r="J262" i="18"/>
  <c r="B263" i="18"/>
  <c r="C263" i="18"/>
  <c r="D263" i="18"/>
  <c r="E263" i="18"/>
  <c r="F263" i="18"/>
  <c r="G263" i="18"/>
  <c r="H263" i="18"/>
  <c r="I263" i="18"/>
  <c r="J263" i="18"/>
  <c r="B264" i="18"/>
  <c r="C264" i="18"/>
  <c r="D264" i="18"/>
  <c r="E264" i="18"/>
  <c r="F264" i="18"/>
  <c r="G264" i="18"/>
  <c r="H264" i="18"/>
  <c r="I264" i="18"/>
  <c r="J264" i="18"/>
  <c r="B265" i="18"/>
  <c r="C265" i="18"/>
  <c r="D265" i="18"/>
  <c r="E265" i="18"/>
  <c r="F265" i="18"/>
  <c r="G265" i="18"/>
  <c r="H265" i="18"/>
  <c r="I265" i="18"/>
  <c r="J265" i="18"/>
  <c r="B266" i="18"/>
  <c r="C266" i="18"/>
  <c r="D266" i="18"/>
  <c r="E266" i="18"/>
  <c r="F266" i="18"/>
  <c r="G266" i="18"/>
  <c r="H266" i="18"/>
  <c r="I266" i="18"/>
  <c r="J266" i="18"/>
  <c r="B203" i="18"/>
  <c r="C203" i="18"/>
  <c r="D203" i="18"/>
  <c r="E203" i="18"/>
  <c r="F203" i="18"/>
  <c r="G203" i="18"/>
  <c r="H203" i="18"/>
  <c r="I203" i="18"/>
  <c r="J203" i="18"/>
  <c r="B204" i="18"/>
  <c r="C204" i="18"/>
  <c r="D204" i="18"/>
  <c r="E204" i="18"/>
  <c r="F204" i="18"/>
  <c r="G204" i="18"/>
  <c r="H204" i="18"/>
  <c r="I204" i="18"/>
  <c r="J204" i="18"/>
  <c r="B205" i="18"/>
  <c r="C205" i="18"/>
  <c r="D205" i="18"/>
  <c r="E205" i="18"/>
  <c r="F205" i="18"/>
  <c r="G205" i="18"/>
  <c r="H205" i="18"/>
  <c r="I205" i="18"/>
  <c r="J205" i="18"/>
  <c r="B206" i="18"/>
  <c r="C206" i="18"/>
  <c r="D206" i="18"/>
  <c r="E206" i="18"/>
  <c r="F206" i="18"/>
  <c r="G206" i="18"/>
  <c r="H206" i="18"/>
  <c r="I206" i="18"/>
  <c r="J206" i="18"/>
  <c r="B207" i="18"/>
  <c r="C207" i="18"/>
  <c r="D207" i="18"/>
  <c r="E207" i="18"/>
  <c r="F207" i="18"/>
  <c r="G207" i="18"/>
  <c r="H207" i="18"/>
  <c r="I207" i="18"/>
  <c r="J207" i="18"/>
  <c r="B208" i="18"/>
  <c r="C208" i="18"/>
  <c r="D208" i="18"/>
  <c r="E208" i="18"/>
  <c r="F208" i="18"/>
  <c r="G208" i="18"/>
  <c r="H208" i="18"/>
  <c r="I208" i="18"/>
  <c r="J208" i="18"/>
  <c r="B209" i="18"/>
  <c r="C209" i="18"/>
  <c r="D209" i="18"/>
  <c r="E209" i="18"/>
  <c r="F209" i="18"/>
  <c r="G209" i="18"/>
  <c r="H209" i="18"/>
  <c r="I209" i="18"/>
  <c r="J209" i="18"/>
  <c r="B210" i="18"/>
  <c r="C210" i="18"/>
  <c r="D210" i="18"/>
  <c r="E210" i="18"/>
  <c r="F210" i="18"/>
  <c r="G210" i="18"/>
  <c r="H210" i="18"/>
  <c r="I210" i="18"/>
  <c r="J210" i="18"/>
  <c r="B211" i="18"/>
  <c r="C211" i="18"/>
  <c r="D211" i="18"/>
  <c r="E211" i="18"/>
  <c r="F211" i="18"/>
  <c r="G211" i="18"/>
  <c r="H211" i="18"/>
  <c r="I211" i="18"/>
  <c r="J211" i="18"/>
  <c r="B212" i="18"/>
  <c r="C212" i="18"/>
  <c r="D212" i="18"/>
  <c r="E212" i="18"/>
  <c r="F212" i="18"/>
  <c r="G212" i="18"/>
  <c r="H212" i="18"/>
  <c r="I212" i="18"/>
  <c r="J212" i="18"/>
  <c r="B213" i="18"/>
  <c r="C213" i="18"/>
  <c r="D213" i="18"/>
  <c r="E213" i="18"/>
  <c r="F213" i="18"/>
  <c r="G213" i="18"/>
  <c r="H213" i="18"/>
  <c r="I213" i="18"/>
  <c r="J213" i="18"/>
  <c r="B97" i="18"/>
  <c r="C97" i="18"/>
  <c r="D97" i="18"/>
  <c r="E97" i="18"/>
  <c r="F97" i="18"/>
  <c r="G97" i="18"/>
  <c r="H97" i="18"/>
  <c r="I97" i="18"/>
  <c r="J97" i="18"/>
  <c r="B98" i="18"/>
  <c r="C98" i="18"/>
  <c r="D98" i="18"/>
  <c r="E98" i="18"/>
  <c r="F98" i="18"/>
  <c r="G98" i="18"/>
  <c r="H98" i="18"/>
  <c r="I98" i="18"/>
  <c r="J98" i="18"/>
  <c r="B99" i="18"/>
  <c r="C99" i="18"/>
  <c r="D99" i="18"/>
  <c r="E99" i="18"/>
  <c r="F99" i="18"/>
  <c r="G99" i="18"/>
  <c r="H99" i="18"/>
  <c r="B100" i="18"/>
  <c r="C100" i="18"/>
  <c r="D100" i="18"/>
  <c r="E100" i="18"/>
  <c r="F100" i="18"/>
  <c r="G100" i="18"/>
  <c r="H100" i="18"/>
  <c r="I100" i="18"/>
  <c r="J100" i="18"/>
  <c r="B101" i="18"/>
  <c r="C101" i="18"/>
  <c r="D101" i="18"/>
  <c r="E101" i="18"/>
  <c r="F101" i="18"/>
  <c r="G101" i="18"/>
  <c r="H101" i="18"/>
  <c r="I101" i="18"/>
  <c r="J101" i="18"/>
  <c r="B102" i="18"/>
  <c r="C102" i="18"/>
  <c r="D102" i="18"/>
  <c r="E102" i="18"/>
  <c r="F102" i="18"/>
  <c r="G102" i="18"/>
  <c r="H102" i="18"/>
  <c r="I102" i="18"/>
  <c r="J102" i="18"/>
  <c r="B103" i="18"/>
  <c r="C103" i="18"/>
  <c r="D103" i="18"/>
  <c r="E103" i="18"/>
  <c r="F103" i="18"/>
  <c r="G103" i="18"/>
  <c r="H103" i="18"/>
  <c r="I103" i="18"/>
  <c r="J103" i="18"/>
  <c r="B104" i="18"/>
  <c r="C104" i="18"/>
  <c r="D104" i="18"/>
  <c r="E104" i="18"/>
  <c r="F104" i="18"/>
  <c r="G104" i="18"/>
  <c r="H104" i="18"/>
  <c r="I104" i="18"/>
  <c r="J104" i="18"/>
  <c r="B105" i="18"/>
  <c r="C105" i="18"/>
  <c r="D105" i="18"/>
  <c r="E105" i="18"/>
  <c r="F105" i="18"/>
  <c r="G105" i="18"/>
  <c r="H105" i="18"/>
  <c r="I105" i="18"/>
  <c r="J105" i="18"/>
  <c r="B106" i="18"/>
  <c r="C106" i="18"/>
  <c r="D106" i="18"/>
  <c r="E106" i="18"/>
  <c r="F106" i="18"/>
  <c r="G106" i="18"/>
  <c r="H106" i="18"/>
  <c r="I106" i="18"/>
  <c r="J106" i="18"/>
  <c r="B107" i="18"/>
  <c r="C107" i="18"/>
  <c r="D107" i="18"/>
  <c r="E107" i="18"/>
  <c r="F107" i="18"/>
  <c r="G107" i="18"/>
  <c r="H107" i="18"/>
  <c r="I107" i="18"/>
  <c r="J107" i="18"/>
  <c r="B44" i="18"/>
  <c r="C44" i="18"/>
  <c r="D44" i="18"/>
  <c r="E44" i="18"/>
  <c r="F44" i="18"/>
  <c r="G44" i="18"/>
  <c r="H44" i="18"/>
  <c r="I44" i="18"/>
  <c r="J44" i="18"/>
  <c r="B45" i="18"/>
  <c r="C45" i="18"/>
  <c r="D45" i="18"/>
  <c r="E45" i="18"/>
  <c r="F45" i="18"/>
  <c r="G45" i="18"/>
  <c r="H45" i="18"/>
  <c r="I45" i="18"/>
  <c r="J45" i="18"/>
  <c r="B46" i="18"/>
  <c r="C46" i="18"/>
  <c r="D46" i="18"/>
  <c r="E46" i="18"/>
  <c r="F46" i="18"/>
  <c r="G46" i="18"/>
  <c r="H46" i="18"/>
  <c r="I46" i="18"/>
  <c r="J46" i="18"/>
  <c r="B47" i="18"/>
  <c r="C47" i="18"/>
  <c r="D47" i="18"/>
  <c r="E47" i="18"/>
  <c r="F47" i="18"/>
  <c r="G47" i="18"/>
  <c r="H47" i="18"/>
  <c r="I47" i="18"/>
  <c r="J47" i="18"/>
  <c r="B48" i="18"/>
  <c r="C48" i="18"/>
  <c r="D48" i="18"/>
  <c r="E48" i="18"/>
  <c r="F48" i="18"/>
  <c r="G48" i="18"/>
  <c r="H48" i="18"/>
  <c r="I48" i="18"/>
  <c r="J48" i="18"/>
  <c r="B49" i="18"/>
  <c r="C49" i="18"/>
  <c r="D49" i="18"/>
  <c r="E49" i="18"/>
  <c r="F49" i="18"/>
  <c r="G49" i="18"/>
  <c r="H49" i="18"/>
  <c r="I49" i="18"/>
  <c r="J49" i="18"/>
  <c r="B50" i="18"/>
  <c r="C50" i="18"/>
  <c r="D50" i="18"/>
  <c r="E50" i="18"/>
  <c r="F50" i="18"/>
  <c r="G50" i="18"/>
  <c r="H50" i="18"/>
  <c r="I50" i="18"/>
  <c r="J50" i="18"/>
  <c r="B51" i="18"/>
  <c r="C51" i="18"/>
  <c r="D51" i="18"/>
  <c r="E51" i="18"/>
  <c r="F51" i="18"/>
  <c r="G51" i="18"/>
  <c r="H51" i="18"/>
  <c r="I51" i="18"/>
  <c r="J51" i="18"/>
  <c r="B52" i="18"/>
  <c r="C52" i="18"/>
  <c r="D52" i="18"/>
  <c r="E52" i="18"/>
  <c r="F52" i="18"/>
  <c r="G52" i="18"/>
  <c r="H52" i="18"/>
  <c r="I52" i="18"/>
  <c r="J52" i="18"/>
  <c r="B53" i="18"/>
  <c r="C53" i="18"/>
  <c r="D53" i="18"/>
  <c r="E53" i="18"/>
  <c r="F53" i="18"/>
  <c r="G53" i="18"/>
  <c r="H53" i="18"/>
  <c r="I53" i="18"/>
  <c r="J53" i="18"/>
  <c r="B54" i="18"/>
  <c r="C54" i="18"/>
  <c r="D54" i="18"/>
  <c r="E54" i="18"/>
  <c r="F54" i="18"/>
  <c r="G54" i="18"/>
  <c r="H54" i="18"/>
  <c r="I54" i="18"/>
  <c r="J54" i="18"/>
  <c r="B150" i="18"/>
  <c r="C150" i="18"/>
  <c r="D150" i="18"/>
  <c r="E150" i="18"/>
  <c r="F150" i="18"/>
  <c r="G150" i="18"/>
  <c r="H150" i="18"/>
  <c r="B151" i="18"/>
  <c r="C151" i="18"/>
  <c r="D151" i="18"/>
  <c r="E151" i="18"/>
  <c r="F151" i="18"/>
  <c r="G151" i="18"/>
  <c r="H151" i="18"/>
  <c r="B152" i="18"/>
  <c r="C152" i="18"/>
  <c r="D152" i="18"/>
  <c r="E152" i="18"/>
  <c r="F152" i="18"/>
  <c r="G152" i="18"/>
  <c r="H152" i="18"/>
  <c r="B153" i="18"/>
  <c r="C153" i="18"/>
  <c r="D153" i="18"/>
  <c r="E153" i="18"/>
  <c r="F153" i="18"/>
  <c r="G153" i="18"/>
  <c r="H153" i="18"/>
  <c r="B154" i="18"/>
  <c r="C154" i="18"/>
  <c r="D154" i="18"/>
  <c r="E154" i="18"/>
  <c r="F154" i="18"/>
  <c r="G154" i="18"/>
  <c r="H154" i="18"/>
  <c r="B155" i="18"/>
  <c r="C155" i="18"/>
  <c r="D155" i="18"/>
  <c r="E155" i="18"/>
  <c r="F155" i="18"/>
  <c r="G155" i="18"/>
  <c r="H155" i="18"/>
  <c r="B156" i="18"/>
  <c r="C156" i="18"/>
  <c r="D156" i="18"/>
  <c r="E156" i="18"/>
  <c r="F156" i="18"/>
  <c r="G156" i="18"/>
  <c r="H156" i="18"/>
  <c r="B157" i="18"/>
  <c r="C157" i="18"/>
  <c r="D157" i="18"/>
  <c r="E157" i="18"/>
  <c r="F157" i="18"/>
  <c r="G157" i="18"/>
  <c r="H157" i="18"/>
  <c r="B158" i="18"/>
  <c r="C158" i="18"/>
  <c r="D158" i="18"/>
  <c r="E158" i="18"/>
  <c r="F158" i="18"/>
  <c r="G158" i="18"/>
  <c r="H158" i="18"/>
  <c r="B159" i="18"/>
  <c r="C159" i="18"/>
  <c r="D159" i="18"/>
  <c r="E159" i="18"/>
  <c r="F159" i="18"/>
  <c r="G159" i="18"/>
  <c r="H159" i="18"/>
  <c r="B160" i="18"/>
  <c r="C160" i="18"/>
  <c r="D160" i="18"/>
  <c r="E160" i="18"/>
  <c r="F160" i="18"/>
  <c r="G160" i="18"/>
  <c r="H160" i="18"/>
  <c r="I150" i="18"/>
  <c r="I151" i="18"/>
  <c r="I152" i="18"/>
  <c r="I154" i="18"/>
  <c r="I155" i="18"/>
  <c r="I156" i="18"/>
  <c r="I157" i="18"/>
  <c r="I158" i="18"/>
  <c r="I159" i="18"/>
  <c r="I160" i="18"/>
  <c r="I149" i="18"/>
  <c r="J150" i="18"/>
  <c r="J152" i="18"/>
  <c r="J153" i="18"/>
  <c r="J154" i="18"/>
  <c r="J155" i="18"/>
  <c r="J156" i="18"/>
  <c r="J157" i="18"/>
  <c r="J158" i="18"/>
  <c r="J159" i="18"/>
  <c r="J160" i="18"/>
  <c r="J149" i="18"/>
  <c r="C135" i="12"/>
  <c r="D135" i="12"/>
  <c r="E135" i="12"/>
  <c r="F135" i="12"/>
  <c r="G135" i="12"/>
  <c r="H135" i="12"/>
  <c r="I135" i="12"/>
  <c r="J135" i="12"/>
  <c r="K135" i="12"/>
  <c r="L135" i="12"/>
  <c r="M135" i="12"/>
  <c r="N135" i="12"/>
  <c r="O135" i="12"/>
  <c r="P135" i="12"/>
  <c r="B149" i="18"/>
  <c r="B361" i="18"/>
  <c r="P111" i="6"/>
  <c r="J361" i="18"/>
  <c r="I361" i="18"/>
  <c r="H361" i="18"/>
  <c r="G361" i="18"/>
  <c r="F361" i="18"/>
  <c r="E361" i="18"/>
  <c r="D361" i="18"/>
  <c r="C361" i="18"/>
  <c r="J308" i="18"/>
  <c r="I308" i="18"/>
  <c r="H308" i="18"/>
  <c r="G308" i="18"/>
  <c r="F308" i="18"/>
  <c r="E308" i="18"/>
  <c r="D308" i="18"/>
  <c r="C308" i="18"/>
  <c r="B308" i="18"/>
  <c r="J255" i="18"/>
  <c r="I255" i="18"/>
  <c r="H255" i="18"/>
  <c r="G255" i="18"/>
  <c r="F255" i="18"/>
  <c r="E255" i="18"/>
  <c r="D255" i="18"/>
  <c r="C255" i="18"/>
  <c r="B255" i="18"/>
  <c r="C202" i="18"/>
  <c r="D202" i="18"/>
  <c r="E202" i="18"/>
  <c r="F202" i="18"/>
  <c r="G202" i="18"/>
  <c r="H202" i="18"/>
  <c r="I202" i="18"/>
  <c r="B202" i="18"/>
  <c r="C149" i="18"/>
  <c r="D149" i="18"/>
  <c r="E149" i="18"/>
  <c r="F149" i="18"/>
  <c r="G149" i="18"/>
  <c r="H149" i="18"/>
  <c r="C96" i="18"/>
  <c r="D96" i="18"/>
  <c r="E96" i="18"/>
  <c r="F96" i="18"/>
  <c r="G96" i="18"/>
  <c r="H96" i="18"/>
  <c r="I96" i="18"/>
  <c r="J96" i="18"/>
  <c r="B96" i="18"/>
  <c r="C43" i="18"/>
  <c r="D43" i="18"/>
  <c r="E43" i="18"/>
  <c r="F43" i="18"/>
  <c r="G43" i="18"/>
  <c r="H43" i="18"/>
  <c r="I43" i="18"/>
  <c r="J43" i="18"/>
  <c r="B43" i="18"/>
  <c r="E181" i="12"/>
  <c r="F181" i="12"/>
  <c r="G181" i="12"/>
  <c r="G182" i="12"/>
  <c r="H181" i="12"/>
  <c r="H182" i="12"/>
  <c r="I181" i="12"/>
  <c r="I182" i="12"/>
  <c r="J181" i="12"/>
  <c r="K182" i="12"/>
  <c r="K181" i="12"/>
  <c r="L181" i="12"/>
  <c r="L182" i="12"/>
  <c r="M181" i="12"/>
  <c r="M182" i="12"/>
  <c r="N181" i="12"/>
  <c r="O181" i="12"/>
  <c r="O182" i="12"/>
  <c r="P181" i="12"/>
  <c r="E183" i="12"/>
  <c r="F183" i="12"/>
  <c r="G183" i="12"/>
  <c r="H183" i="12"/>
  <c r="H184" i="12"/>
  <c r="I183" i="12"/>
  <c r="I184" i="12"/>
  <c r="J183" i="12"/>
  <c r="K183" i="12"/>
  <c r="L183" i="12"/>
  <c r="L184" i="12"/>
  <c r="M183" i="12"/>
  <c r="N183" i="12"/>
  <c r="O183" i="12"/>
  <c r="P183" i="12"/>
  <c r="E185" i="12"/>
  <c r="F186" i="12"/>
  <c r="F185" i="12"/>
  <c r="G185" i="12"/>
  <c r="G186" i="12"/>
  <c r="H185" i="12"/>
  <c r="H186" i="12"/>
  <c r="I185" i="12"/>
  <c r="I186" i="12"/>
  <c r="J185" i="12"/>
  <c r="J186" i="12"/>
  <c r="K185" i="12"/>
  <c r="L185" i="12"/>
  <c r="L186" i="12"/>
  <c r="M185" i="12"/>
  <c r="N186" i="12"/>
  <c r="N185" i="12"/>
  <c r="O185" i="12"/>
  <c r="O186" i="12"/>
  <c r="P185" i="12"/>
  <c r="E187" i="12"/>
  <c r="F187" i="12"/>
  <c r="G187" i="12"/>
  <c r="H187" i="12"/>
  <c r="I187" i="12"/>
  <c r="I188" i="12"/>
  <c r="J187" i="12"/>
  <c r="K187" i="12"/>
  <c r="K188" i="12"/>
  <c r="L187" i="12"/>
  <c r="M187" i="12"/>
  <c r="M188" i="12"/>
  <c r="N187" i="12"/>
  <c r="O187" i="12"/>
  <c r="P187" i="12"/>
  <c r="P188" i="12"/>
  <c r="E189" i="12"/>
  <c r="F189" i="12"/>
  <c r="G189" i="12"/>
  <c r="H189" i="12"/>
  <c r="I189" i="12"/>
  <c r="J189" i="12"/>
  <c r="K189" i="12"/>
  <c r="L189" i="12"/>
  <c r="M189" i="12"/>
  <c r="M190" i="12"/>
  <c r="N189" i="12"/>
  <c r="O189" i="12"/>
  <c r="O190" i="12"/>
  <c r="P189" i="12"/>
  <c r="P190" i="12"/>
  <c r="E191" i="12"/>
  <c r="F191" i="12"/>
  <c r="F192" i="12"/>
  <c r="G191" i="12"/>
  <c r="H191" i="12"/>
  <c r="H192" i="12"/>
  <c r="I191" i="12"/>
  <c r="I192" i="12"/>
  <c r="J191" i="12"/>
  <c r="K191" i="12"/>
  <c r="K192" i="12"/>
  <c r="L191" i="12"/>
  <c r="L192" i="12"/>
  <c r="M191" i="12"/>
  <c r="M192" i="12"/>
  <c r="N191" i="12"/>
  <c r="O191" i="12"/>
  <c r="P191" i="12"/>
  <c r="P192" i="12"/>
  <c r="E193" i="12"/>
  <c r="F193" i="12"/>
  <c r="G193" i="12"/>
  <c r="G194" i="12"/>
  <c r="H193" i="12"/>
  <c r="I193" i="12"/>
  <c r="I194" i="12"/>
  <c r="J193" i="12"/>
  <c r="K193" i="12"/>
  <c r="L193" i="12"/>
  <c r="M193" i="12"/>
  <c r="N193" i="12"/>
  <c r="O193" i="12"/>
  <c r="P193" i="12"/>
  <c r="E195" i="12"/>
  <c r="F195" i="12"/>
  <c r="F196" i="12"/>
  <c r="G195" i="12"/>
  <c r="H195" i="12"/>
  <c r="H196" i="12"/>
  <c r="I195" i="12"/>
  <c r="I196" i="12"/>
  <c r="J195" i="12"/>
  <c r="K195" i="12"/>
  <c r="K196" i="12"/>
  <c r="L195" i="12"/>
  <c r="M195" i="12"/>
  <c r="N195" i="12"/>
  <c r="N196" i="12"/>
  <c r="O195" i="12"/>
  <c r="P195" i="12"/>
  <c r="P196" i="12"/>
  <c r="E197" i="12"/>
  <c r="F197" i="12"/>
  <c r="G197" i="12"/>
  <c r="G198" i="12"/>
  <c r="H197" i="12"/>
  <c r="I197" i="12"/>
  <c r="J197" i="12"/>
  <c r="K197" i="12"/>
  <c r="L197" i="12"/>
  <c r="L198" i="12"/>
  <c r="M197" i="12"/>
  <c r="N197" i="12"/>
  <c r="O197" i="12"/>
  <c r="O198" i="12"/>
  <c r="P197" i="12"/>
  <c r="E199" i="12"/>
  <c r="F199" i="12"/>
  <c r="F200" i="12"/>
  <c r="G199" i="12"/>
  <c r="H199" i="12"/>
  <c r="H200" i="12"/>
  <c r="I199" i="12"/>
  <c r="I200" i="12"/>
  <c r="J199" i="12"/>
  <c r="K199" i="12"/>
  <c r="K200" i="12"/>
  <c r="L199" i="12"/>
  <c r="M199" i="12"/>
  <c r="N199" i="12"/>
  <c r="N200" i="12"/>
  <c r="O199" i="12"/>
  <c r="P199" i="12"/>
  <c r="P200" i="12"/>
  <c r="E201" i="12"/>
  <c r="F201" i="12"/>
  <c r="G201" i="12"/>
  <c r="G202" i="12"/>
  <c r="H201" i="12"/>
  <c r="I201" i="12"/>
  <c r="J201" i="12"/>
  <c r="K201" i="12"/>
  <c r="L201" i="12"/>
  <c r="L202" i="12"/>
  <c r="M201" i="12"/>
  <c r="N201" i="12"/>
  <c r="O201" i="12"/>
  <c r="O202" i="12"/>
  <c r="P201" i="12"/>
  <c r="E203" i="12"/>
  <c r="F203" i="12"/>
  <c r="F204" i="12"/>
  <c r="G203" i="12"/>
  <c r="H203" i="12"/>
  <c r="H204" i="12"/>
  <c r="I203" i="12"/>
  <c r="J204" i="12"/>
  <c r="J203" i="12"/>
  <c r="K203" i="12"/>
  <c r="K204" i="12"/>
  <c r="L203" i="12"/>
  <c r="M203" i="12"/>
  <c r="N203" i="12"/>
  <c r="N204" i="12"/>
  <c r="O203" i="12"/>
  <c r="P203" i="12"/>
  <c r="P204" i="12"/>
  <c r="F179" i="12"/>
  <c r="G179" i="12"/>
  <c r="H179" i="12"/>
  <c r="H180" i="12"/>
  <c r="I179" i="12"/>
  <c r="J179" i="12"/>
  <c r="K179" i="12"/>
  <c r="L179" i="12"/>
  <c r="M179" i="12"/>
  <c r="M180" i="12"/>
  <c r="N179" i="12"/>
  <c r="O179" i="12"/>
  <c r="P179" i="12"/>
  <c r="P180" i="12"/>
  <c r="E179" i="12"/>
  <c r="F196" i="9"/>
  <c r="G196" i="9"/>
  <c r="H196" i="9"/>
  <c r="I196" i="9"/>
  <c r="J196" i="9"/>
  <c r="K196" i="9"/>
  <c r="L196" i="9"/>
  <c r="M196" i="9"/>
  <c r="N196" i="9"/>
  <c r="O196" i="9"/>
  <c r="P196" i="9"/>
  <c r="F180" i="2"/>
  <c r="G180" i="2"/>
  <c r="H180" i="2"/>
  <c r="I180" i="2"/>
  <c r="J180" i="2"/>
  <c r="K180" i="2"/>
  <c r="L180" i="2"/>
  <c r="M180" i="2"/>
  <c r="N180" i="2"/>
  <c r="O180" i="2"/>
  <c r="P180" i="2"/>
  <c r="H188" i="12"/>
  <c r="O200" i="12"/>
  <c r="G200" i="12"/>
  <c r="K198" i="12"/>
  <c r="J180" i="12"/>
  <c r="I202" i="12"/>
  <c r="I198" i="12"/>
  <c r="M184" i="12"/>
  <c r="I180" i="12"/>
  <c r="L204" i="12"/>
  <c r="P202" i="12"/>
  <c r="H202" i="12"/>
  <c r="L200" i="12"/>
  <c r="P198" i="12"/>
  <c r="H198" i="12"/>
  <c r="L196" i="12"/>
  <c r="H194" i="12"/>
  <c r="L188" i="12"/>
  <c r="K184" i="12"/>
  <c r="K180" i="12"/>
  <c r="J202" i="12"/>
  <c r="J198" i="12"/>
  <c r="J194" i="12"/>
  <c r="J190" i="12"/>
  <c r="I190" i="12"/>
  <c r="H190" i="12"/>
  <c r="G190" i="12"/>
  <c r="F188" i="12"/>
  <c r="F184" i="12"/>
  <c r="F182" i="12"/>
  <c r="G180" i="12"/>
  <c r="F202" i="12"/>
  <c r="F190" i="12"/>
  <c r="P186" i="12"/>
  <c r="P184" i="12"/>
  <c r="P182" i="12"/>
  <c r="O194" i="12"/>
  <c r="N192" i="12"/>
  <c r="N188" i="12"/>
  <c r="N184" i="12"/>
  <c r="N182" i="12"/>
  <c r="P194" i="12"/>
  <c r="N180" i="12"/>
  <c r="M204" i="12"/>
  <c r="N202" i="12"/>
  <c r="M200" i="12"/>
  <c r="M198" i="12"/>
  <c r="M196" i="12"/>
  <c r="M194" i="12"/>
  <c r="L194" i="12"/>
  <c r="O184" i="12"/>
  <c r="L180" i="12"/>
  <c r="O204" i="12"/>
  <c r="G204" i="12"/>
  <c r="K202" i="12"/>
  <c r="O196" i="12"/>
  <c r="G196" i="12"/>
  <c r="K194" i="12"/>
  <c r="O192" i="12"/>
  <c r="G192" i="12"/>
  <c r="K190" i="12"/>
  <c r="O188" i="12"/>
  <c r="G188" i="12"/>
  <c r="K186" i="12"/>
  <c r="J182" i="12"/>
  <c r="G184" i="12"/>
  <c r="J200" i="12"/>
  <c r="N198" i="12"/>
  <c r="F198" i="12"/>
  <c r="J196" i="12"/>
  <c r="N194" i="12"/>
  <c r="F194" i="12"/>
  <c r="J192" i="12"/>
  <c r="L190" i="12"/>
  <c r="J184" i="12"/>
  <c r="F180" i="12"/>
  <c r="J188" i="12"/>
  <c r="M186" i="12"/>
  <c r="M202" i="12"/>
  <c r="O180" i="12"/>
  <c r="N190" i="12"/>
  <c r="I204" i="12"/>
  <c r="B2" i="11"/>
  <c r="P15" i="6"/>
  <c r="O15" i="6"/>
  <c r="N15" i="6"/>
  <c r="M15" i="6"/>
  <c r="L15" i="6"/>
  <c r="K15" i="6"/>
  <c r="J15" i="6"/>
  <c r="I15" i="6"/>
  <c r="H15" i="6"/>
  <c r="G15" i="6"/>
  <c r="F15" i="6"/>
  <c r="E15" i="6"/>
  <c r="D15" i="6"/>
  <c r="C15" i="6"/>
  <c r="P15" i="8"/>
  <c r="O15" i="8"/>
  <c r="N15" i="8"/>
  <c r="M15" i="8"/>
  <c r="L15" i="8"/>
  <c r="K15" i="8"/>
  <c r="J15" i="8"/>
  <c r="I15" i="8"/>
  <c r="H15" i="8"/>
  <c r="G15" i="8"/>
  <c r="F15" i="8"/>
  <c r="E15" i="8"/>
  <c r="D15" i="8"/>
  <c r="C15" i="8"/>
  <c r="P15" i="11"/>
  <c r="O15" i="11"/>
  <c r="N15" i="11"/>
  <c r="M15" i="11"/>
  <c r="L15" i="11"/>
  <c r="K15" i="11"/>
  <c r="J15" i="11"/>
  <c r="I15" i="11"/>
  <c r="H15" i="11"/>
  <c r="G15" i="11"/>
  <c r="F15" i="11"/>
  <c r="E15" i="11"/>
  <c r="D15" i="11"/>
  <c r="C15" i="11"/>
  <c r="P15" i="4"/>
  <c r="O15" i="4"/>
  <c r="N15" i="4"/>
  <c r="M15" i="4"/>
  <c r="L15" i="4"/>
  <c r="K15" i="4"/>
  <c r="J15" i="4"/>
  <c r="I15" i="4"/>
  <c r="H15" i="4"/>
  <c r="G15" i="4"/>
  <c r="F15" i="4"/>
  <c r="E15" i="4"/>
  <c r="D15" i="4"/>
  <c r="C15" i="4"/>
  <c r="P15" i="10"/>
  <c r="O15" i="10"/>
  <c r="N15" i="10"/>
  <c r="M15" i="10"/>
  <c r="L15" i="10"/>
  <c r="K15" i="10"/>
  <c r="J15" i="10"/>
  <c r="I15" i="10"/>
  <c r="H15" i="10"/>
  <c r="G15" i="10"/>
  <c r="F15" i="10"/>
  <c r="E15" i="10"/>
  <c r="D15" i="10"/>
  <c r="C15" i="10"/>
  <c r="P15" i="9"/>
  <c r="O15" i="9"/>
  <c r="N15" i="9"/>
  <c r="M15" i="9"/>
  <c r="L15" i="9"/>
  <c r="K15" i="9"/>
  <c r="J15" i="9"/>
  <c r="I15" i="9"/>
  <c r="H15" i="9"/>
  <c r="G15" i="9"/>
  <c r="F15" i="9"/>
  <c r="E15" i="9"/>
  <c r="D15" i="9"/>
  <c r="C15" i="9"/>
  <c r="P15" i="2"/>
  <c r="O15" i="2"/>
  <c r="N15" i="2"/>
  <c r="M15" i="2"/>
  <c r="L15" i="2"/>
  <c r="K15" i="2"/>
  <c r="J15" i="2"/>
  <c r="I15" i="2"/>
  <c r="H15" i="2"/>
  <c r="G15" i="2"/>
  <c r="F15" i="2"/>
  <c r="E15" i="2"/>
  <c r="D15" i="2"/>
  <c r="C15" i="2"/>
  <c r="F215" i="12"/>
  <c r="G215" i="12"/>
  <c r="H215" i="12"/>
  <c r="I215" i="12"/>
  <c r="J215" i="12"/>
  <c r="K215" i="12"/>
  <c r="L215" i="12"/>
  <c r="M215" i="12"/>
  <c r="N215" i="12"/>
  <c r="O215" i="12"/>
  <c r="P215" i="12"/>
  <c r="F213" i="12"/>
  <c r="G213" i="12"/>
  <c r="H213" i="12"/>
  <c r="I213" i="12"/>
  <c r="J213" i="12"/>
  <c r="K213" i="12"/>
  <c r="L213" i="12"/>
  <c r="M213" i="12"/>
  <c r="N213" i="12"/>
  <c r="O213" i="12"/>
  <c r="P213" i="12"/>
  <c r="P214" i="12"/>
  <c r="F211" i="12"/>
  <c r="G211" i="12"/>
  <c r="H211" i="12"/>
  <c r="I211" i="12"/>
  <c r="J211" i="12"/>
  <c r="K211" i="12"/>
  <c r="L211" i="12"/>
  <c r="M211" i="12"/>
  <c r="N211" i="12"/>
  <c r="O211" i="12"/>
  <c r="P211" i="12"/>
  <c r="F209" i="12"/>
  <c r="G209" i="12"/>
  <c r="H209" i="12"/>
  <c r="I209" i="12"/>
  <c r="J209" i="12"/>
  <c r="J210" i="12"/>
  <c r="K209" i="12"/>
  <c r="L209" i="12"/>
  <c r="M209" i="12"/>
  <c r="N209" i="12"/>
  <c r="O209" i="12"/>
  <c r="P209" i="12"/>
  <c r="E215" i="12"/>
  <c r="E213" i="12"/>
  <c r="E211" i="12"/>
  <c r="E209" i="12"/>
  <c r="S199" i="12"/>
  <c r="P204" i="2"/>
  <c r="O204" i="2"/>
  <c r="N204" i="2"/>
  <c r="M204" i="2"/>
  <c r="L204" i="2"/>
  <c r="K204" i="2"/>
  <c r="J204" i="2"/>
  <c r="I204" i="2"/>
  <c r="H204" i="2"/>
  <c r="G204" i="2"/>
  <c r="F204" i="2"/>
  <c r="P202" i="2"/>
  <c r="O202" i="2"/>
  <c r="N202" i="2"/>
  <c r="M202" i="2"/>
  <c r="L202" i="2"/>
  <c r="K202" i="2"/>
  <c r="J202" i="2"/>
  <c r="I202" i="2"/>
  <c r="H202" i="2"/>
  <c r="G202" i="2"/>
  <c r="F202" i="2"/>
  <c r="P200" i="2"/>
  <c r="O200" i="2"/>
  <c r="N200" i="2"/>
  <c r="M200" i="2"/>
  <c r="L200" i="2"/>
  <c r="K200" i="2"/>
  <c r="J200" i="2"/>
  <c r="I200" i="2"/>
  <c r="H200" i="2"/>
  <c r="G200" i="2"/>
  <c r="F200" i="2"/>
  <c r="P198" i="2"/>
  <c r="O198" i="2"/>
  <c r="N198" i="2"/>
  <c r="M198" i="2"/>
  <c r="L198" i="2"/>
  <c r="K198" i="2"/>
  <c r="J198" i="2"/>
  <c r="I198" i="2"/>
  <c r="H198" i="2"/>
  <c r="G198" i="2"/>
  <c r="F198" i="2"/>
  <c r="P196" i="2"/>
  <c r="O196" i="2"/>
  <c r="N196" i="2"/>
  <c r="M196" i="2"/>
  <c r="L196" i="2"/>
  <c r="K196" i="2"/>
  <c r="J196" i="2"/>
  <c r="I196" i="2"/>
  <c r="H196" i="2"/>
  <c r="G196" i="2"/>
  <c r="F196" i="2"/>
  <c r="P194" i="2"/>
  <c r="O194" i="2"/>
  <c r="N194" i="2"/>
  <c r="M194" i="2"/>
  <c r="L194" i="2"/>
  <c r="K194" i="2"/>
  <c r="J194" i="2"/>
  <c r="I194" i="2"/>
  <c r="H194" i="2"/>
  <c r="G194" i="2"/>
  <c r="F194" i="2"/>
  <c r="P192" i="2"/>
  <c r="O192" i="2"/>
  <c r="N192" i="2"/>
  <c r="M192" i="2"/>
  <c r="L192" i="2"/>
  <c r="K192" i="2"/>
  <c r="J192" i="2"/>
  <c r="I192" i="2"/>
  <c r="H192" i="2"/>
  <c r="G192" i="2"/>
  <c r="F192" i="2"/>
  <c r="P190" i="2"/>
  <c r="O190" i="2"/>
  <c r="N190" i="2"/>
  <c r="M190" i="2"/>
  <c r="L190" i="2"/>
  <c r="K190" i="2"/>
  <c r="J190" i="2"/>
  <c r="I190" i="2"/>
  <c r="H190" i="2"/>
  <c r="G190" i="2"/>
  <c r="F190" i="2"/>
  <c r="P188" i="2"/>
  <c r="O188" i="2"/>
  <c r="N188" i="2"/>
  <c r="M188" i="2"/>
  <c r="L188" i="2"/>
  <c r="K188" i="2"/>
  <c r="J188" i="2"/>
  <c r="I188" i="2"/>
  <c r="H188" i="2"/>
  <c r="G188" i="2"/>
  <c r="F188" i="2"/>
  <c r="P186" i="2"/>
  <c r="O186" i="2"/>
  <c r="N186" i="2"/>
  <c r="M186" i="2"/>
  <c r="L186" i="2"/>
  <c r="K186" i="2"/>
  <c r="J186" i="2"/>
  <c r="I186" i="2"/>
  <c r="H186" i="2"/>
  <c r="G186" i="2"/>
  <c r="F186" i="2"/>
  <c r="P184" i="2"/>
  <c r="O184" i="2"/>
  <c r="N184" i="2"/>
  <c r="M184" i="2"/>
  <c r="L184" i="2"/>
  <c r="K184" i="2"/>
  <c r="J184" i="2"/>
  <c r="I184" i="2"/>
  <c r="H184" i="2"/>
  <c r="G184" i="2"/>
  <c r="F184" i="2"/>
  <c r="P182" i="2"/>
  <c r="O182" i="2"/>
  <c r="N182" i="2"/>
  <c r="M182" i="2"/>
  <c r="L182" i="2"/>
  <c r="K182" i="2"/>
  <c r="J182" i="2"/>
  <c r="I182" i="2"/>
  <c r="H182" i="2"/>
  <c r="G182" i="2"/>
  <c r="F182" i="2"/>
  <c r="F175" i="12"/>
  <c r="G175" i="12"/>
  <c r="H175" i="12"/>
  <c r="I175" i="12"/>
  <c r="J175" i="12"/>
  <c r="K175" i="12"/>
  <c r="L175" i="12"/>
  <c r="M175" i="12"/>
  <c r="N175" i="12"/>
  <c r="O175" i="12"/>
  <c r="P175" i="12"/>
  <c r="E175" i="12"/>
  <c r="C141" i="12"/>
  <c r="D141" i="12"/>
  <c r="E141" i="12"/>
  <c r="F141" i="12"/>
  <c r="G141" i="12"/>
  <c r="H141" i="12"/>
  <c r="I141" i="12"/>
  <c r="J141" i="12"/>
  <c r="K141" i="12"/>
  <c r="L141" i="12"/>
  <c r="M141" i="12"/>
  <c r="N141" i="12"/>
  <c r="O141" i="12"/>
  <c r="P141" i="12"/>
  <c r="B141" i="12"/>
  <c r="C139" i="12"/>
  <c r="C171" i="12"/>
  <c r="D139" i="12"/>
  <c r="D171" i="12"/>
  <c r="E139" i="12"/>
  <c r="E171" i="12"/>
  <c r="F139" i="12"/>
  <c r="G139" i="12"/>
  <c r="H139" i="12"/>
  <c r="H140" i="12"/>
  <c r="I139" i="12"/>
  <c r="I171" i="12"/>
  <c r="J139" i="12"/>
  <c r="K139" i="12"/>
  <c r="L139" i="12"/>
  <c r="L171" i="12"/>
  <c r="M139" i="12"/>
  <c r="N139" i="12"/>
  <c r="N171" i="12"/>
  <c r="O139" i="12"/>
  <c r="P139" i="12"/>
  <c r="P171" i="12"/>
  <c r="B139" i="12"/>
  <c r="B171" i="12"/>
  <c r="C137" i="12"/>
  <c r="D137" i="12"/>
  <c r="E137" i="12"/>
  <c r="F137" i="12"/>
  <c r="G137" i="12"/>
  <c r="H137" i="12"/>
  <c r="I137" i="12"/>
  <c r="J137" i="12"/>
  <c r="K137" i="12"/>
  <c r="L137" i="12"/>
  <c r="M137" i="12"/>
  <c r="N137" i="12"/>
  <c r="O137" i="12"/>
  <c r="P137" i="12"/>
  <c r="B137" i="12"/>
  <c r="B135" i="12"/>
  <c r="C133" i="12"/>
  <c r="D133" i="12"/>
  <c r="E133" i="12"/>
  <c r="F133" i="12"/>
  <c r="G133" i="12"/>
  <c r="H133" i="12"/>
  <c r="I133" i="12"/>
  <c r="J133" i="12"/>
  <c r="K133" i="12"/>
  <c r="L133" i="12"/>
  <c r="M133" i="12"/>
  <c r="N133" i="12"/>
  <c r="O133" i="12"/>
  <c r="P133" i="12"/>
  <c r="B133" i="12"/>
  <c r="I136" i="12"/>
  <c r="R135" i="12"/>
  <c r="P136" i="12"/>
  <c r="C127" i="12"/>
  <c r="D127" i="12"/>
  <c r="E127" i="12"/>
  <c r="E169" i="12"/>
  <c r="F127" i="12"/>
  <c r="F169" i="12"/>
  <c r="G127" i="12"/>
  <c r="G169" i="12"/>
  <c r="H127" i="12"/>
  <c r="H169" i="12"/>
  <c r="I127" i="12"/>
  <c r="I169" i="12"/>
  <c r="J127" i="12"/>
  <c r="J169" i="12"/>
  <c r="K127" i="12"/>
  <c r="K169" i="12"/>
  <c r="L127" i="12"/>
  <c r="M127" i="12"/>
  <c r="M169" i="12"/>
  <c r="N127" i="12"/>
  <c r="N169" i="12"/>
  <c r="O127" i="12"/>
  <c r="O169" i="12"/>
  <c r="P127" i="12"/>
  <c r="P169" i="12"/>
  <c r="C125" i="12"/>
  <c r="D125" i="12"/>
  <c r="D167" i="12"/>
  <c r="E125" i="12"/>
  <c r="E129" i="12"/>
  <c r="F125" i="12"/>
  <c r="G125" i="12"/>
  <c r="G167" i="12"/>
  <c r="H125" i="12"/>
  <c r="H167" i="12"/>
  <c r="I125" i="12"/>
  <c r="I167" i="12"/>
  <c r="J125" i="12"/>
  <c r="J167" i="12"/>
  <c r="K125" i="12"/>
  <c r="K167" i="12"/>
  <c r="L125" i="12"/>
  <c r="M125" i="12"/>
  <c r="M167" i="12"/>
  <c r="N125" i="12"/>
  <c r="O125" i="12"/>
  <c r="O167" i="12"/>
  <c r="P125" i="12"/>
  <c r="P167" i="12"/>
  <c r="B127" i="12"/>
  <c r="B169" i="12"/>
  <c r="B125" i="12"/>
  <c r="B167" i="12"/>
  <c r="C109" i="12"/>
  <c r="D109" i="12"/>
  <c r="E109" i="12"/>
  <c r="F109" i="12"/>
  <c r="G109" i="12"/>
  <c r="H109" i="12"/>
  <c r="I109" i="12"/>
  <c r="J109" i="12"/>
  <c r="K109" i="12"/>
  <c r="L109" i="12"/>
  <c r="M109" i="12"/>
  <c r="N109" i="12"/>
  <c r="O109" i="12"/>
  <c r="P109" i="12"/>
  <c r="C107" i="12"/>
  <c r="D107" i="12"/>
  <c r="E107" i="12"/>
  <c r="F107" i="12"/>
  <c r="G107" i="12"/>
  <c r="H107" i="12"/>
  <c r="I107" i="12"/>
  <c r="J107" i="12"/>
  <c r="K107" i="12"/>
  <c r="L107" i="12"/>
  <c r="M107" i="12"/>
  <c r="N107" i="12"/>
  <c r="O107" i="12"/>
  <c r="P107" i="12"/>
  <c r="C105" i="12"/>
  <c r="D105" i="12"/>
  <c r="E105" i="12"/>
  <c r="F105" i="12"/>
  <c r="G105" i="12"/>
  <c r="H105" i="12"/>
  <c r="I105" i="12"/>
  <c r="J105" i="12"/>
  <c r="K105" i="12"/>
  <c r="L105" i="12"/>
  <c r="M105" i="12"/>
  <c r="N105" i="12"/>
  <c r="O105" i="12"/>
  <c r="P105" i="12"/>
  <c r="C103" i="12"/>
  <c r="D103" i="12"/>
  <c r="E103" i="12"/>
  <c r="F103" i="12"/>
  <c r="G103" i="12"/>
  <c r="H103" i="12"/>
  <c r="I103" i="12"/>
  <c r="J103" i="12"/>
  <c r="K103" i="12"/>
  <c r="L103" i="12"/>
  <c r="M103" i="12"/>
  <c r="N103" i="12"/>
  <c r="O103" i="12"/>
  <c r="P103" i="12"/>
  <c r="B109" i="12"/>
  <c r="B107" i="12"/>
  <c r="B105" i="12"/>
  <c r="B103" i="12"/>
  <c r="C97" i="12"/>
  <c r="C161" i="12"/>
  <c r="D97" i="12"/>
  <c r="D161" i="12"/>
  <c r="E97" i="12"/>
  <c r="F97" i="12"/>
  <c r="F161" i="12"/>
  <c r="G97" i="12"/>
  <c r="H97" i="12"/>
  <c r="H161" i="12"/>
  <c r="I97" i="12"/>
  <c r="J97" i="12"/>
  <c r="J161" i="12"/>
  <c r="K97" i="12"/>
  <c r="L97" i="12"/>
  <c r="M97" i="12"/>
  <c r="M161" i="12"/>
  <c r="N97" i="12"/>
  <c r="O97" i="12"/>
  <c r="P97" i="12"/>
  <c r="C95" i="12"/>
  <c r="C155" i="12"/>
  <c r="D95" i="12"/>
  <c r="D155" i="12"/>
  <c r="E95" i="12"/>
  <c r="E155" i="12"/>
  <c r="F95" i="12"/>
  <c r="G95" i="12"/>
  <c r="G155" i="12"/>
  <c r="H95" i="12"/>
  <c r="I95" i="12"/>
  <c r="I155" i="12"/>
  <c r="J95" i="12"/>
  <c r="J155" i="12"/>
  <c r="K95" i="12"/>
  <c r="K155" i="12"/>
  <c r="L95" i="12"/>
  <c r="M95" i="12"/>
  <c r="N95" i="12"/>
  <c r="O95" i="12"/>
  <c r="O155" i="12"/>
  <c r="P95" i="12"/>
  <c r="B97" i="12"/>
  <c r="B161" i="12"/>
  <c r="B95" i="12"/>
  <c r="B155" i="12"/>
  <c r="C89" i="12"/>
  <c r="C163" i="12"/>
  <c r="D89" i="12"/>
  <c r="E89" i="12"/>
  <c r="E163" i="12"/>
  <c r="F89" i="12"/>
  <c r="F163" i="12"/>
  <c r="G89" i="12"/>
  <c r="H89" i="12"/>
  <c r="I89" i="12"/>
  <c r="I163" i="12"/>
  <c r="J89" i="12"/>
  <c r="K89" i="12"/>
  <c r="K163" i="12"/>
  <c r="L89" i="12"/>
  <c r="L163" i="12"/>
  <c r="M89" i="12"/>
  <c r="M163" i="12"/>
  <c r="N89" i="12"/>
  <c r="N163" i="12"/>
  <c r="O89" i="12"/>
  <c r="O163" i="12"/>
  <c r="P89" i="12"/>
  <c r="C87" i="12"/>
  <c r="C157" i="12"/>
  <c r="D87" i="12"/>
  <c r="D157" i="12"/>
  <c r="E87" i="12"/>
  <c r="F87" i="12"/>
  <c r="G87" i="12"/>
  <c r="G157" i="12"/>
  <c r="H87" i="12"/>
  <c r="H157" i="12"/>
  <c r="I87" i="12"/>
  <c r="I157" i="12"/>
  <c r="J87" i="12"/>
  <c r="K87" i="12"/>
  <c r="L87" i="12"/>
  <c r="M87" i="12"/>
  <c r="M157" i="12"/>
  <c r="N87" i="12"/>
  <c r="N157" i="12"/>
  <c r="O87" i="12"/>
  <c r="P87" i="12"/>
  <c r="P157" i="12"/>
  <c r="B89" i="12"/>
  <c r="B163" i="12"/>
  <c r="B87" i="12"/>
  <c r="C81" i="12"/>
  <c r="C151" i="12"/>
  <c r="D81" i="12"/>
  <c r="D151" i="12"/>
  <c r="E81" i="12"/>
  <c r="E151" i="12"/>
  <c r="F81" i="12"/>
  <c r="F151" i="12"/>
  <c r="G81" i="12"/>
  <c r="G151" i="12"/>
  <c r="H81" i="12"/>
  <c r="H151" i="12"/>
  <c r="I81" i="12"/>
  <c r="J81" i="12"/>
  <c r="K81" i="12"/>
  <c r="K151" i="12"/>
  <c r="L81" i="12"/>
  <c r="M81" i="12"/>
  <c r="M151" i="12"/>
  <c r="N81" i="12"/>
  <c r="O81" i="12"/>
  <c r="O151" i="12"/>
  <c r="P81" i="12"/>
  <c r="P151" i="12"/>
  <c r="C79" i="12"/>
  <c r="D79" i="12"/>
  <c r="E79" i="12"/>
  <c r="F79" i="12"/>
  <c r="F149" i="12"/>
  <c r="G79" i="12"/>
  <c r="G149" i="12"/>
  <c r="H79" i="12"/>
  <c r="I79" i="12"/>
  <c r="I149" i="12"/>
  <c r="J79" i="12"/>
  <c r="J149" i="12"/>
  <c r="K79" i="12"/>
  <c r="K149" i="12"/>
  <c r="L79" i="12"/>
  <c r="M79" i="12"/>
  <c r="M149" i="12"/>
  <c r="N79" i="12"/>
  <c r="N149" i="12"/>
  <c r="O79" i="12"/>
  <c r="P79" i="12"/>
  <c r="P149" i="12"/>
  <c r="B81" i="12"/>
  <c r="B151" i="12"/>
  <c r="B79" i="12"/>
  <c r="B149" i="12"/>
  <c r="C69" i="12"/>
  <c r="D69" i="12"/>
  <c r="E69" i="12"/>
  <c r="F69" i="12"/>
  <c r="G69" i="12"/>
  <c r="H69" i="12"/>
  <c r="I69" i="12"/>
  <c r="J69" i="12"/>
  <c r="K69" i="12"/>
  <c r="L69" i="12"/>
  <c r="M69" i="12"/>
  <c r="N69" i="12"/>
  <c r="O69" i="12"/>
  <c r="P69" i="12"/>
  <c r="B69" i="12"/>
  <c r="C53" i="12"/>
  <c r="D53" i="12"/>
  <c r="E53" i="12"/>
  <c r="F53" i="12"/>
  <c r="G53" i="12"/>
  <c r="H53" i="12"/>
  <c r="I53" i="12"/>
  <c r="J53" i="12"/>
  <c r="K53" i="12"/>
  <c r="L53" i="12"/>
  <c r="M53" i="12"/>
  <c r="N53" i="12"/>
  <c r="O53" i="12"/>
  <c r="P53" i="12"/>
  <c r="C51" i="12"/>
  <c r="D51" i="12"/>
  <c r="E51" i="12"/>
  <c r="F51" i="12"/>
  <c r="G51" i="12"/>
  <c r="H51" i="12"/>
  <c r="I51" i="12"/>
  <c r="J51" i="12"/>
  <c r="K51" i="12"/>
  <c r="L51" i="12"/>
  <c r="M51" i="12"/>
  <c r="N51" i="12"/>
  <c r="O51" i="12"/>
  <c r="P51" i="12"/>
  <c r="C49" i="12"/>
  <c r="D49" i="12"/>
  <c r="E49" i="12"/>
  <c r="F49" i="12"/>
  <c r="G49" i="12"/>
  <c r="H49" i="12"/>
  <c r="I49" i="12"/>
  <c r="J49" i="12"/>
  <c r="K49" i="12"/>
  <c r="L49" i="12"/>
  <c r="M49" i="12"/>
  <c r="N49" i="12"/>
  <c r="O49" i="12"/>
  <c r="P49" i="12"/>
  <c r="C47" i="12"/>
  <c r="D47" i="12"/>
  <c r="E47" i="12"/>
  <c r="F47" i="12"/>
  <c r="G47" i="12"/>
  <c r="H47" i="12"/>
  <c r="I47" i="12"/>
  <c r="J47" i="12"/>
  <c r="K47" i="12"/>
  <c r="L47" i="12"/>
  <c r="M47" i="12"/>
  <c r="N47" i="12"/>
  <c r="O47" i="12"/>
  <c r="O48" i="12"/>
  <c r="P47" i="12"/>
  <c r="B49" i="12"/>
  <c r="B51" i="12"/>
  <c r="B53" i="12"/>
  <c r="B47" i="12"/>
  <c r="P23" i="6"/>
  <c r="O23" i="6"/>
  <c r="N23" i="6"/>
  <c r="M23" i="6"/>
  <c r="L23" i="6"/>
  <c r="K23" i="6"/>
  <c r="J23" i="6"/>
  <c r="I23" i="6"/>
  <c r="H23" i="6"/>
  <c r="G23" i="6"/>
  <c r="F23" i="6"/>
  <c r="E23" i="6"/>
  <c r="D23" i="6"/>
  <c r="C23" i="6"/>
  <c r="P21" i="6"/>
  <c r="O21" i="6"/>
  <c r="N21" i="6"/>
  <c r="M21" i="6"/>
  <c r="L21" i="6"/>
  <c r="K21" i="6"/>
  <c r="J21" i="6"/>
  <c r="I21" i="6"/>
  <c r="H21" i="6"/>
  <c r="G21" i="6"/>
  <c r="F21" i="6"/>
  <c r="E21" i="6"/>
  <c r="D21" i="6"/>
  <c r="C21" i="6"/>
  <c r="P19" i="6"/>
  <c r="O19" i="6"/>
  <c r="N19" i="6"/>
  <c r="M19" i="6"/>
  <c r="L19" i="6"/>
  <c r="K19" i="6"/>
  <c r="J19" i="6"/>
  <c r="I19" i="6"/>
  <c r="H19" i="6"/>
  <c r="G19" i="6"/>
  <c r="F19" i="6"/>
  <c r="E19" i="6"/>
  <c r="D19" i="6"/>
  <c r="C19" i="6"/>
  <c r="P23" i="8"/>
  <c r="O23" i="8"/>
  <c r="N23" i="8"/>
  <c r="M23" i="8"/>
  <c r="L23" i="8"/>
  <c r="K23" i="8"/>
  <c r="J23" i="8"/>
  <c r="I23" i="8"/>
  <c r="H23" i="8"/>
  <c r="G23" i="8"/>
  <c r="F23" i="8"/>
  <c r="E23" i="8"/>
  <c r="D23" i="8"/>
  <c r="C23" i="8"/>
  <c r="P21" i="8"/>
  <c r="O21" i="8"/>
  <c r="N21" i="8"/>
  <c r="M21" i="8"/>
  <c r="L21" i="8"/>
  <c r="K21" i="8"/>
  <c r="J21" i="8"/>
  <c r="I21" i="8"/>
  <c r="H21" i="8"/>
  <c r="G21" i="8"/>
  <c r="F21" i="8"/>
  <c r="E21" i="8"/>
  <c r="D21" i="8"/>
  <c r="C21" i="8"/>
  <c r="P19" i="8"/>
  <c r="O19" i="8"/>
  <c r="N19" i="8"/>
  <c r="M19" i="8"/>
  <c r="L19" i="8"/>
  <c r="K19" i="8"/>
  <c r="J19" i="8"/>
  <c r="I19" i="8"/>
  <c r="H19" i="8"/>
  <c r="G19" i="8"/>
  <c r="F19" i="8"/>
  <c r="E19" i="8"/>
  <c r="D19" i="8"/>
  <c r="C19" i="8"/>
  <c r="P23" i="11"/>
  <c r="O23" i="11"/>
  <c r="N23" i="11"/>
  <c r="M23" i="11"/>
  <c r="L23" i="11"/>
  <c r="K23" i="11"/>
  <c r="J23" i="11"/>
  <c r="I23" i="11"/>
  <c r="H23" i="11"/>
  <c r="G23" i="11"/>
  <c r="F23" i="11"/>
  <c r="E23" i="11"/>
  <c r="D23" i="11"/>
  <c r="C23" i="11"/>
  <c r="P21" i="11"/>
  <c r="O21" i="11"/>
  <c r="N21" i="11"/>
  <c r="M21" i="11"/>
  <c r="L21" i="11"/>
  <c r="K21" i="11"/>
  <c r="J21" i="11"/>
  <c r="I21" i="11"/>
  <c r="H21" i="11"/>
  <c r="G21" i="11"/>
  <c r="F21" i="11"/>
  <c r="E21" i="11"/>
  <c r="D21" i="11"/>
  <c r="C21" i="11"/>
  <c r="P19" i="11"/>
  <c r="O19" i="11"/>
  <c r="N19" i="11"/>
  <c r="M19" i="11"/>
  <c r="L19" i="11"/>
  <c r="K19" i="11"/>
  <c r="J19" i="11"/>
  <c r="I19" i="11"/>
  <c r="H19" i="11"/>
  <c r="G19" i="11"/>
  <c r="F19" i="11"/>
  <c r="E19" i="11"/>
  <c r="D19" i="11"/>
  <c r="C19" i="11"/>
  <c r="P23" i="4"/>
  <c r="O23" i="4"/>
  <c r="N23" i="4"/>
  <c r="M23" i="4"/>
  <c r="L23" i="4"/>
  <c r="K23" i="4"/>
  <c r="J23" i="4"/>
  <c r="I23" i="4"/>
  <c r="H23" i="4"/>
  <c r="G23" i="4"/>
  <c r="F23" i="4"/>
  <c r="E23" i="4"/>
  <c r="D23" i="4"/>
  <c r="C23" i="4"/>
  <c r="P21" i="4"/>
  <c r="O21" i="4"/>
  <c r="N21" i="4"/>
  <c r="M21" i="4"/>
  <c r="L21" i="4"/>
  <c r="K21" i="4"/>
  <c r="J21" i="4"/>
  <c r="I21" i="4"/>
  <c r="H21" i="4"/>
  <c r="G21" i="4"/>
  <c r="F21" i="4"/>
  <c r="E21" i="4"/>
  <c r="D21" i="4"/>
  <c r="C21" i="4"/>
  <c r="P19" i="4"/>
  <c r="O19" i="4"/>
  <c r="N19" i="4"/>
  <c r="M19" i="4"/>
  <c r="L19" i="4"/>
  <c r="K19" i="4"/>
  <c r="J19" i="4"/>
  <c r="I19" i="4"/>
  <c r="H19" i="4"/>
  <c r="G19" i="4"/>
  <c r="F19" i="4"/>
  <c r="E19" i="4"/>
  <c r="D19" i="4"/>
  <c r="C19" i="4"/>
  <c r="P23" i="10"/>
  <c r="O23" i="10"/>
  <c r="N23" i="10"/>
  <c r="M23" i="10"/>
  <c r="L23" i="10"/>
  <c r="K23" i="10"/>
  <c r="J23" i="10"/>
  <c r="I23" i="10"/>
  <c r="H23" i="10"/>
  <c r="G23" i="10"/>
  <c r="F23" i="10"/>
  <c r="E23" i="10"/>
  <c r="D23" i="10"/>
  <c r="C23" i="10"/>
  <c r="P21" i="10"/>
  <c r="O21" i="10"/>
  <c r="N21" i="10"/>
  <c r="M21" i="10"/>
  <c r="L21" i="10"/>
  <c r="K21" i="10"/>
  <c r="J21" i="10"/>
  <c r="I21" i="10"/>
  <c r="H21" i="10"/>
  <c r="G21" i="10"/>
  <c r="F21" i="10"/>
  <c r="E21" i="10"/>
  <c r="D21" i="10"/>
  <c r="C21" i="10"/>
  <c r="P19" i="10"/>
  <c r="O19" i="10"/>
  <c r="N19" i="10"/>
  <c r="M19" i="10"/>
  <c r="L19" i="10"/>
  <c r="K19" i="10"/>
  <c r="J19" i="10"/>
  <c r="I19" i="10"/>
  <c r="H19" i="10"/>
  <c r="G19" i="10"/>
  <c r="F19" i="10"/>
  <c r="E19" i="10"/>
  <c r="D19" i="10"/>
  <c r="C19" i="10"/>
  <c r="P23" i="9"/>
  <c r="O23" i="9"/>
  <c r="N23" i="9"/>
  <c r="M23" i="9"/>
  <c r="L23" i="9"/>
  <c r="K23" i="9"/>
  <c r="J23" i="9"/>
  <c r="I23" i="9"/>
  <c r="H23" i="9"/>
  <c r="G23" i="9"/>
  <c r="F23" i="9"/>
  <c r="E23" i="9"/>
  <c r="D23" i="9"/>
  <c r="C23" i="9"/>
  <c r="P21" i="9"/>
  <c r="O21" i="9"/>
  <c r="N21" i="9"/>
  <c r="M21" i="9"/>
  <c r="L21" i="9"/>
  <c r="K21" i="9"/>
  <c r="J21" i="9"/>
  <c r="I21" i="9"/>
  <c r="H21" i="9"/>
  <c r="G21" i="9"/>
  <c r="F21" i="9"/>
  <c r="E21" i="9"/>
  <c r="D21" i="9"/>
  <c r="C21" i="9"/>
  <c r="P19" i="9"/>
  <c r="O19" i="9"/>
  <c r="N19" i="9"/>
  <c r="M19" i="9"/>
  <c r="L19" i="9"/>
  <c r="K19" i="9"/>
  <c r="J19" i="9"/>
  <c r="I19" i="9"/>
  <c r="H19" i="9"/>
  <c r="G19" i="9"/>
  <c r="F19" i="9"/>
  <c r="E19" i="9"/>
  <c r="D19" i="9"/>
  <c r="C19" i="9"/>
  <c r="P23" i="2"/>
  <c r="O23" i="2"/>
  <c r="N23" i="2"/>
  <c r="M23" i="2"/>
  <c r="L23" i="2"/>
  <c r="K23" i="2"/>
  <c r="J23" i="2"/>
  <c r="I23" i="2"/>
  <c r="H23" i="2"/>
  <c r="G23" i="2"/>
  <c r="F23" i="2"/>
  <c r="E23" i="2"/>
  <c r="D23" i="2"/>
  <c r="C23" i="2"/>
  <c r="P21" i="2"/>
  <c r="O21" i="2"/>
  <c r="N21" i="2"/>
  <c r="M21" i="2"/>
  <c r="L21" i="2"/>
  <c r="K21" i="2"/>
  <c r="J21" i="2"/>
  <c r="I21" i="2"/>
  <c r="H21" i="2"/>
  <c r="G21" i="2"/>
  <c r="F21" i="2"/>
  <c r="E21" i="2"/>
  <c r="D21" i="2"/>
  <c r="C21" i="2"/>
  <c r="P19" i="2"/>
  <c r="O19" i="2"/>
  <c r="N19" i="2"/>
  <c r="M19" i="2"/>
  <c r="L19" i="2"/>
  <c r="K19" i="2"/>
  <c r="J19" i="2"/>
  <c r="I19" i="2"/>
  <c r="H19" i="2"/>
  <c r="G19" i="2"/>
  <c r="F19" i="2"/>
  <c r="E19" i="2"/>
  <c r="D19" i="2"/>
  <c r="C19" i="2"/>
  <c r="C18" i="12"/>
  <c r="D18" i="12"/>
  <c r="E18" i="12"/>
  <c r="F18" i="12"/>
  <c r="G18" i="12"/>
  <c r="H18" i="12"/>
  <c r="I18" i="12"/>
  <c r="J18" i="12"/>
  <c r="K18" i="12"/>
  <c r="L18" i="12"/>
  <c r="M18" i="12"/>
  <c r="N18" i="12"/>
  <c r="O18" i="12"/>
  <c r="P18" i="12"/>
  <c r="C20" i="12"/>
  <c r="D20" i="12"/>
  <c r="E20" i="12"/>
  <c r="F20" i="12"/>
  <c r="G20" i="12"/>
  <c r="H20" i="12"/>
  <c r="I20" i="12"/>
  <c r="J20" i="12"/>
  <c r="K20" i="12"/>
  <c r="L20" i="12"/>
  <c r="M20" i="12"/>
  <c r="N20" i="12"/>
  <c r="O20" i="12"/>
  <c r="P20" i="12"/>
  <c r="C22" i="12"/>
  <c r="D22" i="12"/>
  <c r="E22" i="12"/>
  <c r="F22" i="12"/>
  <c r="G22" i="12"/>
  <c r="H22" i="12"/>
  <c r="I22" i="12"/>
  <c r="J22" i="12"/>
  <c r="K22" i="12"/>
  <c r="L22" i="12"/>
  <c r="M22" i="12"/>
  <c r="N22" i="12"/>
  <c r="O22" i="12"/>
  <c r="P22" i="12"/>
  <c r="B18" i="12"/>
  <c r="B20" i="12"/>
  <c r="B22" i="12"/>
  <c r="C14" i="12"/>
  <c r="D14" i="12"/>
  <c r="E14" i="12"/>
  <c r="F14" i="12"/>
  <c r="G14" i="12"/>
  <c r="H14" i="12"/>
  <c r="I14" i="12"/>
  <c r="J14" i="12"/>
  <c r="K14" i="12"/>
  <c r="L14" i="12"/>
  <c r="M14" i="12"/>
  <c r="N14" i="12"/>
  <c r="O14" i="12"/>
  <c r="P14" i="12"/>
  <c r="C11" i="12"/>
  <c r="D11" i="12"/>
  <c r="E11" i="12"/>
  <c r="F11" i="12"/>
  <c r="G11" i="12"/>
  <c r="H11" i="12"/>
  <c r="I11" i="12"/>
  <c r="J11" i="12"/>
  <c r="K11" i="12"/>
  <c r="L11" i="12"/>
  <c r="M11" i="12"/>
  <c r="N11" i="12"/>
  <c r="O11" i="12"/>
  <c r="P11" i="12"/>
  <c r="C8" i="12"/>
  <c r="D8" i="12"/>
  <c r="E8" i="12"/>
  <c r="F8" i="12"/>
  <c r="G8" i="12"/>
  <c r="H8" i="12"/>
  <c r="I8" i="12"/>
  <c r="J8" i="12"/>
  <c r="K8" i="12"/>
  <c r="L8" i="12"/>
  <c r="M8" i="12"/>
  <c r="N8" i="12"/>
  <c r="O8" i="12"/>
  <c r="P8" i="12"/>
  <c r="C6" i="12"/>
  <c r="D6" i="12"/>
  <c r="E6" i="12"/>
  <c r="F6" i="12"/>
  <c r="G6" i="12"/>
  <c r="H6" i="12"/>
  <c r="I6" i="12"/>
  <c r="J6" i="12"/>
  <c r="K6" i="12"/>
  <c r="L6" i="12"/>
  <c r="M6" i="12"/>
  <c r="N6" i="12"/>
  <c r="O6" i="12"/>
  <c r="P6" i="12"/>
  <c r="B6" i="12"/>
  <c r="B8" i="12"/>
  <c r="B11" i="12"/>
  <c r="B14" i="12"/>
  <c r="C4" i="12"/>
  <c r="D4" i="12"/>
  <c r="E4" i="12"/>
  <c r="F4" i="12"/>
  <c r="G4" i="12"/>
  <c r="H4" i="12"/>
  <c r="I4" i="12"/>
  <c r="J4" i="12"/>
  <c r="K4" i="12"/>
  <c r="L4" i="12"/>
  <c r="M4" i="12"/>
  <c r="N4" i="12"/>
  <c r="O4" i="12"/>
  <c r="P4" i="12"/>
  <c r="B4" i="12"/>
  <c r="P204" i="11"/>
  <c r="O204" i="11"/>
  <c r="N204" i="11"/>
  <c r="M204" i="11"/>
  <c r="L204" i="11"/>
  <c r="K204" i="11"/>
  <c r="J204" i="11"/>
  <c r="I204" i="11"/>
  <c r="H204" i="11"/>
  <c r="G204" i="11"/>
  <c r="F204" i="11"/>
  <c r="P202" i="11"/>
  <c r="O202" i="11"/>
  <c r="N202" i="11"/>
  <c r="M202" i="11"/>
  <c r="L202" i="11"/>
  <c r="K202" i="11"/>
  <c r="J202" i="11"/>
  <c r="I202" i="11"/>
  <c r="H202" i="11"/>
  <c r="G202" i="11"/>
  <c r="F202" i="11"/>
  <c r="P200" i="11"/>
  <c r="O200" i="11"/>
  <c r="N200" i="11"/>
  <c r="M200" i="11"/>
  <c r="L200" i="11"/>
  <c r="K200" i="11"/>
  <c r="J200" i="11"/>
  <c r="I200" i="11"/>
  <c r="H200" i="11"/>
  <c r="G200" i="11"/>
  <c r="F200" i="11"/>
  <c r="P198" i="11"/>
  <c r="O198" i="11"/>
  <c r="N198" i="11"/>
  <c r="M198" i="11"/>
  <c r="L198" i="11"/>
  <c r="K198" i="11"/>
  <c r="J198" i="11"/>
  <c r="I198" i="11"/>
  <c r="H198" i="11"/>
  <c r="G198" i="11"/>
  <c r="F198" i="11"/>
  <c r="P196" i="11"/>
  <c r="O196" i="11"/>
  <c r="N196" i="11"/>
  <c r="M196" i="11"/>
  <c r="L196" i="11"/>
  <c r="K196" i="11"/>
  <c r="J196" i="11"/>
  <c r="I196" i="11"/>
  <c r="H196" i="11"/>
  <c r="G196" i="11"/>
  <c r="F196" i="11"/>
  <c r="P194" i="11"/>
  <c r="O194" i="11"/>
  <c r="N194" i="11"/>
  <c r="M194" i="11"/>
  <c r="L194" i="11"/>
  <c r="K194" i="11"/>
  <c r="J194" i="11"/>
  <c r="I194" i="11"/>
  <c r="H194" i="11"/>
  <c r="G194" i="11"/>
  <c r="F194" i="11"/>
  <c r="P192" i="11"/>
  <c r="O192" i="11"/>
  <c r="N192" i="11"/>
  <c r="M192" i="11"/>
  <c r="L192" i="11"/>
  <c r="K192" i="11"/>
  <c r="J192" i="11"/>
  <c r="I192" i="11"/>
  <c r="H192" i="11"/>
  <c r="G192" i="11"/>
  <c r="F192" i="11"/>
  <c r="P190" i="11"/>
  <c r="O190" i="11"/>
  <c r="N190" i="11"/>
  <c r="M190" i="11"/>
  <c r="L190" i="11"/>
  <c r="K190" i="11"/>
  <c r="J190" i="11"/>
  <c r="I190" i="11"/>
  <c r="H190" i="11"/>
  <c r="G190" i="11"/>
  <c r="F190" i="11"/>
  <c r="P188" i="11"/>
  <c r="O188" i="11"/>
  <c r="N188" i="11"/>
  <c r="M188" i="11"/>
  <c r="L188" i="11"/>
  <c r="K188" i="11"/>
  <c r="J188" i="11"/>
  <c r="I188" i="11"/>
  <c r="H188" i="11"/>
  <c r="G188" i="11"/>
  <c r="F188" i="11"/>
  <c r="P186" i="11"/>
  <c r="O186" i="11"/>
  <c r="N186" i="11"/>
  <c r="M186" i="11"/>
  <c r="L186" i="11"/>
  <c r="K186" i="11"/>
  <c r="J186" i="11"/>
  <c r="I186" i="11"/>
  <c r="H186" i="11"/>
  <c r="G186" i="11"/>
  <c r="F186" i="11"/>
  <c r="P184" i="11"/>
  <c r="O184" i="11"/>
  <c r="N184" i="11"/>
  <c r="M184" i="11"/>
  <c r="L184" i="11"/>
  <c r="K184" i="11"/>
  <c r="J184" i="11"/>
  <c r="I184" i="11"/>
  <c r="H184" i="11"/>
  <c r="G184" i="11"/>
  <c r="F184" i="11"/>
  <c r="P182" i="11"/>
  <c r="O182" i="11"/>
  <c r="N182" i="11"/>
  <c r="M182" i="11"/>
  <c r="L182" i="11"/>
  <c r="K182" i="11"/>
  <c r="J182" i="11"/>
  <c r="I182" i="11"/>
  <c r="H182" i="11"/>
  <c r="G182" i="11"/>
  <c r="F182" i="11"/>
  <c r="P180" i="11"/>
  <c r="O180" i="11"/>
  <c r="N180" i="11"/>
  <c r="M180" i="11"/>
  <c r="L180" i="11"/>
  <c r="K180" i="11"/>
  <c r="J180" i="11"/>
  <c r="I180" i="11"/>
  <c r="H180" i="11"/>
  <c r="G180" i="11"/>
  <c r="F180" i="11"/>
  <c r="P204" i="10"/>
  <c r="O204" i="10"/>
  <c r="N204" i="10"/>
  <c r="M204" i="10"/>
  <c r="L204" i="10"/>
  <c r="K204" i="10"/>
  <c r="J204" i="10"/>
  <c r="I204" i="10"/>
  <c r="H204" i="10"/>
  <c r="G204" i="10"/>
  <c r="F204" i="10"/>
  <c r="P202" i="10"/>
  <c r="O202" i="10"/>
  <c r="N202" i="10"/>
  <c r="M202" i="10"/>
  <c r="L202" i="10"/>
  <c r="K202" i="10"/>
  <c r="J202" i="10"/>
  <c r="I202" i="10"/>
  <c r="H202" i="10"/>
  <c r="G202" i="10"/>
  <c r="F202" i="10"/>
  <c r="P200" i="10"/>
  <c r="O200" i="10"/>
  <c r="N200" i="10"/>
  <c r="M200" i="10"/>
  <c r="L200" i="10"/>
  <c r="K200" i="10"/>
  <c r="J200" i="10"/>
  <c r="I200" i="10"/>
  <c r="H200" i="10"/>
  <c r="G200" i="10"/>
  <c r="F200" i="10"/>
  <c r="P198" i="10"/>
  <c r="O198" i="10"/>
  <c r="N198" i="10"/>
  <c r="M198" i="10"/>
  <c r="L198" i="10"/>
  <c r="K198" i="10"/>
  <c r="J198" i="10"/>
  <c r="I198" i="10"/>
  <c r="H198" i="10"/>
  <c r="G198" i="10"/>
  <c r="F198" i="10"/>
  <c r="P196" i="10"/>
  <c r="O196" i="10"/>
  <c r="N196" i="10"/>
  <c r="M196" i="10"/>
  <c r="L196" i="10"/>
  <c r="K196" i="10"/>
  <c r="J196" i="10"/>
  <c r="I196" i="10"/>
  <c r="H196" i="10"/>
  <c r="G196" i="10"/>
  <c r="F196" i="10"/>
  <c r="P194" i="10"/>
  <c r="O194" i="10"/>
  <c r="N194" i="10"/>
  <c r="M194" i="10"/>
  <c r="L194" i="10"/>
  <c r="K194" i="10"/>
  <c r="J194" i="10"/>
  <c r="I194" i="10"/>
  <c r="H194" i="10"/>
  <c r="G194" i="10"/>
  <c r="F194" i="10"/>
  <c r="P192" i="10"/>
  <c r="O192" i="10"/>
  <c r="N192" i="10"/>
  <c r="M192" i="10"/>
  <c r="L192" i="10"/>
  <c r="K192" i="10"/>
  <c r="J192" i="10"/>
  <c r="I192" i="10"/>
  <c r="H192" i="10"/>
  <c r="G192" i="10"/>
  <c r="F192" i="10"/>
  <c r="P190" i="10"/>
  <c r="O190" i="10"/>
  <c r="N190" i="10"/>
  <c r="M190" i="10"/>
  <c r="L190" i="10"/>
  <c r="K190" i="10"/>
  <c r="J190" i="10"/>
  <c r="I190" i="10"/>
  <c r="H190" i="10"/>
  <c r="G190" i="10"/>
  <c r="F190" i="10"/>
  <c r="P188" i="10"/>
  <c r="O188" i="10"/>
  <c r="N188" i="10"/>
  <c r="M188" i="10"/>
  <c r="L188" i="10"/>
  <c r="K188" i="10"/>
  <c r="J188" i="10"/>
  <c r="I188" i="10"/>
  <c r="H188" i="10"/>
  <c r="G188" i="10"/>
  <c r="F188" i="10"/>
  <c r="P186" i="10"/>
  <c r="O186" i="10"/>
  <c r="N186" i="10"/>
  <c r="M186" i="10"/>
  <c r="L186" i="10"/>
  <c r="K186" i="10"/>
  <c r="J186" i="10"/>
  <c r="I186" i="10"/>
  <c r="H186" i="10"/>
  <c r="G186" i="10"/>
  <c r="F186" i="10"/>
  <c r="P184" i="10"/>
  <c r="O184" i="10"/>
  <c r="N184" i="10"/>
  <c r="M184" i="10"/>
  <c r="L184" i="10"/>
  <c r="K184" i="10"/>
  <c r="J184" i="10"/>
  <c r="I184" i="10"/>
  <c r="H184" i="10"/>
  <c r="G184" i="10"/>
  <c r="F184" i="10"/>
  <c r="P182" i="10"/>
  <c r="O182" i="10"/>
  <c r="N182" i="10"/>
  <c r="M182" i="10"/>
  <c r="L182" i="10"/>
  <c r="K182" i="10"/>
  <c r="J182" i="10"/>
  <c r="I182" i="10"/>
  <c r="H182" i="10"/>
  <c r="G182" i="10"/>
  <c r="F182" i="10"/>
  <c r="P180" i="10"/>
  <c r="O180" i="10"/>
  <c r="N180" i="10"/>
  <c r="M180" i="10"/>
  <c r="L180" i="10"/>
  <c r="K180" i="10"/>
  <c r="J180" i="10"/>
  <c r="I180" i="10"/>
  <c r="H180" i="10"/>
  <c r="G180" i="10"/>
  <c r="F180" i="10"/>
  <c r="E205" i="10"/>
  <c r="F205" i="10"/>
  <c r="G205" i="10"/>
  <c r="H205" i="10"/>
  <c r="I205" i="10"/>
  <c r="J205" i="10"/>
  <c r="J206" i="10"/>
  <c r="K205" i="10"/>
  <c r="L205" i="10"/>
  <c r="M205" i="10"/>
  <c r="N205" i="10"/>
  <c r="O205" i="10"/>
  <c r="P205" i="10"/>
  <c r="I216" i="12"/>
  <c r="H216" i="12"/>
  <c r="G216" i="12"/>
  <c r="G210" i="12"/>
  <c r="N205" i="12"/>
  <c r="I205" i="12"/>
  <c r="H205" i="12"/>
  <c r="G205" i="12"/>
  <c r="S201" i="12"/>
  <c r="S197" i="12"/>
  <c r="S193" i="12"/>
  <c r="S191" i="12"/>
  <c r="S189" i="12"/>
  <c r="S187" i="12"/>
  <c r="S185" i="12"/>
  <c r="S183" i="12"/>
  <c r="S181" i="12"/>
  <c r="S179" i="12"/>
  <c r="L161" i="12"/>
  <c r="O149" i="12"/>
  <c r="D142" i="12"/>
  <c r="H136" i="12"/>
  <c r="E136" i="12"/>
  <c r="D136" i="12"/>
  <c r="O104" i="12"/>
  <c r="M104" i="12"/>
  <c r="L104" i="12"/>
  <c r="P80" i="12"/>
  <c r="K204" i="9"/>
  <c r="L205" i="9"/>
  <c r="P204" i="9"/>
  <c r="O204" i="9"/>
  <c r="N204" i="9"/>
  <c r="M204" i="9"/>
  <c r="L204" i="9"/>
  <c r="J204" i="9"/>
  <c r="I204" i="9"/>
  <c r="H204" i="9"/>
  <c r="G204" i="9"/>
  <c r="F204" i="9"/>
  <c r="P202" i="9"/>
  <c r="O202" i="9"/>
  <c r="N202" i="9"/>
  <c r="M202" i="9"/>
  <c r="L202" i="9"/>
  <c r="K202" i="9"/>
  <c r="J202" i="9"/>
  <c r="I202" i="9"/>
  <c r="H202" i="9"/>
  <c r="G202" i="9"/>
  <c r="F202" i="9"/>
  <c r="P200" i="9"/>
  <c r="O200" i="9"/>
  <c r="N200" i="9"/>
  <c r="M200" i="9"/>
  <c r="L200" i="9"/>
  <c r="K200" i="9"/>
  <c r="J200" i="9"/>
  <c r="I200" i="9"/>
  <c r="H200" i="9"/>
  <c r="G200" i="9"/>
  <c r="F200" i="9"/>
  <c r="P198" i="9"/>
  <c r="O198" i="9"/>
  <c r="N198" i="9"/>
  <c r="M198" i="9"/>
  <c r="L198" i="9"/>
  <c r="K198" i="9"/>
  <c r="J198" i="9"/>
  <c r="I198" i="9"/>
  <c r="H198" i="9"/>
  <c r="G198" i="9"/>
  <c r="F198" i="9"/>
  <c r="P194" i="9"/>
  <c r="O194" i="9"/>
  <c r="N194" i="9"/>
  <c r="M194" i="9"/>
  <c r="L194" i="9"/>
  <c r="K194" i="9"/>
  <c r="J194" i="9"/>
  <c r="I194" i="9"/>
  <c r="H194" i="9"/>
  <c r="G194" i="9"/>
  <c r="F194" i="9"/>
  <c r="P192" i="9"/>
  <c r="O192" i="9"/>
  <c r="N192" i="9"/>
  <c r="M192" i="9"/>
  <c r="L192" i="9"/>
  <c r="K192" i="9"/>
  <c r="J192" i="9"/>
  <c r="I192" i="9"/>
  <c r="H192" i="9"/>
  <c r="G192" i="9"/>
  <c r="F192" i="9"/>
  <c r="P190" i="9"/>
  <c r="O190" i="9"/>
  <c r="N190" i="9"/>
  <c r="M190" i="9"/>
  <c r="L190" i="9"/>
  <c r="K190" i="9"/>
  <c r="J190" i="9"/>
  <c r="I190" i="9"/>
  <c r="H190" i="9"/>
  <c r="G190" i="9"/>
  <c r="F190" i="9"/>
  <c r="P188" i="9"/>
  <c r="O188" i="9"/>
  <c r="N188" i="9"/>
  <c r="M188" i="9"/>
  <c r="L188" i="9"/>
  <c r="K188" i="9"/>
  <c r="J188" i="9"/>
  <c r="I188" i="9"/>
  <c r="H188" i="9"/>
  <c r="G188" i="9"/>
  <c r="F188" i="9"/>
  <c r="P186" i="9"/>
  <c r="O186" i="9"/>
  <c r="N186" i="9"/>
  <c r="M186" i="9"/>
  <c r="L186" i="9"/>
  <c r="K186" i="9"/>
  <c r="J186" i="9"/>
  <c r="I186" i="9"/>
  <c r="H186" i="9"/>
  <c r="G186" i="9"/>
  <c r="F186" i="9"/>
  <c r="P184" i="9"/>
  <c r="O184" i="9"/>
  <c r="N184" i="9"/>
  <c r="M184" i="9"/>
  <c r="L184" i="9"/>
  <c r="K184" i="9"/>
  <c r="J184" i="9"/>
  <c r="I184" i="9"/>
  <c r="H184" i="9"/>
  <c r="G184" i="9"/>
  <c r="F184" i="9"/>
  <c r="P182" i="9"/>
  <c r="O182" i="9"/>
  <c r="N182" i="9"/>
  <c r="M182" i="9"/>
  <c r="L182" i="9"/>
  <c r="K182" i="9"/>
  <c r="J182" i="9"/>
  <c r="I182" i="9"/>
  <c r="H182" i="9"/>
  <c r="G182" i="9"/>
  <c r="F182" i="9"/>
  <c r="P180" i="9"/>
  <c r="O180" i="9"/>
  <c r="N180" i="9"/>
  <c r="M180" i="9"/>
  <c r="L180" i="9"/>
  <c r="K180" i="9"/>
  <c r="J180" i="9"/>
  <c r="I180" i="9"/>
  <c r="H180" i="9"/>
  <c r="G180" i="9"/>
  <c r="F180" i="9"/>
  <c r="F204" i="8"/>
  <c r="G204" i="8"/>
  <c r="H204" i="8"/>
  <c r="I204" i="8"/>
  <c r="J204" i="8"/>
  <c r="K204" i="8"/>
  <c r="L204" i="8"/>
  <c r="M204" i="8"/>
  <c r="N204" i="8"/>
  <c r="O204" i="8"/>
  <c r="P204" i="8"/>
  <c r="F202" i="8"/>
  <c r="G202" i="8"/>
  <c r="H202" i="8"/>
  <c r="I202" i="8"/>
  <c r="J202" i="8"/>
  <c r="K202" i="8"/>
  <c r="L202" i="8"/>
  <c r="M202" i="8"/>
  <c r="N202" i="8"/>
  <c r="O202" i="8"/>
  <c r="P202" i="8"/>
  <c r="F200" i="8"/>
  <c r="G200" i="8"/>
  <c r="H200" i="8"/>
  <c r="I200" i="8"/>
  <c r="J200" i="8"/>
  <c r="K200" i="8"/>
  <c r="L200" i="8"/>
  <c r="M200" i="8"/>
  <c r="N200" i="8"/>
  <c r="O200" i="8"/>
  <c r="P200" i="8"/>
  <c r="F198" i="8"/>
  <c r="G198" i="8"/>
  <c r="H198" i="8"/>
  <c r="I198" i="8"/>
  <c r="J198" i="8"/>
  <c r="K198" i="8"/>
  <c r="L198" i="8"/>
  <c r="M198" i="8"/>
  <c r="N198" i="8"/>
  <c r="O198" i="8"/>
  <c r="P198" i="8"/>
  <c r="F196" i="8"/>
  <c r="G196" i="8"/>
  <c r="H196" i="8"/>
  <c r="I196" i="8"/>
  <c r="J196" i="8"/>
  <c r="K196" i="8"/>
  <c r="L196" i="8"/>
  <c r="M196" i="8"/>
  <c r="N196" i="8"/>
  <c r="O196" i="8"/>
  <c r="P196" i="8"/>
  <c r="F194" i="8"/>
  <c r="G194" i="8"/>
  <c r="H194" i="8"/>
  <c r="I194" i="8"/>
  <c r="J194" i="8"/>
  <c r="K194" i="8"/>
  <c r="L194" i="8"/>
  <c r="M194" i="8"/>
  <c r="N194" i="8"/>
  <c r="O194" i="8"/>
  <c r="P194" i="8"/>
  <c r="F192" i="8"/>
  <c r="G192" i="8"/>
  <c r="H192" i="8"/>
  <c r="I192" i="8"/>
  <c r="J192" i="8"/>
  <c r="K192" i="8"/>
  <c r="L192" i="8"/>
  <c r="M192" i="8"/>
  <c r="N192" i="8"/>
  <c r="O192" i="8"/>
  <c r="P192" i="8"/>
  <c r="F190" i="8"/>
  <c r="G190" i="8"/>
  <c r="H190" i="8"/>
  <c r="I190" i="8"/>
  <c r="J190" i="8"/>
  <c r="K190" i="8"/>
  <c r="L190" i="8"/>
  <c r="M190" i="8"/>
  <c r="N190" i="8"/>
  <c r="O190" i="8"/>
  <c r="P190" i="8"/>
  <c r="F188" i="8"/>
  <c r="G188" i="8"/>
  <c r="H188" i="8"/>
  <c r="I188" i="8"/>
  <c r="J188" i="8"/>
  <c r="K188" i="8"/>
  <c r="L188" i="8"/>
  <c r="M188" i="8"/>
  <c r="N188" i="8"/>
  <c r="O188" i="8"/>
  <c r="P188" i="8"/>
  <c r="F186" i="8"/>
  <c r="G186" i="8"/>
  <c r="H186" i="8"/>
  <c r="I186" i="8"/>
  <c r="J186" i="8"/>
  <c r="K186" i="8"/>
  <c r="L186" i="8"/>
  <c r="M186" i="8"/>
  <c r="N186" i="8"/>
  <c r="O186" i="8"/>
  <c r="P186" i="8"/>
  <c r="F184" i="8"/>
  <c r="G184" i="8"/>
  <c r="H184" i="8"/>
  <c r="I184" i="8"/>
  <c r="J184" i="8"/>
  <c r="K184" i="8"/>
  <c r="L184" i="8"/>
  <c r="M184" i="8"/>
  <c r="N184" i="8"/>
  <c r="O184" i="8"/>
  <c r="P184" i="8"/>
  <c r="F182" i="8"/>
  <c r="G182" i="8"/>
  <c r="H182" i="8"/>
  <c r="I182" i="8"/>
  <c r="J182" i="8"/>
  <c r="K182" i="8"/>
  <c r="L182" i="8"/>
  <c r="M182" i="8"/>
  <c r="N182" i="8"/>
  <c r="O182" i="8"/>
  <c r="P182" i="8"/>
  <c r="F180" i="8"/>
  <c r="G180" i="8"/>
  <c r="H180" i="8"/>
  <c r="I180" i="8"/>
  <c r="J180" i="8"/>
  <c r="K180" i="8"/>
  <c r="L180" i="8"/>
  <c r="M180" i="8"/>
  <c r="N180" i="8"/>
  <c r="O180" i="8"/>
  <c r="P180" i="8"/>
  <c r="B171" i="6"/>
  <c r="F210" i="4"/>
  <c r="G210" i="4"/>
  <c r="H210" i="4"/>
  <c r="I210" i="4"/>
  <c r="J210" i="4"/>
  <c r="K210" i="4"/>
  <c r="L210" i="4"/>
  <c r="M210" i="4"/>
  <c r="N210" i="4"/>
  <c r="O210" i="4"/>
  <c r="P210" i="4"/>
  <c r="F208" i="4"/>
  <c r="G208" i="4"/>
  <c r="H208" i="4"/>
  <c r="I208" i="4"/>
  <c r="J208" i="4"/>
  <c r="K208" i="4"/>
  <c r="L208" i="4"/>
  <c r="M208" i="4"/>
  <c r="N208" i="4"/>
  <c r="O208" i="4"/>
  <c r="P208" i="4"/>
  <c r="F206" i="4"/>
  <c r="G206" i="4"/>
  <c r="H206" i="4"/>
  <c r="I206" i="4"/>
  <c r="J206" i="4"/>
  <c r="K206" i="4"/>
  <c r="L206" i="4"/>
  <c r="M206" i="4"/>
  <c r="N206" i="4"/>
  <c r="O206" i="4"/>
  <c r="P206" i="4"/>
  <c r="F204" i="4"/>
  <c r="G204" i="4"/>
  <c r="H204" i="4"/>
  <c r="I204" i="4"/>
  <c r="J204" i="4"/>
  <c r="K204" i="4"/>
  <c r="L204" i="4"/>
  <c r="M204" i="4"/>
  <c r="N204" i="4"/>
  <c r="O204" i="4"/>
  <c r="P204" i="4"/>
  <c r="F202" i="4"/>
  <c r="G202" i="4"/>
  <c r="H202" i="4"/>
  <c r="I202" i="4"/>
  <c r="J202" i="4"/>
  <c r="K202" i="4"/>
  <c r="L202" i="4"/>
  <c r="M202" i="4"/>
  <c r="N202" i="4"/>
  <c r="O202" i="4"/>
  <c r="P202" i="4"/>
  <c r="F200" i="4"/>
  <c r="G200" i="4"/>
  <c r="H200" i="4"/>
  <c r="I200" i="4"/>
  <c r="J200" i="4"/>
  <c r="K200" i="4"/>
  <c r="L200" i="4"/>
  <c r="M200" i="4"/>
  <c r="N200" i="4"/>
  <c r="O200" i="4"/>
  <c r="P200" i="4"/>
  <c r="F198" i="4"/>
  <c r="G198" i="4"/>
  <c r="H198" i="4"/>
  <c r="I198" i="4"/>
  <c r="J198" i="4"/>
  <c r="K198" i="4"/>
  <c r="L198" i="4"/>
  <c r="M198" i="4"/>
  <c r="N198" i="4"/>
  <c r="O198" i="4"/>
  <c r="P198" i="4"/>
  <c r="F196" i="4"/>
  <c r="G196" i="4"/>
  <c r="H196" i="4"/>
  <c r="I196" i="4"/>
  <c r="J196" i="4"/>
  <c r="K196" i="4"/>
  <c r="L196" i="4"/>
  <c r="M196" i="4"/>
  <c r="N196" i="4"/>
  <c r="O196" i="4"/>
  <c r="P196" i="4"/>
  <c r="F194" i="4"/>
  <c r="G194" i="4"/>
  <c r="H194" i="4"/>
  <c r="I194" i="4"/>
  <c r="J194" i="4"/>
  <c r="K194" i="4"/>
  <c r="L194" i="4"/>
  <c r="M194" i="4"/>
  <c r="N194" i="4"/>
  <c r="O194" i="4"/>
  <c r="P194" i="4"/>
  <c r="F192" i="4"/>
  <c r="G192" i="4"/>
  <c r="H192" i="4"/>
  <c r="I192" i="4"/>
  <c r="J192" i="4"/>
  <c r="K192" i="4"/>
  <c r="L192" i="4"/>
  <c r="M192" i="4"/>
  <c r="N192" i="4"/>
  <c r="O192" i="4"/>
  <c r="P192" i="4"/>
  <c r="F190" i="4"/>
  <c r="G190" i="4"/>
  <c r="H190" i="4"/>
  <c r="I190" i="4"/>
  <c r="J190" i="4"/>
  <c r="K190" i="4"/>
  <c r="L190" i="4"/>
  <c r="M190" i="4"/>
  <c r="N190" i="4"/>
  <c r="O190" i="4"/>
  <c r="P190" i="4"/>
  <c r="F188" i="4"/>
  <c r="G188" i="4"/>
  <c r="H188" i="4"/>
  <c r="I188" i="4"/>
  <c r="J188" i="4"/>
  <c r="K188" i="4"/>
  <c r="L188" i="4"/>
  <c r="M188" i="4"/>
  <c r="N188" i="4"/>
  <c r="O188" i="4"/>
  <c r="P188" i="4"/>
  <c r="F186" i="4"/>
  <c r="G186" i="4"/>
  <c r="H186" i="4"/>
  <c r="I186" i="4"/>
  <c r="J186" i="4"/>
  <c r="K186" i="4"/>
  <c r="L186" i="4"/>
  <c r="M186" i="4"/>
  <c r="N186" i="4"/>
  <c r="O186" i="4"/>
  <c r="P186" i="4"/>
  <c r="C148" i="4"/>
  <c r="D148" i="4"/>
  <c r="E148" i="4"/>
  <c r="F148" i="4"/>
  <c r="G148" i="4"/>
  <c r="H148" i="4"/>
  <c r="I148" i="4"/>
  <c r="J148" i="4"/>
  <c r="K148" i="4"/>
  <c r="L148" i="4"/>
  <c r="M148" i="4"/>
  <c r="N148" i="4"/>
  <c r="O148" i="4"/>
  <c r="P148" i="4"/>
  <c r="C140" i="4"/>
  <c r="D140" i="4"/>
  <c r="E140" i="4"/>
  <c r="F140" i="4"/>
  <c r="G140" i="4"/>
  <c r="H140" i="4"/>
  <c r="I140" i="4"/>
  <c r="J140" i="4"/>
  <c r="K140" i="4"/>
  <c r="L140" i="4"/>
  <c r="M140" i="4"/>
  <c r="N140" i="4"/>
  <c r="O140" i="4"/>
  <c r="P140" i="4"/>
  <c r="C136" i="4"/>
  <c r="D136" i="4"/>
  <c r="E136" i="4"/>
  <c r="F136" i="4"/>
  <c r="G136" i="4"/>
  <c r="H136" i="4"/>
  <c r="I136" i="4"/>
  <c r="J136" i="4"/>
  <c r="K136" i="4"/>
  <c r="L136" i="4"/>
  <c r="M136" i="4"/>
  <c r="N136" i="4"/>
  <c r="O136" i="4"/>
  <c r="P136" i="4"/>
  <c r="B34" i="4"/>
  <c r="B38" i="11"/>
  <c r="B34" i="11"/>
  <c r="I110" i="12"/>
  <c r="F176" i="12"/>
  <c r="I48" i="12"/>
  <c r="O214" i="12"/>
  <c r="P70" i="12"/>
  <c r="C104" i="12"/>
  <c r="D104" i="12"/>
  <c r="F126" i="12"/>
  <c r="P216" i="12"/>
  <c r="S175" i="12"/>
  <c r="N176" i="12"/>
  <c r="P212" i="12"/>
  <c r="G91" i="12"/>
  <c r="F167" i="12"/>
  <c r="K2" i="12"/>
  <c r="P7" i="12"/>
  <c r="J15" i="12"/>
  <c r="G48" i="12"/>
  <c r="K176" i="12"/>
  <c r="O210" i="12"/>
  <c r="G153" i="12"/>
  <c r="I134" i="12"/>
  <c r="G142" i="12"/>
  <c r="S105" i="12"/>
  <c r="H110" i="12"/>
  <c r="F142" i="12"/>
  <c r="E167" i="12"/>
  <c r="N7" i="12"/>
  <c r="P108" i="12"/>
  <c r="F110" i="12"/>
  <c r="F134" i="12"/>
  <c r="B2" i="12"/>
  <c r="D2" i="12"/>
  <c r="L9" i="12"/>
  <c r="I210" i="12"/>
  <c r="O206" i="10"/>
  <c r="G206" i="10"/>
  <c r="L2" i="12"/>
  <c r="D7" i="12"/>
  <c r="N15" i="12"/>
  <c r="L70" i="12"/>
  <c r="H104" i="12"/>
  <c r="D108" i="12"/>
  <c r="S133" i="12"/>
  <c r="H142" i="12"/>
  <c r="O176" i="12"/>
  <c r="G176" i="12"/>
  <c r="O212" i="12"/>
  <c r="J214" i="12"/>
  <c r="L216" i="12"/>
  <c r="P2" i="12"/>
  <c r="F216" i="12"/>
  <c r="H214" i="12"/>
  <c r="L206" i="10"/>
  <c r="O5" i="12"/>
  <c r="O9" i="12"/>
  <c r="M12" i="12"/>
  <c r="K15" i="12"/>
  <c r="L23" i="12"/>
  <c r="J21" i="12"/>
  <c r="H19" i="12"/>
  <c r="I108" i="12"/>
  <c r="G110" i="12"/>
  <c r="G138" i="12"/>
  <c r="F140" i="12"/>
  <c r="E142" i="12"/>
  <c r="P210" i="12"/>
  <c r="N2" i="12"/>
  <c r="F2" i="12"/>
  <c r="N210" i="12"/>
  <c r="I212" i="12"/>
  <c r="L214" i="12"/>
  <c r="O216" i="12"/>
  <c r="D5" i="12"/>
  <c r="F7" i="12"/>
  <c r="D9" i="12"/>
  <c r="J12" i="12"/>
  <c r="H15" i="12"/>
  <c r="G21" i="12"/>
  <c r="E19" i="12"/>
  <c r="K50" i="12"/>
  <c r="G54" i="12"/>
  <c r="P98" i="12"/>
  <c r="H106" i="12"/>
  <c r="N108" i="12"/>
  <c r="F108" i="12"/>
  <c r="L110" i="12"/>
  <c r="D110" i="12"/>
  <c r="D134" i="12"/>
  <c r="J142" i="12"/>
  <c r="I176" i="12"/>
  <c r="M210" i="12"/>
  <c r="H5" i="12"/>
  <c r="P9" i="12"/>
  <c r="F12" i="12"/>
  <c r="L15" i="12"/>
  <c r="D15" i="12"/>
  <c r="E23" i="12"/>
  <c r="M106" i="12"/>
  <c r="P142" i="12"/>
  <c r="P176" i="12"/>
  <c r="P134" i="12"/>
  <c r="N142" i="12"/>
  <c r="M176" i="12"/>
  <c r="G9" i="12"/>
  <c r="E12" i="12"/>
  <c r="L142" i="12"/>
  <c r="S211" i="12"/>
  <c r="I214" i="12"/>
  <c r="I15" i="12"/>
  <c r="J23" i="12"/>
  <c r="H21" i="12"/>
  <c r="E134" i="12"/>
  <c r="C142" i="12"/>
  <c r="H212" i="12"/>
  <c r="P206" i="10"/>
  <c r="M7" i="12"/>
  <c r="E7" i="12"/>
  <c r="I12" i="12"/>
  <c r="O15" i="12"/>
  <c r="G15" i="12"/>
  <c r="L48" i="12"/>
  <c r="K134" i="12"/>
  <c r="J140" i="12"/>
  <c r="I142" i="12"/>
  <c r="H176" i="12"/>
  <c r="L210" i="12"/>
  <c r="M216" i="12"/>
  <c r="L96" i="12"/>
  <c r="F171" i="12"/>
  <c r="L138" i="12"/>
  <c r="F138" i="12"/>
  <c r="O170" i="12"/>
  <c r="E128" i="12"/>
  <c r="J110" i="12"/>
  <c r="K108" i="12"/>
  <c r="H108" i="12"/>
  <c r="E106" i="12"/>
  <c r="F106" i="12"/>
  <c r="P104" i="12"/>
  <c r="G104" i="12"/>
  <c r="E99" i="12"/>
  <c r="I82" i="12"/>
  <c r="D70" i="12"/>
  <c r="E54" i="12"/>
  <c r="E138" i="12"/>
  <c r="D138" i="12"/>
  <c r="H90" i="12"/>
  <c r="J90" i="12"/>
  <c r="L88" i="12"/>
  <c r="D80" i="12"/>
  <c r="H70" i="12"/>
  <c r="R137" i="12"/>
  <c r="D152" i="12"/>
  <c r="C70" i="12"/>
  <c r="F52" i="12"/>
  <c r="E52" i="12"/>
  <c r="G170" i="12"/>
  <c r="L128" i="12"/>
  <c r="D128" i="12"/>
  <c r="C126" i="12"/>
  <c r="N110" i="12"/>
  <c r="M110" i="12"/>
  <c r="J104" i="12"/>
  <c r="I104" i="12"/>
  <c r="G111" i="12"/>
  <c r="P90" i="12"/>
  <c r="L90" i="12"/>
  <c r="M90" i="12"/>
  <c r="K91" i="12"/>
  <c r="M82" i="12"/>
  <c r="C54" i="12"/>
  <c r="K54" i="12"/>
  <c r="N54" i="12"/>
  <c r="R51" i="12"/>
  <c r="D52" i="12"/>
  <c r="M50" i="12"/>
  <c r="G50" i="12"/>
  <c r="F48" i="12"/>
  <c r="C48" i="12"/>
  <c r="D48" i="12"/>
  <c r="O138" i="12"/>
  <c r="N138" i="12"/>
  <c r="M98" i="12"/>
  <c r="C98" i="12"/>
  <c r="E161" i="12"/>
  <c r="F162" i="12"/>
  <c r="M96" i="12"/>
  <c r="L155" i="12"/>
  <c r="L156" i="12"/>
  <c r="O90" i="12"/>
  <c r="D90" i="12"/>
  <c r="I151" i="12"/>
  <c r="I152" i="12"/>
  <c r="P83" i="12"/>
  <c r="C83" i="12"/>
  <c r="K83" i="12"/>
  <c r="F83" i="12"/>
  <c r="F54" i="12"/>
  <c r="D54" i="12"/>
  <c r="L52" i="12"/>
  <c r="M52" i="12"/>
  <c r="N50" i="12"/>
  <c r="H50" i="12"/>
  <c r="F50" i="12"/>
  <c r="R49" i="12"/>
  <c r="P48" i="12"/>
  <c r="F98" i="12"/>
  <c r="E88" i="12"/>
  <c r="E98" i="12"/>
  <c r="F9" i="12"/>
  <c r="M83" i="12"/>
  <c r="O136" i="12"/>
  <c r="N217" i="12"/>
  <c r="G217" i="12"/>
  <c r="E50" i="12"/>
  <c r="E217" i="12"/>
  <c r="O126" i="12"/>
  <c r="F80" i="12"/>
  <c r="H163" i="12"/>
  <c r="E83" i="12"/>
  <c r="B99" i="12"/>
  <c r="C110" i="12"/>
  <c r="E140" i="12"/>
  <c r="H210" i="12"/>
  <c r="L83" i="12"/>
  <c r="I88" i="12"/>
  <c r="L151" i="12"/>
  <c r="L152" i="12"/>
  <c r="C52" i="12"/>
  <c r="F104" i="12"/>
  <c r="L217" i="12"/>
  <c r="G163" i="12"/>
  <c r="G164" i="12"/>
  <c r="C108" i="12"/>
  <c r="N80" i="12"/>
  <c r="K128" i="12"/>
  <c r="J163" i="12"/>
  <c r="K164" i="12"/>
  <c r="G212" i="12"/>
  <c r="L5" i="12"/>
  <c r="I52" i="12"/>
  <c r="P91" i="12"/>
  <c r="P96" i="12"/>
  <c r="N106" i="12"/>
  <c r="H217" i="12"/>
  <c r="N140" i="12"/>
  <c r="K82" i="12"/>
  <c r="C2" i="12"/>
  <c r="K147" i="12"/>
  <c r="I99" i="12"/>
  <c r="H88" i="12"/>
  <c r="G5" i="12"/>
  <c r="G90" i="12"/>
  <c r="C7" i="12"/>
  <c r="O80" i="12"/>
  <c r="B129" i="12"/>
  <c r="F55" i="12"/>
  <c r="M99" i="12"/>
  <c r="H7" i="12"/>
  <c r="L212" i="12"/>
  <c r="N70" i="12"/>
  <c r="P50" i="12"/>
  <c r="K217" i="12"/>
  <c r="E126" i="12"/>
  <c r="C129" i="12"/>
  <c r="C167" i="12"/>
  <c r="C168" i="12"/>
  <c r="L7" i="12"/>
  <c r="F15" i="12"/>
  <c r="N91" i="12"/>
  <c r="L99" i="12"/>
  <c r="C134" i="12"/>
  <c r="C138" i="12"/>
  <c r="D12" i="12"/>
  <c r="M134" i="12"/>
  <c r="O12" i="12"/>
  <c r="D126" i="12"/>
  <c r="D129" i="12"/>
  <c r="E130" i="12"/>
  <c r="K157" i="12"/>
  <c r="K153" i="12"/>
  <c r="E15" i="12"/>
  <c r="M136" i="12"/>
  <c r="P12" i="12"/>
  <c r="M54" i="12"/>
  <c r="F90" i="12"/>
  <c r="M140" i="12"/>
  <c r="L129" i="12"/>
  <c r="L82" i="12"/>
  <c r="L157" i="12"/>
  <c r="G214" i="12"/>
  <c r="H99" i="12"/>
  <c r="G96" i="12"/>
  <c r="C9" i="12"/>
  <c r="B55" i="12"/>
  <c r="H83" i="12"/>
  <c r="F91" i="12"/>
  <c r="G92" i="12"/>
  <c r="O217" i="12"/>
  <c r="H96" i="12"/>
  <c r="C15" i="12"/>
  <c r="D23" i="12"/>
  <c r="H48" i="12"/>
  <c r="M88" i="12"/>
  <c r="I98" i="12"/>
  <c r="I106" i="12"/>
  <c r="E110" i="12"/>
  <c r="C128" i="12"/>
  <c r="N212" i="12"/>
  <c r="L12" i="12"/>
  <c r="M171" i="12"/>
  <c r="M172" i="12"/>
  <c r="E80" i="12"/>
  <c r="O98" i="12"/>
  <c r="C91" i="12"/>
  <c r="H134" i="12"/>
  <c r="D99" i="12"/>
  <c r="E157" i="12"/>
  <c r="E158" i="12"/>
  <c r="N216" i="12"/>
  <c r="J50" i="12"/>
  <c r="G136" i="12"/>
  <c r="M142" i="12"/>
  <c r="M111" i="12"/>
  <c r="N167" i="12"/>
  <c r="N165" i="12"/>
  <c r="G12" i="12"/>
  <c r="N129" i="12"/>
  <c r="C149" i="12"/>
  <c r="C147" i="12"/>
  <c r="O50" i="12"/>
  <c r="E82" i="12"/>
  <c r="L91" i="12"/>
  <c r="L126" i="12"/>
  <c r="M138" i="12"/>
  <c r="D149" i="12"/>
  <c r="D147" i="12"/>
  <c r="I158" i="12"/>
  <c r="C169" i="12"/>
  <c r="J176" i="12"/>
  <c r="F214" i="12"/>
  <c r="F217" i="12"/>
  <c r="R89" i="12"/>
  <c r="G108" i="12"/>
  <c r="P217" i="12"/>
  <c r="L159" i="12"/>
  <c r="C88" i="12"/>
  <c r="I80" i="12"/>
  <c r="L167" i="12"/>
  <c r="M168" i="12"/>
  <c r="F88" i="12"/>
  <c r="F157" i="12"/>
  <c r="G158" i="12"/>
  <c r="O91" i="12"/>
  <c r="I9" i="12"/>
  <c r="D82" i="12"/>
  <c r="N214" i="12"/>
  <c r="N88" i="12"/>
  <c r="R103" i="12"/>
  <c r="M126" i="12"/>
  <c r="E149" i="12"/>
  <c r="F150" i="12"/>
  <c r="D169" i="12"/>
  <c r="R169" i="12"/>
  <c r="E2" i="12"/>
  <c r="S53" i="12"/>
  <c r="K70" i="12"/>
  <c r="O108" i="12"/>
  <c r="N5" i="12"/>
  <c r="K129" i="12"/>
  <c r="P5" i="12"/>
  <c r="C90" i="12"/>
  <c r="R95" i="12"/>
  <c r="N126" i="12"/>
  <c r="L134" i="12"/>
  <c r="S209" i="12"/>
  <c r="S14" i="12"/>
  <c r="P15" i="12"/>
  <c r="M19" i="12"/>
  <c r="E48" i="12"/>
  <c r="C50" i="12"/>
  <c r="O54" i="12"/>
  <c r="R87" i="12"/>
  <c r="F99" i="12"/>
  <c r="F100" i="12"/>
  <c r="R107" i="12"/>
  <c r="F210" i="12"/>
  <c r="S213" i="12"/>
  <c r="L140" i="12"/>
  <c r="G80" i="12"/>
  <c r="N9" i="12"/>
  <c r="H80" i="12"/>
  <c r="P106" i="12"/>
  <c r="K5" i="12"/>
  <c r="F212" i="12"/>
  <c r="J54" i="12"/>
  <c r="L136" i="12"/>
  <c r="O2" i="12"/>
  <c r="S11" i="12"/>
  <c r="D91" i="12"/>
  <c r="K48" i="12"/>
  <c r="M164" i="12"/>
  <c r="S215" i="12"/>
  <c r="K7" i="12"/>
  <c r="D96" i="12"/>
  <c r="H149" i="12"/>
  <c r="I150" i="12"/>
  <c r="L169" i="12"/>
  <c r="L170" i="12"/>
  <c r="P52" i="12"/>
  <c r="I70" i="12"/>
  <c r="D88" i="12"/>
  <c r="K212" i="12"/>
  <c r="H52" i="12"/>
  <c r="O96" i="12"/>
  <c r="H12" i="12"/>
  <c r="B83" i="12"/>
  <c r="L98" i="12"/>
  <c r="D163" i="12"/>
  <c r="C5" i="12"/>
  <c r="M15" i="12"/>
  <c r="L21" i="12"/>
  <c r="J19" i="12"/>
  <c r="S49" i="12"/>
  <c r="N55" i="12"/>
  <c r="E91" i="12"/>
  <c r="C106" i="12"/>
  <c r="O111" i="12"/>
  <c r="M129" i="12"/>
  <c r="H206" i="10"/>
  <c r="I206" i="10"/>
  <c r="G24" i="12"/>
  <c r="I23" i="12"/>
  <c r="P21" i="12"/>
  <c r="O21" i="12"/>
  <c r="D21" i="12"/>
  <c r="L19" i="12"/>
  <c r="K24" i="12"/>
  <c r="P19" i="12"/>
  <c r="O24" i="12"/>
  <c r="H23" i="12"/>
  <c r="N23" i="12"/>
  <c r="F23" i="12"/>
  <c r="I21" i="12"/>
  <c r="S20" i="12"/>
  <c r="C24" i="12"/>
  <c r="M23" i="12"/>
  <c r="S22" i="12"/>
  <c r="K23" i="12"/>
  <c r="C23" i="12"/>
  <c r="I24" i="12"/>
  <c r="B24" i="12"/>
  <c r="K21" i="12"/>
  <c r="C21" i="12"/>
  <c r="O19" i="12"/>
  <c r="G19" i="12"/>
  <c r="N19" i="12"/>
  <c r="F19" i="12"/>
  <c r="M24" i="12"/>
  <c r="E24" i="12"/>
  <c r="I19" i="12"/>
  <c r="J216" i="12"/>
  <c r="K216" i="12"/>
  <c r="K214" i="12"/>
  <c r="M214" i="12"/>
  <c r="J212" i="12"/>
  <c r="M212" i="12"/>
  <c r="K210" i="12"/>
  <c r="M217" i="12"/>
  <c r="I217" i="12"/>
  <c r="J217" i="12"/>
  <c r="K218" i="12"/>
  <c r="J205" i="12"/>
  <c r="J206" i="12"/>
  <c r="F205" i="12"/>
  <c r="G206" i="12"/>
  <c r="S195" i="12"/>
  <c r="P205" i="12"/>
  <c r="O205" i="12"/>
  <c r="M205" i="12"/>
  <c r="N206" i="12"/>
  <c r="L205" i="12"/>
  <c r="K205" i="12"/>
  <c r="E205" i="12"/>
  <c r="L176" i="12"/>
  <c r="G2" i="12"/>
  <c r="H9" i="12"/>
  <c r="N12" i="12"/>
  <c r="H24" i="12"/>
  <c r="C55" i="12"/>
  <c r="E70" i="12"/>
  <c r="L80" i="12"/>
  <c r="D83" i="12"/>
  <c r="J88" i="12"/>
  <c r="N90" i="12"/>
  <c r="H91" i="12"/>
  <c r="H92" i="12"/>
  <c r="D98" i="12"/>
  <c r="N99" i="12"/>
  <c r="G106" i="12"/>
  <c r="E108" i="12"/>
  <c r="P110" i="12"/>
  <c r="P129" i="12"/>
  <c r="D140" i="12"/>
  <c r="O150" i="12"/>
  <c r="H155" i="12"/>
  <c r="H153" i="12"/>
  <c r="K161" i="12"/>
  <c r="K162" i="12"/>
  <c r="P163" i="12"/>
  <c r="P164" i="12"/>
  <c r="M165" i="12"/>
  <c r="H171" i="12"/>
  <c r="I172" i="12"/>
  <c r="I7" i="12"/>
  <c r="N24" i="12"/>
  <c r="F24" i="12"/>
  <c r="L24" i="12"/>
  <c r="R20" i="12"/>
  <c r="S18" i="12"/>
  <c r="C19" i="12"/>
  <c r="K19" i="12"/>
  <c r="E21" i="12"/>
  <c r="M21" i="12"/>
  <c r="G23" i="12"/>
  <c r="O23" i="12"/>
  <c r="O70" i="12"/>
  <c r="G70" i="12"/>
  <c r="O164" i="12"/>
  <c r="J138" i="12"/>
  <c r="K140" i="12"/>
  <c r="H2" i="12"/>
  <c r="F5" i="12"/>
  <c r="O7" i="12"/>
  <c r="E55" i="12"/>
  <c r="F70" i="12"/>
  <c r="M80" i="12"/>
  <c r="H82" i="12"/>
  <c r="E90" i="12"/>
  <c r="E96" i="12"/>
  <c r="E111" i="12"/>
  <c r="O157" i="12"/>
  <c r="P158" i="12"/>
  <c r="K171" i="12"/>
  <c r="L172" i="12"/>
  <c r="D19" i="12"/>
  <c r="F21" i="12"/>
  <c r="N21" i="12"/>
  <c r="P23" i="12"/>
  <c r="L106" i="12"/>
  <c r="D106" i="12"/>
  <c r="S137" i="12"/>
  <c r="H138" i="12"/>
  <c r="M9" i="12"/>
  <c r="R22" i="12"/>
  <c r="R47" i="12"/>
  <c r="N52" i="12"/>
  <c r="L54" i="12"/>
  <c r="K55" i="12"/>
  <c r="M91" i="12"/>
  <c r="I96" i="12"/>
  <c r="E104" i="12"/>
  <c r="N104" i="12"/>
  <c r="O106" i="12"/>
  <c r="L108" i="12"/>
  <c r="L111" i="12"/>
  <c r="G126" i="12"/>
  <c r="I128" i="12"/>
  <c r="H129" i="12"/>
  <c r="G134" i="12"/>
  <c r="M155" i="12"/>
  <c r="M153" i="12"/>
  <c r="B159" i="12"/>
  <c r="N161" i="12"/>
  <c r="N159" i="12"/>
  <c r="M5" i="12"/>
  <c r="E5" i="12"/>
  <c r="R14" i="12"/>
  <c r="N83" i="12"/>
  <c r="K106" i="12"/>
  <c r="O134" i="12"/>
  <c r="P140" i="12"/>
  <c r="M2" i="12"/>
  <c r="M3" i="12"/>
  <c r="G7" i="12"/>
  <c r="M48" i="12"/>
  <c r="R53" i="12"/>
  <c r="M55" i="12"/>
  <c r="I83" i="12"/>
  <c r="O88" i="12"/>
  <c r="M108" i="12"/>
  <c r="K110" i="12"/>
  <c r="E165" i="12"/>
  <c r="E9" i="12"/>
  <c r="K12" i="12"/>
  <c r="P24" i="12"/>
  <c r="N48" i="12"/>
  <c r="M70" i="12"/>
  <c r="R81" i="12"/>
  <c r="P82" i="12"/>
  <c r="G88" i="12"/>
  <c r="P88" i="12"/>
  <c r="N98" i="12"/>
  <c r="N111" i="12"/>
  <c r="L149" i="12"/>
  <c r="M150" i="12"/>
  <c r="P155" i="12"/>
  <c r="S155" i="12"/>
  <c r="I206" i="12"/>
  <c r="S8" i="12"/>
  <c r="J156" i="12"/>
  <c r="P99" i="12"/>
  <c r="K136" i="12"/>
  <c r="C82" i="12"/>
  <c r="S89" i="12"/>
  <c r="M128" i="12"/>
  <c r="I5" i="12"/>
  <c r="L50" i="12"/>
  <c r="D50" i="12"/>
  <c r="J55" i="12"/>
  <c r="H54" i="12"/>
  <c r="O99" i="12"/>
  <c r="G99" i="12"/>
  <c r="C111" i="12"/>
  <c r="J136" i="12"/>
  <c r="K138" i="12"/>
  <c r="O142" i="12"/>
  <c r="J171" i="12"/>
  <c r="S171" i="12"/>
  <c r="R139" i="12"/>
  <c r="C172" i="12"/>
  <c r="F172" i="12"/>
  <c r="I140" i="12"/>
  <c r="C140" i="12"/>
  <c r="P138" i="12"/>
  <c r="C136" i="12"/>
  <c r="N134" i="12"/>
  <c r="R141" i="12"/>
  <c r="S141" i="12"/>
  <c r="K142" i="12"/>
  <c r="S139" i="12"/>
  <c r="G171" i="12"/>
  <c r="O171" i="12"/>
  <c r="O172" i="12"/>
  <c r="G140" i="12"/>
  <c r="O140" i="12"/>
  <c r="D172" i="12"/>
  <c r="I138" i="12"/>
  <c r="F136" i="12"/>
  <c r="N136" i="12"/>
  <c r="S135" i="12"/>
  <c r="J134" i="12"/>
  <c r="R133" i="12"/>
  <c r="P128" i="12"/>
  <c r="H170" i="12"/>
  <c r="R127" i="12"/>
  <c r="I170" i="12"/>
  <c r="H128" i="12"/>
  <c r="P170" i="12"/>
  <c r="S127" i="12"/>
  <c r="J128" i="12"/>
  <c r="F129" i="12"/>
  <c r="F128" i="12"/>
  <c r="N128" i="12"/>
  <c r="G129" i="12"/>
  <c r="O129" i="12"/>
  <c r="G128" i="12"/>
  <c r="O128" i="12"/>
  <c r="P168" i="12"/>
  <c r="S167" i="12"/>
  <c r="P165" i="12"/>
  <c r="H168" i="12"/>
  <c r="H165" i="12"/>
  <c r="O165" i="12"/>
  <c r="G168" i="12"/>
  <c r="G165" i="12"/>
  <c r="I168" i="12"/>
  <c r="I165" i="12"/>
  <c r="H126" i="12"/>
  <c r="F168" i="12"/>
  <c r="R125" i="12"/>
  <c r="I126" i="12"/>
  <c r="J129" i="12"/>
  <c r="F165" i="12"/>
  <c r="K165" i="12"/>
  <c r="P126" i="12"/>
  <c r="I129" i="12"/>
  <c r="S125" i="12"/>
  <c r="J126" i="12"/>
  <c r="K126" i="12"/>
  <c r="K111" i="12"/>
  <c r="O110" i="12"/>
  <c r="R109" i="12"/>
  <c r="S109" i="12"/>
  <c r="S107" i="12"/>
  <c r="J108" i="12"/>
  <c r="P111" i="12"/>
  <c r="I111" i="12"/>
  <c r="H111" i="12"/>
  <c r="R105" i="12"/>
  <c r="J111" i="12"/>
  <c r="J106" i="12"/>
  <c r="D111" i="12"/>
  <c r="F111" i="12"/>
  <c r="S103" i="12"/>
  <c r="K104" i="12"/>
  <c r="B111" i="12"/>
  <c r="S97" i="12"/>
  <c r="J98" i="12"/>
  <c r="G161" i="12"/>
  <c r="O161" i="12"/>
  <c r="O159" i="12"/>
  <c r="K98" i="12"/>
  <c r="P161" i="12"/>
  <c r="I161" i="12"/>
  <c r="I162" i="12"/>
  <c r="G98" i="12"/>
  <c r="D162" i="12"/>
  <c r="H98" i="12"/>
  <c r="M162" i="12"/>
  <c r="R97" i="12"/>
  <c r="C159" i="12"/>
  <c r="K156" i="12"/>
  <c r="C156" i="12"/>
  <c r="C153" i="12"/>
  <c r="F96" i="12"/>
  <c r="N96" i="12"/>
  <c r="F155" i="12"/>
  <c r="F156" i="12"/>
  <c r="N155" i="12"/>
  <c r="O156" i="12"/>
  <c r="J99" i="12"/>
  <c r="S95" i="12"/>
  <c r="J96" i="12"/>
  <c r="C99" i="12"/>
  <c r="K99" i="12"/>
  <c r="C96" i="12"/>
  <c r="K96" i="12"/>
  <c r="C162" i="12"/>
  <c r="L164" i="12"/>
  <c r="J91" i="12"/>
  <c r="F164" i="12"/>
  <c r="N164" i="12"/>
  <c r="I91" i="12"/>
  <c r="K90" i="12"/>
  <c r="M159" i="12"/>
  <c r="I90" i="12"/>
  <c r="S87" i="12"/>
  <c r="K88" i="12"/>
  <c r="J157" i="12"/>
  <c r="S157" i="12"/>
  <c r="D158" i="12"/>
  <c r="I153" i="12"/>
  <c r="B157" i="12"/>
  <c r="B153" i="12"/>
  <c r="B91" i="12"/>
  <c r="G152" i="12"/>
  <c r="G147" i="12"/>
  <c r="F152" i="12"/>
  <c r="F147" i="12"/>
  <c r="O147" i="12"/>
  <c r="O83" i="12"/>
  <c r="F82" i="12"/>
  <c r="N82" i="12"/>
  <c r="G83" i="12"/>
  <c r="J151" i="12"/>
  <c r="K152" i="12"/>
  <c r="G82" i="12"/>
  <c r="O82" i="12"/>
  <c r="S81" i="12"/>
  <c r="J82" i="12"/>
  <c r="N151" i="12"/>
  <c r="O152" i="12"/>
  <c r="H152" i="12"/>
  <c r="P152" i="12"/>
  <c r="J83" i="12"/>
  <c r="M147" i="12"/>
  <c r="R79" i="12"/>
  <c r="J80" i="12"/>
  <c r="N150" i="12"/>
  <c r="S79" i="12"/>
  <c r="K80" i="12"/>
  <c r="G150" i="12"/>
  <c r="S149" i="12"/>
  <c r="K150" i="12"/>
  <c r="C80" i="12"/>
  <c r="B147" i="12"/>
  <c r="R69" i="12"/>
  <c r="S69" i="12"/>
  <c r="J70" i="12"/>
  <c r="I55" i="12"/>
  <c r="P54" i="12"/>
  <c r="I54" i="12"/>
  <c r="H55" i="12"/>
  <c r="K52" i="12"/>
  <c r="O55" i="12"/>
  <c r="J52" i="12"/>
  <c r="G55" i="12"/>
  <c r="S51" i="12"/>
  <c r="G52" i="12"/>
  <c r="O52" i="12"/>
  <c r="P55" i="12"/>
  <c r="I50" i="12"/>
  <c r="D55" i="12"/>
  <c r="L55" i="12"/>
  <c r="S47" i="12"/>
  <c r="J48" i="12"/>
  <c r="J24" i="12"/>
  <c r="D24" i="12"/>
  <c r="R18" i="12"/>
  <c r="C12" i="12"/>
  <c r="R11" i="12"/>
  <c r="R8" i="12"/>
  <c r="J9" i="12"/>
  <c r="K9" i="12"/>
  <c r="R6" i="12"/>
  <c r="S6" i="12"/>
  <c r="J7" i="12"/>
  <c r="L3" i="12"/>
  <c r="I2" i="12"/>
  <c r="J2" i="12"/>
  <c r="R4" i="12"/>
  <c r="J5" i="12"/>
  <c r="S4" i="12"/>
  <c r="K206" i="10"/>
  <c r="M206" i="10"/>
  <c r="F206" i="10"/>
  <c r="N206" i="10"/>
  <c r="C152" i="12"/>
  <c r="E156" i="12"/>
  <c r="K168" i="12"/>
  <c r="E172" i="12"/>
  <c r="P147" i="12"/>
  <c r="D153" i="12"/>
  <c r="B165" i="12"/>
  <c r="J165" i="12"/>
  <c r="J168" i="12"/>
  <c r="S169" i="12"/>
  <c r="J170" i="12"/>
  <c r="J150" i="12"/>
  <c r="N158" i="12"/>
  <c r="K170" i="12"/>
  <c r="D156" i="12"/>
  <c r="F159" i="12"/>
  <c r="P150" i="12"/>
  <c r="R167" i="12"/>
  <c r="H206" i="12"/>
  <c r="R161" i="12"/>
  <c r="E152" i="12"/>
  <c r="H158" i="12"/>
  <c r="C164" i="12"/>
  <c r="E168" i="12"/>
  <c r="F170" i="12"/>
  <c r="N170" i="12"/>
  <c r="R155" i="12"/>
  <c r="G3" i="12"/>
  <c r="H218" i="12"/>
  <c r="N3" i="12"/>
  <c r="I218" i="12"/>
  <c r="C3" i="12"/>
  <c r="H154" i="12"/>
  <c r="M130" i="12"/>
  <c r="L218" i="12"/>
  <c r="F3" i="12"/>
  <c r="S2" i="12"/>
  <c r="N172" i="12"/>
  <c r="P3" i="12"/>
  <c r="O218" i="12"/>
  <c r="E3" i="12"/>
  <c r="H147" i="12"/>
  <c r="H148" i="12"/>
  <c r="D3" i="12"/>
  <c r="G172" i="12"/>
  <c r="E100" i="12"/>
  <c r="R171" i="12"/>
  <c r="P172" i="12"/>
  <c r="J172" i="12"/>
  <c r="K172" i="12"/>
  <c r="C165" i="12"/>
  <c r="C145" i="12"/>
  <c r="D168" i="12"/>
  <c r="S129" i="12"/>
  <c r="L92" i="12"/>
  <c r="E162" i="12"/>
  <c r="I100" i="12"/>
  <c r="D154" i="12"/>
  <c r="L158" i="12"/>
  <c r="M152" i="12"/>
  <c r="I147" i="12"/>
  <c r="F84" i="12"/>
  <c r="D84" i="12"/>
  <c r="M170" i="12"/>
  <c r="D165" i="12"/>
  <c r="E166" i="12"/>
  <c r="E170" i="12"/>
  <c r="N130" i="12"/>
  <c r="L168" i="12"/>
  <c r="C130" i="12"/>
  <c r="L165" i="12"/>
  <c r="L166" i="12"/>
  <c r="D130" i="12"/>
  <c r="G130" i="12"/>
  <c r="I130" i="12"/>
  <c r="F166" i="12"/>
  <c r="K112" i="12"/>
  <c r="E43" i="12"/>
  <c r="O112" i="12"/>
  <c r="C112" i="12"/>
  <c r="E159" i="12"/>
  <c r="F160" i="12"/>
  <c r="I156" i="12"/>
  <c r="N100" i="12"/>
  <c r="F92" i="12"/>
  <c r="M158" i="12"/>
  <c r="L153" i="12"/>
  <c r="L154" i="12"/>
  <c r="G84" i="12"/>
  <c r="S83" i="12"/>
  <c r="H150" i="12"/>
  <c r="M100" i="12"/>
  <c r="J100" i="12"/>
  <c r="C154" i="12"/>
  <c r="H100" i="12"/>
  <c r="P92" i="12"/>
  <c r="H164" i="12"/>
  <c r="O92" i="12"/>
  <c r="I92" i="12"/>
  <c r="C84" i="12"/>
  <c r="M84" i="12"/>
  <c r="H84" i="12"/>
  <c r="L84" i="12"/>
  <c r="I84" i="12"/>
  <c r="G148" i="12"/>
  <c r="C148" i="12"/>
  <c r="D148" i="12"/>
  <c r="N56" i="12"/>
  <c r="C56" i="12"/>
  <c r="J164" i="12"/>
  <c r="J159" i="12"/>
  <c r="S163" i="12"/>
  <c r="J92" i="12"/>
  <c r="L162" i="12"/>
  <c r="C92" i="12"/>
  <c r="K92" i="12"/>
  <c r="G159" i="12"/>
  <c r="G145" i="12"/>
  <c r="N92" i="12"/>
  <c r="F43" i="12"/>
  <c r="C170" i="12"/>
  <c r="F112" i="12"/>
  <c r="I164" i="12"/>
  <c r="M218" i="12"/>
  <c r="H159" i="12"/>
  <c r="L100" i="12"/>
  <c r="O162" i="12"/>
  <c r="P218" i="12"/>
  <c r="F158" i="12"/>
  <c r="C160" i="12"/>
  <c r="C43" i="12"/>
  <c r="D150" i="12"/>
  <c r="P112" i="12"/>
  <c r="I3" i="12"/>
  <c r="I159" i="12"/>
  <c r="R163" i="12"/>
  <c r="N112" i="12"/>
  <c r="E153" i="12"/>
  <c r="E154" i="12"/>
  <c r="O3" i="12"/>
  <c r="O130" i="12"/>
  <c r="H3" i="12"/>
  <c r="F218" i="12"/>
  <c r="G112" i="12"/>
  <c r="P153" i="12"/>
  <c r="P159" i="12"/>
  <c r="P160" i="12"/>
  <c r="O160" i="12"/>
  <c r="D100" i="12"/>
  <c r="R149" i="12"/>
  <c r="N43" i="12"/>
  <c r="D92" i="12"/>
  <c r="J162" i="12"/>
  <c r="C150" i="12"/>
  <c r="M160" i="12"/>
  <c r="L112" i="12"/>
  <c r="O153" i="12"/>
  <c r="O145" i="12"/>
  <c r="N84" i="12"/>
  <c r="L25" i="12"/>
  <c r="K130" i="12"/>
  <c r="G25" i="12"/>
  <c r="O168" i="12"/>
  <c r="N166" i="12"/>
  <c r="M92" i="12"/>
  <c r="R91" i="12"/>
  <c r="L130" i="12"/>
  <c r="M43" i="12"/>
  <c r="G43" i="12"/>
  <c r="K56" i="12"/>
  <c r="F56" i="12"/>
  <c r="G218" i="12"/>
  <c r="E147" i="12"/>
  <c r="F148" i="12"/>
  <c r="G162" i="12"/>
  <c r="E92" i="12"/>
  <c r="F130" i="12"/>
  <c r="E150" i="12"/>
  <c r="P56" i="12"/>
  <c r="J147" i="12"/>
  <c r="R147" i="12"/>
  <c r="D164" i="12"/>
  <c r="G100" i="12"/>
  <c r="D159" i="12"/>
  <c r="D56" i="12"/>
  <c r="K43" i="12"/>
  <c r="H162" i="12"/>
  <c r="K159" i="12"/>
  <c r="K145" i="12"/>
  <c r="E112" i="12"/>
  <c r="O43" i="12"/>
  <c r="N168" i="12"/>
  <c r="E164" i="12"/>
  <c r="O84" i="12"/>
  <c r="D170" i="12"/>
  <c r="M156" i="12"/>
  <c r="G156" i="12"/>
  <c r="C100" i="12"/>
  <c r="H130" i="12"/>
  <c r="P100" i="12"/>
  <c r="S91" i="12"/>
  <c r="M112" i="12"/>
  <c r="H25" i="12"/>
  <c r="S205" i="12"/>
  <c r="P25" i="12"/>
  <c r="J25" i="12"/>
  <c r="I25" i="12"/>
  <c r="C25" i="12"/>
  <c r="D25" i="12"/>
  <c r="N25" i="12"/>
  <c r="M25" i="12"/>
  <c r="K25" i="12"/>
  <c r="S24" i="12"/>
  <c r="O25" i="12"/>
  <c r="F25" i="12"/>
  <c r="S217" i="12"/>
  <c r="J218" i="12"/>
  <c r="N218" i="12"/>
  <c r="F206" i="12"/>
  <c r="K206" i="12"/>
  <c r="P206" i="12"/>
  <c r="O206" i="12"/>
  <c r="L206" i="12"/>
  <c r="M206" i="12"/>
  <c r="D112" i="12"/>
  <c r="P156" i="12"/>
  <c r="L150" i="12"/>
  <c r="D43" i="12"/>
  <c r="I43" i="12"/>
  <c r="E84" i="12"/>
  <c r="L147" i="12"/>
  <c r="O158" i="12"/>
  <c r="O100" i="12"/>
  <c r="N162" i="12"/>
  <c r="D166" i="12"/>
  <c r="E25" i="12"/>
  <c r="R151" i="12"/>
  <c r="L43" i="12"/>
  <c r="H156" i="12"/>
  <c r="H43" i="12"/>
  <c r="P130" i="12"/>
  <c r="F153" i="12"/>
  <c r="F145" i="12"/>
  <c r="H172" i="12"/>
  <c r="H166" i="12"/>
  <c r="I166" i="12"/>
  <c r="K166" i="12"/>
  <c r="O166" i="12"/>
  <c r="J130" i="12"/>
  <c r="R129" i="12"/>
  <c r="P166" i="12"/>
  <c r="G166" i="12"/>
  <c r="P43" i="12"/>
  <c r="J112" i="12"/>
  <c r="S111" i="12"/>
  <c r="H112" i="12"/>
  <c r="I112" i="12"/>
  <c r="R111" i="12"/>
  <c r="J43" i="12"/>
  <c r="B43" i="12"/>
  <c r="P162" i="12"/>
  <c r="S161" i="12"/>
  <c r="M145" i="12"/>
  <c r="R99" i="12"/>
  <c r="I154" i="12"/>
  <c r="S99" i="12"/>
  <c r="K100" i="12"/>
  <c r="N156" i="12"/>
  <c r="N153" i="12"/>
  <c r="B145" i="12"/>
  <c r="N160" i="12"/>
  <c r="K158" i="12"/>
  <c r="J158" i="12"/>
  <c r="J153" i="12"/>
  <c r="R157" i="12"/>
  <c r="C158" i="12"/>
  <c r="K84" i="12"/>
  <c r="J152" i="12"/>
  <c r="S151" i="12"/>
  <c r="N152" i="12"/>
  <c r="N147" i="12"/>
  <c r="P84" i="12"/>
  <c r="J84" i="12"/>
  <c r="R83" i="12"/>
  <c r="I56" i="12"/>
  <c r="R55" i="12"/>
  <c r="S55" i="12"/>
  <c r="O56" i="12"/>
  <c r="H56" i="12"/>
  <c r="G56" i="12"/>
  <c r="J56" i="12"/>
  <c r="M56" i="12"/>
  <c r="E56" i="12"/>
  <c r="L56" i="12"/>
  <c r="R24" i="12"/>
  <c r="J3" i="12"/>
  <c r="R2" i="12"/>
  <c r="K3" i="12"/>
  <c r="J166" i="12"/>
  <c r="P148" i="12"/>
  <c r="S165" i="12"/>
  <c r="I145" i="12"/>
  <c r="I146" i="12"/>
  <c r="I148" i="12"/>
  <c r="H145" i="12"/>
  <c r="C166" i="12"/>
  <c r="R165" i="12"/>
  <c r="E160" i="12"/>
  <c r="M154" i="12"/>
  <c r="E44" i="12"/>
  <c r="F44" i="12"/>
  <c r="M166" i="12"/>
  <c r="C44" i="12"/>
  <c r="G160" i="12"/>
  <c r="J160" i="12"/>
  <c r="S147" i="12"/>
  <c r="J148" i="12"/>
  <c r="N44" i="12"/>
  <c r="G44" i="12"/>
  <c r="L44" i="12"/>
  <c r="O44" i="12"/>
  <c r="P145" i="12"/>
  <c r="P146" i="12"/>
  <c r="S159" i="12"/>
  <c r="H160" i="12"/>
  <c r="P154" i="12"/>
  <c r="I160" i="12"/>
  <c r="H44" i="12"/>
  <c r="R159" i="12"/>
  <c r="D160" i="12"/>
  <c r="D145" i="12"/>
  <c r="D146" i="12"/>
  <c r="E145" i="12"/>
  <c r="F146" i="12"/>
  <c r="C146" i="12"/>
  <c r="K148" i="12"/>
  <c r="D44" i="12"/>
  <c r="P44" i="12"/>
  <c r="K160" i="12"/>
  <c r="L160" i="12"/>
  <c r="I44" i="12"/>
  <c r="M44" i="12"/>
  <c r="K44" i="12"/>
  <c r="E148" i="12"/>
  <c r="F154" i="12"/>
  <c r="G154" i="12"/>
  <c r="M148" i="12"/>
  <c r="L148" i="12"/>
  <c r="L145" i="12"/>
  <c r="M146" i="12"/>
  <c r="H146" i="12"/>
  <c r="R43" i="12"/>
  <c r="S43" i="12"/>
  <c r="J44" i="12"/>
  <c r="O154" i="12"/>
  <c r="N154" i="12"/>
  <c r="J154" i="12"/>
  <c r="K154" i="12"/>
  <c r="R153" i="12"/>
  <c r="J145" i="12"/>
  <c r="S153" i="12"/>
  <c r="N145" i="12"/>
  <c r="N148" i="12"/>
  <c r="O148" i="12"/>
  <c r="G146" i="12"/>
  <c r="S145" i="12"/>
  <c r="L146" i="12"/>
  <c r="E146" i="12"/>
  <c r="J146" i="12"/>
  <c r="K146" i="12"/>
  <c r="R145" i="12"/>
  <c r="O146" i="12"/>
  <c r="N146" i="12"/>
  <c r="P217" i="11"/>
  <c r="O217" i="11"/>
  <c r="N217" i="11"/>
  <c r="M217" i="11"/>
  <c r="L217" i="11"/>
  <c r="K217" i="11"/>
  <c r="J217" i="11"/>
  <c r="I217" i="11"/>
  <c r="H217" i="11"/>
  <c r="G217" i="11"/>
  <c r="F217" i="11"/>
  <c r="E217" i="11"/>
  <c r="P216" i="11"/>
  <c r="O216" i="11"/>
  <c r="N216" i="11"/>
  <c r="M216" i="11"/>
  <c r="L216" i="11"/>
  <c r="K216" i="11"/>
  <c r="J216" i="11"/>
  <c r="I216" i="11"/>
  <c r="H216" i="11"/>
  <c r="G216" i="11"/>
  <c r="F216" i="11"/>
  <c r="S215" i="11"/>
  <c r="P214" i="11"/>
  <c r="O214" i="11"/>
  <c r="N214" i="11"/>
  <c r="M214" i="11"/>
  <c r="L214" i="11"/>
  <c r="K214" i="11"/>
  <c r="J214" i="11"/>
  <c r="I214" i="11"/>
  <c r="H214" i="11"/>
  <c r="G214" i="11"/>
  <c r="F214" i="11"/>
  <c r="S213" i="11"/>
  <c r="P212" i="11"/>
  <c r="O212" i="11"/>
  <c r="N212" i="11"/>
  <c r="M212" i="11"/>
  <c r="L212" i="11"/>
  <c r="K212" i="11"/>
  <c r="J212" i="11"/>
  <c r="I212" i="11"/>
  <c r="H212" i="11"/>
  <c r="G212" i="11"/>
  <c r="F212" i="11"/>
  <c r="S211" i="11"/>
  <c r="P210" i="11"/>
  <c r="O210" i="11"/>
  <c r="N210" i="11"/>
  <c r="M210" i="11"/>
  <c r="L210" i="11"/>
  <c r="K210" i="11"/>
  <c r="J210" i="11"/>
  <c r="I210" i="11"/>
  <c r="H210" i="11"/>
  <c r="G210" i="11"/>
  <c r="F210" i="11"/>
  <c r="S209" i="11"/>
  <c r="P205" i="11"/>
  <c r="O205" i="11"/>
  <c r="N205" i="11"/>
  <c r="M205" i="11"/>
  <c r="L205" i="11"/>
  <c r="K205" i="11"/>
  <c r="J205" i="11"/>
  <c r="I205" i="11"/>
  <c r="H205" i="11"/>
  <c r="G205" i="11"/>
  <c r="F205" i="11"/>
  <c r="E205" i="11"/>
  <c r="S201" i="11"/>
  <c r="S199" i="11"/>
  <c r="S197" i="11"/>
  <c r="S195" i="11"/>
  <c r="S193" i="11"/>
  <c r="S191" i="11"/>
  <c r="S189" i="11"/>
  <c r="S187" i="11"/>
  <c r="S185" i="11"/>
  <c r="S183" i="11"/>
  <c r="S181" i="11"/>
  <c r="S179" i="11"/>
  <c r="P176" i="11"/>
  <c r="O176" i="11"/>
  <c r="N176" i="11"/>
  <c r="M176" i="11"/>
  <c r="L176" i="11"/>
  <c r="K176" i="11"/>
  <c r="J176" i="11"/>
  <c r="I176" i="11"/>
  <c r="H176" i="11"/>
  <c r="G176" i="11"/>
  <c r="F176" i="11"/>
  <c r="S175" i="11"/>
  <c r="P171" i="11"/>
  <c r="O171" i="11"/>
  <c r="N171" i="11"/>
  <c r="M171" i="11"/>
  <c r="L171" i="11"/>
  <c r="K171" i="11"/>
  <c r="J171" i="11"/>
  <c r="I171" i="11"/>
  <c r="H171" i="11"/>
  <c r="G171" i="11"/>
  <c r="F171" i="11"/>
  <c r="E171" i="11"/>
  <c r="D171" i="11"/>
  <c r="C171" i="11"/>
  <c r="B171" i="11"/>
  <c r="P169" i="11"/>
  <c r="O169" i="11"/>
  <c r="N169" i="11"/>
  <c r="M169" i="11"/>
  <c r="L169" i="11"/>
  <c r="K169" i="11"/>
  <c r="J169" i="11"/>
  <c r="I169" i="11"/>
  <c r="H169" i="11"/>
  <c r="G169" i="11"/>
  <c r="F169" i="11"/>
  <c r="E169" i="11"/>
  <c r="D169" i="11"/>
  <c r="C169" i="11"/>
  <c r="B169" i="11"/>
  <c r="P167" i="11"/>
  <c r="O167" i="11"/>
  <c r="N167" i="11"/>
  <c r="M167" i="11"/>
  <c r="L167" i="11"/>
  <c r="K167" i="11"/>
  <c r="J167" i="11"/>
  <c r="I167" i="11"/>
  <c r="H167" i="11"/>
  <c r="G167" i="11"/>
  <c r="F167" i="11"/>
  <c r="E167" i="11"/>
  <c r="D167" i="11"/>
  <c r="C167" i="11"/>
  <c r="B167" i="11"/>
  <c r="P163" i="11"/>
  <c r="O163" i="11"/>
  <c r="N163" i="11"/>
  <c r="M163" i="11"/>
  <c r="L163" i="11"/>
  <c r="K163" i="11"/>
  <c r="J163" i="11"/>
  <c r="I163" i="11"/>
  <c r="H163" i="11"/>
  <c r="G163" i="11"/>
  <c r="F163" i="11"/>
  <c r="E163" i="11"/>
  <c r="D163" i="11"/>
  <c r="C163" i="11"/>
  <c r="B163" i="11"/>
  <c r="P161" i="11"/>
  <c r="O161" i="11"/>
  <c r="N161" i="11"/>
  <c r="M161" i="11"/>
  <c r="L161" i="11"/>
  <c r="K161" i="11"/>
  <c r="J161" i="11"/>
  <c r="I161" i="11"/>
  <c r="H161" i="11"/>
  <c r="G161" i="11"/>
  <c r="F161" i="11"/>
  <c r="E161" i="11"/>
  <c r="D161" i="11"/>
  <c r="C161" i="11"/>
  <c r="B161" i="11"/>
  <c r="P157" i="11"/>
  <c r="O157" i="11"/>
  <c r="N157" i="11"/>
  <c r="M157" i="11"/>
  <c r="L157" i="11"/>
  <c r="K157" i="11"/>
  <c r="J157" i="11"/>
  <c r="I157" i="11"/>
  <c r="H157" i="11"/>
  <c r="G157" i="11"/>
  <c r="F157" i="11"/>
  <c r="E157" i="11"/>
  <c r="D157" i="11"/>
  <c r="C157" i="11"/>
  <c r="B157" i="11"/>
  <c r="P155" i="11"/>
  <c r="O155" i="11"/>
  <c r="N155" i="11"/>
  <c r="M155" i="11"/>
  <c r="L155" i="11"/>
  <c r="K155" i="11"/>
  <c r="J155" i="11"/>
  <c r="I155" i="11"/>
  <c r="H155" i="11"/>
  <c r="G155" i="11"/>
  <c r="F155" i="11"/>
  <c r="E155" i="11"/>
  <c r="D155" i="11"/>
  <c r="C155" i="11"/>
  <c r="B155" i="11"/>
  <c r="P151" i="11"/>
  <c r="O151" i="11"/>
  <c r="N151" i="11"/>
  <c r="M151" i="11"/>
  <c r="L151" i="11"/>
  <c r="K151" i="11"/>
  <c r="J151" i="11"/>
  <c r="I151" i="11"/>
  <c r="H151" i="11"/>
  <c r="G151" i="11"/>
  <c r="F151" i="11"/>
  <c r="E151" i="11"/>
  <c r="D151" i="11"/>
  <c r="C151" i="11"/>
  <c r="B151" i="11"/>
  <c r="P149" i="11"/>
  <c r="O149" i="11"/>
  <c r="N149" i="11"/>
  <c r="M149" i="11"/>
  <c r="L149" i="11"/>
  <c r="K149" i="11"/>
  <c r="J149" i="11"/>
  <c r="I149" i="11"/>
  <c r="H149" i="11"/>
  <c r="G149" i="11"/>
  <c r="F149" i="11"/>
  <c r="E149" i="11"/>
  <c r="D149" i="11"/>
  <c r="C149" i="11"/>
  <c r="B149" i="11"/>
  <c r="M147" i="11"/>
  <c r="P142" i="11"/>
  <c r="O142" i="11"/>
  <c r="N142" i="11"/>
  <c r="M142" i="11"/>
  <c r="L142" i="11"/>
  <c r="K142" i="11"/>
  <c r="J142" i="11"/>
  <c r="I142" i="11"/>
  <c r="H142" i="11"/>
  <c r="G142" i="11"/>
  <c r="F142" i="11"/>
  <c r="E142" i="11"/>
  <c r="D142" i="11"/>
  <c r="C142" i="11"/>
  <c r="S141" i="11"/>
  <c r="R141" i="11"/>
  <c r="P140" i="11"/>
  <c r="O140" i="11"/>
  <c r="N140" i="11"/>
  <c r="M140" i="11"/>
  <c r="L140" i="11"/>
  <c r="K140" i="11"/>
  <c r="J140" i="11"/>
  <c r="I140" i="11"/>
  <c r="H140" i="11"/>
  <c r="G140" i="11"/>
  <c r="F140" i="11"/>
  <c r="E140" i="11"/>
  <c r="D140" i="11"/>
  <c r="C140" i="11"/>
  <c r="S139" i="11"/>
  <c r="R139" i="11"/>
  <c r="P138" i="11"/>
  <c r="O138" i="11"/>
  <c r="N138" i="11"/>
  <c r="M138" i="11"/>
  <c r="L138" i="11"/>
  <c r="K138" i="11"/>
  <c r="J138" i="11"/>
  <c r="I138" i="11"/>
  <c r="H138" i="11"/>
  <c r="G138" i="11"/>
  <c r="F138" i="11"/>
  <c r="E138" i="11"/>
  <c r="D138" i="11"/>
  <c r="C138" i="11"/>
  <c r="S137" i="11"/>
  <c r="R137" i="11"/>
  <c r="P136" i="11"/>
  <c r="O136" i="11"/>
  <c r="N136" i="11"/>
  <c r="M136" i="11"/>
  <c r="L136" i="11"/>
  <c r="K136" i="11"/>
  <c r="J136" i="11"/>
  <c r="I136" i="11"/>
  <c r="H136" i="11"/>
  <c r="G136" i="11"/>
  <c r="F136" i="11"/>
  <c r="E136" i="11"/>
  <c r="D136" i="11"/>
  <c r="C136" i="11"/>
  <c r="S135" i="11"/>
  <c r="R135" i="11"/>
  <c r="P134" i="11"/>
  <c r="O134" i="11"/>
  <c r="N134" i="11"/>
  <c r="M134" i="11"/>
  <c r="L134" i="11"/>
  <c r="K134" i="11"/>
  <c r="J134" i="11"/>
  <c r="I134" i="11"/>
  <c r="H134" i="11"/>
  <c r="G134" i="11"/>
  <c r="F134" i="11"/>
  <c r="E134" i="11"/>
  <c r="D134" i="11"/>
  <c r="C134" i="11"/>
  <c r="S133" i="11"/>
  <c r="R133" i="11"/>
  <c r="P129" i="11"/>
  <c r="O129" i="11"/>
  <c r="N129" i="11"/>
  <c r="M129" i="11"/>
  <c r="L129" i="11"/>
  <c r="K129" i="11"/>
  <c r="J129" i="11"/>
  <c r="I129" i="11"/>
  <c r="H129" i="11"/>
  <c r="G129" i="11"/>
  <c r="F129" i="11"/>
  <c r="E129" i="11"/>
  <c r="D129" i="11"/>
  <c r="C129" i="11"/>
  <c r="B129" i="11"/>
  <c r="P128" i="11"/>
  <c r="O128" i="11"/>
  <c r="N128" i="11"/>
  <c r="M128" i="11"/>
  <c r="L128" i="11"/>
  <c r="K128" i="11"/>
  <c r="J128" i="11"/>
  <c r="I128" i="11"/>
  <c r="H128" i="11"/>
  <c r="G128" i="11"/>
  <c r="F128" i="11"/>
  <c r="E128" i="11"/>
  <c r="D128" i="11"/>
  <c r="C128" i="11"/>
  <c r="S127" i="11"/>
  <c r="R127" i="11"/>
  <c r="P126" i="11"/>
  <c r="O126" i="11"/>
  <c r="N126" i="11"/>
  <c r="M126" i="11"/>
  <c r="L126" i="11"/>
  <c r="K126" i="11"/>
  <c r="J126" i="11"/>
  <c r="I126" i="11"/>
  <c r="H126" i="11"/>
  <c r="G126" i="11"/>
  <c r="F126" i="11"/>
  <c r="E126" i="11"/>
  <c r="D126" i="11"/>
  <c r="C126" i="11"/>
  <c r="S125" i="11"/>
  <c r="R125" i="11"/>
  <c r="P111" i="11"/>
  <c r="O111" i="11"/>
  <c r="N111" i="11"/>
  <c r="M111" i="11"/>
  <c r="L111" i="11"/>
  <c r="K111" i="11"/>
  <c r="J111" i="11"/>
  <c r="I111" i="11"/>
  <c r="H111" i="11"/>
  <c r="G111" i="11"/>
  <c r="F111" i="11"/>
  <c r="E111" i="11"/>
  <c r="D111" i="11"/>
  <c r="C111" i="11"/>
  <c r="B111" i="11"/>
  <c r="P110" i="11"/>
  <c r="O110" i="11"/>
  <c r="N110" i="11"/>
  <c r="M110" i="11"/>
  <c r="L110" i="11"/>
  <c r="K110" i="11"/>
  <c r="J110" i="11"/>
  <c r="I110" i="11"/>
  <c r="H110" i="11"/>
  <c r="G110" i="11"/>
  <c r="F110" i="11"/>
  <c r="E110" i="11"/>
  <c r="D110" i="11"/>
  <c r="C110" i="11"/>
  <c r="S109" i="11"/>
  <c r="R109" i="11"/>
  <c r="P108" i="11"/>
  <c r="O108" i="11"/>
  <c r="N108" i="11"/>
  <c r="M108" i="11"/>
  <c r="L108" i="11"/>
  <c r="K108" i="11"/>
  <c r="J108" i="11"/>
  <c r="I108" i="11"/>
  <c r="H108" i="11"/>
  <c r="G108" i="11"/>
  <c r="F108" i="11"/>
  <c r="E108" i="11"/>
  <c r="D108" i="11"/>
  <c r="C108" i="11"/>
  <c r="S107" i="11"/>
  <c r="R107" i="11"/>
  <c r="P106" i="11"/>
  <c r="O106" i="11"/>
  <c r="N106" i="11"/>
  <c r="M106" i="11"/>
  <c r="L106" i="11"/>
  <c r="K106" i="11"/>
  <c r="J106" i="11"/>
  <c r="I106" i="11"/>
  <c r="H106" i="11"/>
  <c r="G106" i="11"/>
  <c r="F106" i="11"/>
  <c r="E106" i="11"/>
  <c r="D106" i="11"/>
  <c r="C106" i="11"/>
  <c r="S105" i="11"/>
  <c r="R105" i="11"/>
  <c r="P104" i="11"/>
  <c r="O104" i="11"/>
  <c r="N104" i="11"/>
  <c r="M104" i="11"/>
  <c r="L104" i="11"/>
  <c r="K104" i="11"/>
  <c r="J104" i="11"/>
  <c r="I104" i="11"/>
  <c r="H104" i="11"/>
  <c r="G104" i="11"/>
  <c r="F104" i="11"/>
  <c r="E104" i="11"/>
  <c r="D104" i="11"/>
  <c r="C104" i="11"/>
  <c r="S103" i="11"/>
  <c r="R103" i="11"/>
  <c r="P99" i="11"/>
  <c r="O99" i="11"/>
  <c r="N99" i="11"/>
  <c r="M99" i="11"/>
  <c r="L99" i="11"/>
  <c r="K99" i="11"/>
  <c r="J99" i="11"/>
  <c r="I99" i="11"/>
  <c r="H99" i="11"/>
  <c r="G99" i="11"/>
  <c r="F99" i="11"/>
  <c r="E99" i="11"/>
  <c r="D99" i="11"/>
  <c r="C99" i="11"/>
  <c r="B99" i="11"/>
  <c r="P98" i="11"/>
  <c r="O98" i="11"/>
  <c r="N98" i="11"/>
  <c r="M98" i="11"/>
  <c r="L98" i="11"/>
  <c r="K98" i="11"/>
  <c r="J98" i="11"/>
  <c r="I98" i="11"/>
  <c r="H98" i="11"/>
  <c r="G98" i="11"/>
  <c r="F98" i="11"/>
  <c r="E98" i="11"/>
  <c r="D98" i="11"/>
  <c r="C98" i="11"/>
  <c r="S97" i="11"/>
  <c r="R97" i="11"/>
  <c r="P96" i="11"/>
  <c r="O96" i="11"/>
  <c r="N96" i="11"/>
  <c r="M96" i="11"/>
  <c r="L96" i="11"/>
  <c r="K96" i="11"/>
  <c r="J96" i="11"/>
  <c r="I96" i="11"/>
  <c r="H96" i="11"/>
  <c r="G96" i="11"/>
  <c r="F96" i="11"/>
  <c r="E96" i="11"/>
  <c r="D96" i="11"/>
  <c r="C96" i="11"/>
  <c r="S95" i="11"/>
  <c r="R95" i="11"/>
  <c r="P91" i="11"/>
  <c r="O91" i="11"/>
  <c r="N91" i="11"/>
  <c r="M91" i="11"/>
  <c r="L91" i="11"/>
  <c r="K91" i="11"/>
  <c r="J91" i="11"/>
  <c r="I91" i="11"/>
  <c r="H91" i="11"/>
  <c r="G91" i="11"/>
  <c r="F91" i="11"/>
  <c r="E91" i="11"/>
  <c r="D91" i="11"/>
  <c r="C91" i="11"/>
  <c r="B91" i="11"/>
  <c r="P90" i="11"/>
  <c r="O90" i="11"/>
  <c r="N90" i="11"/>
  <c r="M90" i="11"/>
  <c r="L90" i="11"/>
  <c r="K90" i="11"/>
  <c r="J90" i="11"/>
  <c r="I90" i="11"/>
  <c r="H90" i="11"/>
  <c r="G90" i="11"/>
  <c r="F90" i="11"/>
  <c r="E90" i="11"/>
  <c r="D90" i="11"/>
  <c r="C90" i="11"/>
  <c r="S89" i="11"/>
  <c r="R89" i="11"/>
  <c r="P88" i="11"/>
  <c r="O88" i="11"/>
  <c r="N88" i="11"/>
  <c r="M88" i="11"/>
  <c r="L88" i="11"/>
  <c r="K88" i="11"/>
  <c r="J88" i="11"/>
  <c r="I88" i="11"/>
  <c r="H88" i="11"/>
  <c r="G88" i="11"/>
  <c r="F88" i="11"/>
  <c r="E88" i="11"/>
  <c r="D88" i="11"/>
  <c r="C88" i="11"/>
  <c r="S87" i="11"/>
  <c r="R87" i="11"/>
  <c r="P83" i="11"/>
  <c r="O83" i="11"/>
  <c r="N83" i="11"/>
  <c r="M83" i="11"/>
  <c r="L83" i="11"/>
  <c r="K83" i="11"/>
  <c r="J83" i="11"/>
  <c r="I83" i="11"/>
  <c r="H83" i="11"/>
  <c r="G83" i="11"/>
  <c r="F83" i="11"/>
  <c r="E83" i="11"/>
  <c r="D83" i="11"/>
  <c r="C83" i="11"/>
  <c r="B83" i="11"/>
  <c r="P82" i="11"/>
  <c r="O82" i="11"/>
  <c r="N82" i="11"/>
  <c r="M82" i="11"/>
  <c r="L82" i="11"/>
  <c r="K82" i="11"/>
  <c r="J82" i="11"/>
  <c r="I82" i="11"/>
  <c r="H82" i="11"/>
  <c r="G82" i="11"/>
  <c r="F82" i="11"/>
  <c r="E82" i="11"/>
  <c r="D82" i="11"/>
  <c r="C82" i="11"/>
  <c r="S81" i="11"/>
  <c r="R81" i="11"/>
  <c r="P80" i="11"/>
  <c r="O80" i="11"/>
  <c r="N80" i="11"/>
  <c r="M80" i="11"/>
  <c r="L80" i="11"/>
  <c r="K80" i="11"/>
  <c r="J80" i="11"/>
  <c r="I80" i="11"/>
  <c r="H80" i="11"/>
  <c r="G80" i="11"/>
  <c r="F80" i="11"/>
  <c r="E80" i="11"/>
  <c r="D80" i="11"/>
  <c r="C80" i="11"/>
  <c r="S79" i="11"/>
  <c r="R79" i="11"/>
  <c r="P70" i="11"/>
  <c r="O70" i="11"/>
  <c r="N70" i="11"/>
  <c r="M70" i="11"/>
  <c r="L70" i="11"/>
  <c r="K70" i="11"/>
  <c r="J70" i="11"/>
  <c r="I70" i="11"/>
  <c r="H70" i="11"/>
  <c r="G70" i="11"/>
  <c r="F70" i="11"/>
  <c r="E70" i="11"/>
  <c r="D70" i="11"/>
  <c r="C70" i="11"/>
  <c r="S69" i="11"/>
  <c r="R69" i="11"/>
  <c r="P55" i="11"/>
  <c r="O55" i="11"/>
  <c r="N55" i="11"/>
  <c r="M55" i="11"/>
  <c r="L55" i="11"/>
  <c r="K55" i="11"/>
  <c r="J55" i="11"/>
  <c r="I55" i="11"/>
  <c r="H55" i="11"/>
  <c r="G55" i="11"/>
  <c r="F55" i="11"/>
  <c r="E55" i="11"/>
  <c r="D55" i="11"/>
  <c r="C55" i="11"/>
  <c r="B55" i="11"/>
  <c r="P54" i="11"/>
  <c r="O54" i="11"/>
  <c r="N54" i="11"/>
  <c r="M54" i="11"/>
  <c r="L54" i="11"/>
  <c r="K54" i="11"/>
  <c r="J54" i="11"/>
  <c r="I54" i="11"/>
  <c r="H54" i="11"/>
  <c r="G54" i="11"/>
  <c r="F54" i="11"/>
  <c r="E54" i="11"/>
  <c r="D54" i="11"/>
  <c r="C54" i="11"/>
  <c r="S53" i="11"/>
  <c r="R53" i="11"/>
  <c r="P52" i="11"/>
  <c r="O52" i="11"/>
  <c r="N52" i="11"/>
  <c r="M52" i="11"/>
  <c r="L52" i="11"/>
  <c r="K52" i="11"/>
  <c r="J52" i="11"/>
  <c r="I52" i="11"/>
  <c r="H52" i="11"/>
  <c r="G52" i="11"/>
  <c r="F52" i="11"/>
  <c r="E52" i="11"/>
  <c r="D52" i="11"/>
  <c r="C52" i="11"/>
  <c r="S51" i="11"/>
  <c r="R51" i="11"/>
  <c r="P50" i="11"/>
  <c r="O50" i="11"/>
  <c r="N50" i="11"/>
  <c r="M50" i="11"/>
  <c r="L50" i="11"/>
  <c r="K50" i="11"/>
  <c r="J50" i="11"/>
  <c r="I50" i="11"/>
  <c r="H50" i="11"/>
  <c r="G50" i="11"/>
  <c r="F50" i="11"/>
  <c r="E50" i="11"/>
  <c r="D50" i="11"/>
  <c r="C50" i="11"/>
  <c r="S49" i="11"/>
  <c r="R49" i="11"/>
  <c r="P48" i="11"/>
  <c r="O48" i="11"/>
  <c r="N48" i="11"/>
  <c r="M48" i="11"/>
  <c r="L48" i="11"/>
  <c r="K48" i="11"/>
  <c r="J48" i="11"/>
  <c r="I48" i="11"/>
  <c r="H48" i="11"/>
  <c r="G48" i="11"/>
  <c r="F48" i="11"/>
  <c r="E48" i="11"/>
  <c r="D48" i="11"/>
  <c r="C48" i="11"/>
  <c r="S47" i="11"/>
  <c r="R47" i="11"/>
  <c r="P38" i="11"/>
  <c r="O38" i="11"/>
  <c r="N38" i="11"/>
  <c r="N119" i="11"/>
  <c r="M38" i="11"/>
  <c r="L38" i="11"/>
  <c r="K38" i="11"/>
  <c r="J38" i="11"/>
  <c r="I38" i="11"/>
  <c r="I119" i="11"/>
  <c r="H38" i="11"/>
  <c r="G38" i="11"/>
  <c r="F38" i="11"/>
  <c r="F119" i="11"/>
  <c r="E38" i="11"/>
  <c r="D38" i="11"/>
  <c r="C38" i="11"/>
  <c r="P36" i="11"/>
  <c r="P117" i="11"/>
  <c r="O36" i="11"/>
  <c r="N36" i="11"/>
  <c r="M36" i="11"/>
  <c r="M117" i="11"/>
  <c r="L36" i="11"/>
  <c r="K36" i="11"/>
  <c r="J36" i="11"/>
  <c r="I36" i="11"/>
  <c r="H36" i="11"/>
  <c r="H117" i="11"/>
  <c r="G36" i="11"/>
  <c r="F36" i="11"/>
  <c r="E36" i="11"/>
  <c r="E117" i="11"/>
  <c r="D36" i="11"/>
  <c r="C36" i="11"/>
  <c r="B36" i="11"/>
  <c r="P34" i="11"/>
  <c r="O34" i="11"/>
  <c r="O115" i="11"/>
  <c r="N34" i="11"/>
  <c r="M34" i="11"/>
  <c r="M115" i="11"/>
  <c r="L34" i="11"/>
  <c r="L115" i="11"/>
  <c r="K34" i="11"/>
  <c r="J34" i="11"/>
  <c r="I34" i="11"/>
  <c r="H34" i="11"/>
  <c r="G34" i="11"/>
  <c r="G115" i="11"/>
  <c r="F34" i="11"/>
  <c r="E34" i="11"/>
  <c r="E115" i="11"/>
  <c r="D34" i="11"/>
  <c r="D115" i="11"/>
  <c r="C34" i="11"/>
  <c r="P24" i="11"/>
  <c r="O24" i="11"/>
  <c r="N24" i="11"/>
  <c r="M24" i="11"/>
  <c r="L24" i="11"/>
  <c r="K24" i="11"/>
  <c r="J24" i="11"/>
  <c r="I24" i="11"/>
  <c r="H24" i="11"/>
  <c r="G24" i="11"/>
  <c r="F24" i="11"/>
  <c r="E24" i="11"/>
  <c r="D24" i="11"/>
  <c r="C24" i="11"/>
  <c r="B24" i="11"/>
  <c r="S22" i="11"/>
  <c r="R22" i="11"/>
  <c r="S20" i="11"/>
  <c r="R20" i="11"/>
  <c r="S18" i="11"/>
  <c r="R18" i="11"/>
  <c r="S14" i="11"/>
  <c r="R14" i="11"/>
  <c r="P12" i="11"/>
  <c r="O12" i="11"/>
  <c r="N12" i="11"/>
  <c r="M12" i="11"/>
  <c r="L12" i="11"/>
  <c r="K12" i="11"/>
  <c r="J12" i="11"/>
  <c r="I12" i="11"/>
  <c r="H12" i="11"/>
  <c r="G12" i="11"/>
  <c r="F12" i="11"/>
  <c r="E12" i="11"/>
  <c r="D12" i="11"/>
  <c r="C12" i="11"/>
  <c r="S11" i="11"/>
  <c r="R11" i="11"/>
  <c r="P9" i="11"/>
  <c r="O9" i="11"/>
  <c r="N9" i="11"/>
  <c r="M9" i="11"/>
  <c r="L9" i="11"/>
  <c r="K9" i="11"/>
  <c r="J9" i="11"/>
  <c r="I9" i="11"/>
  <c r="H9" i="11"/>
  <c r="G9" i="11"/>
  <c r="F9" i="11"/>
  <c r="E9" i="11"/>
  <c r="D9" i="11"/>
  <c r="C9" i="11"/>
  <c r="S8" i="11"/>
  <c r="R8" i="11"/>
  <c r="P7" i="11"/>
  <c r="O7" i="11"/>
  <c r="N7" i="11"/>
  <c r="M7" i="11"/>
  <c r="L7" i="11"/>
  <c r="K7" i="11"/>
  <c r="J7" i="11"/>
  <c r="I7" i="11"/>
  <c r="H7" i="11"/>
  <c r="G7" i="11"/>
  <c r="F7" i="11"/>
  <c r="E7" i="11"/>
  <c r="D7" i="11"/>
  <c r="C7" i="11"/>
  <c r="S6" i="11"/>
  <c r="R6" i="11"/>
  <c r="P5" i="11"/>
  <c r="O5" i="11"/>
  <c r="N5" i="11"/>
  <c r="M5" i="11"/>
  <c r="L5" i="11"/>
  <c r="K5" i="11"/>
  <c r="J5" i="11"/>
  <c r="I5" i="11"/>
  <c r="H5" i="11"/>
  <c r="G5" i="11"/>
  <c r="F5" i="11"/>
  <c r="E5" i="11"/>
  <c r="D5" i="11"/>
  <c r="C5" i="11"/>
  <c r="S4" i="11"/>
  <c r="R4" i="11"/>
  <c r="P2" i="11"/>
  <c r="O2" i="11"/>
  <c r="N2" i="11"/>
  <c r="M2" i="11"/>
  <c r="L2" i="11"/>
  <c r="K2" i="11"/>
  <c r="J2" i="11"/>
  <c r="I2" i="11"/>
  <c r="H2" i="11"/>
  <c r="G2" i="11"/>
  <c r="F2" i="11"/>
  <c r="E2" i="11"/>
  <c r="D2" i="11"/>
  <c r="C2" i="11"/>
  <c r="P217" i="10"/>
  <c r="O217" i="10"/>
  <c r="N217" i="10"/>
  <c r="M217" i="10"/>
  <c r="L217" i="10"/>
  <c r="K217" i="10"/>
  <c r="J217" i="10"/>
  <c r="I217" i="10"/>
  <c r="H217" i="10"/>
  <c r="G217" i="10"/>
  <c r="F217" i="10"/>
  <c r="E217" i="10"/>
  <c r="P216" i="10"/>
  <c r="O216" i="10"/>
  <c r="N216" i="10"/>
  <c r="M216" i="10"/>
  <c r="L216" i="10"/>
  <c r="K216" i="10"/>
  <c r="J216" i="10"/>
  <c r="I216" i="10"/>
  <c r="H216" i="10"/>
  <c r="G216" i="10"/>
  <c r="F216" i="10"/>
  <c r="S215" i="10"/>
  <c r="P214" i="10"/>
  <c r="O214" i="10"/>
  <c r="N214" i="10"/>
  <c r="M214" i="10"/>
  <c r="L214" i="10"/>
  <c r="K214" i="10"/>
  <c r="J214" i="10"/>
  <c r="I214" i="10"/>
  <c r="H214" i="10"/>
  <c r="G214" i="10"/>
  <c r="F214" i="10"/>
  <c r="S213" i="10"/>
  <c r="P212" i="10"/>
  <c r="O212" i="10"/>
  <c r="N212" i="10"/>
  <c r="M212" i="10"/>
  <c r="L212" i="10"/>
  <c r="K212" i="10"/>
  <c r="J212" i="10"/>
  <c r="I212" i="10"/>
  <c r="H212" i="10"/>
  <c r="G212" i="10"/>
  <c r="F212" i="10"/>
  <c r="S211" i="10"/>
  <c r="P210" i="10"/>
  <c r="O210" i="10"/>
  <c r="N210" i="10"/>
  <c r="M210" i="10"/>
  <c r="L210" i="10"/>
  <c r="K210" i="10"/>
  <c r="J210" i="10"/>
  <c r="I210" i="10"/>
  <c r="H210" i="10"/>
  <c r="G210" i="10"/>
  <c r="F210" i="10"/>
  <c r="S209" i="10"/>
  <c r="S201" i="10"/>
  <c r="S199" i="10"/>
  <c r="S197" i="10"/>
  <c r="S195" i="10"/>
  <c r="S193" i="10"/>
  <c r="S191" i="10"/>
  <c r="S189" i="10"/>
  <c r="S187" i="10"/>
  <c r="S185" i="10"/>
  <c r="S183" i="10"/>
  <c r="S181" i="10"/>
  <c r="S179" i="10"/>
  <c r="P176" i="10"/>
  <c r="O176" i="10"/>
  <c r="N176" i="10"/>
  <c r="M176" i="10"/>
  <c r="L176" i="10"/>
  <c r="K176" i="10"/>
  <c r="J176" i="10"/>
  <c r="I176" i="10"/>
  <c r="H176" i="10"/>
  <c r="G176" i="10"/>
  <c r="F176" i="10"/>
  <c r="S175" i="10"/>
  <c r="P171" i="10"/>
  <c r="S171" i="10"/>
  <c r="O171" i="10"/>
  <c r="N171" i="10"/>
  <c r="M171" i="10"/>
  <c r="L171" i="10"/>
  <c r="K171" i="10"/>
  <c r="J171" i="10"/>
  <c r="I171" i="10"/>
  <c r="H171" i="10"/>
  <c r="G171" i="10"/>
  <c r="F171" i="10"/>
  <c r="E171" i="10"/>
  <c r="D171" i="10"/>
  <c r="C171" i="10"/>
  <c r="B171" i="10"/>
  <c r="P169" i="10"/>
  <c r="O169" i="10"/>
  <c r="N169" i="10"/>
  <c r="M169" i="10"/>
  <c r="L169" i="10"/>
  <c r="K169" i="10"/>
  <c r="J169" i="10"/>
  <c r="I169" i="10"/>
  <c r="H169" i="10"/>
  <c r="G169" i="10"/>
  <c r="F169" i="10"/>
  <c r="E169" i="10"/>
  <c r="D169" i="10"/>
  <c r="C169" i="10"/>
  <c r="B169" i="10"/>
  <c r="P167" i="10"/>
  <c r="O167" i="10"/>
  <c r="N167" i="10"/>
  <c r="M167" i="10"/>
  <c r="L167" i="10"/>
  <c r="K167" i="10"/>
  <c r="K165" i="10"/>
  <c r="J167" i="10"/>
  <c r="I167" i="10"/>
  <c r="H167" i="10"/>
  <c r="G167" i="10"/>
  <c r="F167" i="10"/>
  <c r="E167" i="10"/>
  <c r="D167" i="10"/>
  <c r="C167" i="10"/>
  <c r="B167" i="10"/>
  <c r="P163" i="10"/>
  <c r="O163" i="10"/>
  <c r="N163" i="10"/>
  <c r="M163" i="10"/>
  <c r="L163" i="10"/>
  <c r="K163" i="10"/>
  <c r="J163" i="10"/>
  <c r="I163" i="10"/>
  <c r="H163" i="10"/>
  <c r="G163" i="10"/>
  <c r="F163" i="10"/>
  <c r="E163" i="10"/>
  <c r="D163" i="10"/>
  <c r="C163" i="10"/>
  <c r="B163" i="10"/>
  <c r="P161" i="10"/>
  <c r="O161" i="10"/>
  <c r="N161" i="10"/>
  <c r="M161" i="10"/>
  <c r="L161" i="10"/>
  <c r="K161" i="10"/>
  <c r="J161" i="10"/>
  <c r="I161" i="10"/>
  <c r="H161" i="10"/>
  <c r="H159" i="10"/>
  <c r="G161" i="10"/>
  <c r="F161" i="10"/>
  <c r="E161" i="10"/>
  <c r="D161" i="10"/>
  <c r="C161" i="10"/>
  <c r="B161" i="10"/>
  <c r="P157" i="10"/>
  <c r="O157" i="10"/>
  <c r="N157" i="10"/>
  <c r="M157" i="10"/>
  <c r="L157" i="10"/>
  <c r="K157" i="10"/>
  <c r="J157" i="10"/>
  <c r="I157" i="10"/>
  <c r="H157" i="10"/>
  <c r="G157" i="10"/>
  <c r="F157" i="10"/>
  <c r="E157" i="10"/>
  <c r="D157" i="10"/>
  <c r="C157" i="10"/>
  <c r="B157" i="10"/>
  <c r="P155" i="10"/>
  <c r="O155" i="10"/>
  <c r="N155" i="10"/>
  <c r="M155" i="10"/>
  <c r="L155" i="10"/>
  <c r="K155" i="10"/>
  <c r="J155" i="10"/>
  <c r="I155" i="10"/>
  <c r="H155" i="10"/>
  <c r="G155" i="10"/>
  <c r="F155" i="10"/>
  <c r="E155" i="10"/>
  <c r="D155" i="10"/>
  <c r="C155" i="10"/>
  <c r="B155" i="10"/>
  <c r="P151" i="10"/>
  <c r="O151" i="10"/>
  <c r="N151" i="10"/>
  <c r="M151" i="10"/>
  <c r="L151" i="10"/>
  <c r="K151" i="10"/>
  <c r="J151" i="10"/>
  <c r="I151" i="10"/>
  <c r="H151" i="10"/>
  <c r="G151" i="10"/>
  <c r="F151" i="10"/>
  <c r="E151" i="10"/>
  <c r="D151" i="10"/>
  <c r="C151" i="10"/>
  <c r="B151" i="10"/>
  <c r="P149" i="10"/>
  <c r="O149" i="10"/>
  <c r="N149" i="10"/>
  <c r="M149" i="10"/>
  <c r="L149" i="10"/>
  <c r="K149" i="10"/>
  <c r="J149" i="10"/>
  <c r="I149" i="10"/>
  <c r="H149" i="10"/>
  <c r="G149" i="10"/>
  <c r="F149" i="10"/>
  <c r="E149" i="10"/>
  <c r="D149" i="10"/>
  <c r="C149" i="10"/>
  <c r="B149" i="10"/>
  <c r="P142" i="10"/>
  <c r="O142" i="10"/>
  <c r="N142" i="10"/>
  <c r="M142" i="10"/>
  <c r="L142" i="10"/>
  <c r="K142" i="10"/>
  <c r="J142" i="10"/>
  <c r="I142" i="10"/>
  <c r="H142" i="10"/>
  <c r="G142" i="10"/>
  <c r="F142" i="10"/>
  <c r="E142" i="10"/>
  <c r="D142" i="10"/>
  <c r="C142" i="10"/>
  <c r="S141" i="10"/>
  <c r="R141" i="10"/>
  <c r="P140" i="10"/>
  <c r="O140" i="10"/>
  <c r="N140" i="10"/>
  <c r="M140" i="10"/>
  <c r="L140" i="10"/>
  <c r="K140" i="10"/>
  <c r="J140" i="10"/>
  <c r="I140" i="10"/>
  <c r="H140" i="10"/>
  <c r="G140" i="10"/>
  <c r="F140" i="10"/>
  <c r="E140" i="10"/>
  <c r="D140" i="10"/>
  <c r="C140" i="10"/>
  <c r="S139" i="10"/>
  <c r="R139" i="10"/>
  <c r="P138" i="10"/>
  <c r="O138" i="10"/>
  <c r="N138" i="10"/>
  <c r="M138" i="10"/>
  <c r="L138" i="10"/>
  <c r="K138" i="10"/>
  <c r="J138" i="10"/>
  <c r="I138" i="10"/>
  <c r="H138" i="10"/>
  <c r="G138" i="10"/>
  <c r="F138" i="10"/>
  <c r="E138" i="10"/>
  <c r="D138" i="10"/>
  <c r="C138" i="10"/>
  <c r="S137" i="10"/>
  <c r="R137" i="10"/>
  <c r="P136" i="10"/>
  <c r="O136" i="10"/>
  <c r="N136" i="10"/>
  <c r="M136" i="10"/>
  <c r="L136" i="10"/>
  <c r="K136" i="10"/>
  <c r="J136" i="10"/>
  <c r="I136" i="10"/>
  <c r="H136" i="10"/>
  <c r="G136" i="10"/>
  <c r="F136" i="10"/>
  <c r="E136" i="10"/>
  <c r="D136" i="10"/>
  <c r="C136" i="10"/>
  <c r="S135" i="10"/>
  <c r="R135" i="10"/>
  <c r="P134" i="10"/>
  <c r="O134" i="10"/>
  <c r="N134" i="10"/>
  <c r="M134" i="10"/>
  <c r="L134" i="10"/>
  <c r="K134" i="10"/>
  <c r="J134" i="10"/>
  <c r="I134" i="10"/>
  <c r="H134" i="10"/>
  <c r="G134" i="10"/>
  <c r="F134" i="10"/>
  <c r="E134" i="10"/>
  <c r="D134" i="10"/>
  <c r="C134" i="10"/>
  <c r="S133" i="10"/>
  <c r="R133" i="10"/>
  <c r="P129" i="10"/>
  <c r="O129" i="10"/>
  <c r="N129" i="10"/>
  <c r="M129" i="10"/>
  <c r="L129" i="10"/>
  <c r="K129" i="10"/>
  <c r="J129" i="10"/>
  <c r="I129" i="10"/>
  <c r="H129" i="10"/>
  <c r="G129" i="10"/>
  <c r="F129" i="10"/>
  <c r="E129" i="10"/>
  <c r="D129" i="10"/>
  <c r="C129" i="10"/>
  <c r="B129" i="10"/>
  <c r="P128" i="10"/>
  <c r="O128" i="10"/>
  <c r="N128" i="10"/>
  <c r="M128" i="10"/>
  <c r="L128" i="10"/>
  <c r="K128" i="10"/>
  <c r="J128" i="10"/>
  <c r="I128" i="10"/>
  <c r="H128" i="10"/>
  <c r="G128" i="10"/>
  <c r="F128" i="10"/>
  <c r="E128" i="10"/>
  <c r="D128" i="10"/>
  <c r="C128" i="10"/>
  <c r="S127" i="10"/>
  <c r="R127" i="10"/>
  <c r="P126" i="10"/>
  <c r="O126" i="10"/>
  <c r="N126" i="10"/>
  <c r="M126" i="10"/>
  <c r="L126" i="10"/>
  <c r="K126" i="10"/>
  <c r="J126" i="10"/>
  <c r="I126" i="10"/>
  <c r="H126" i="10"/>
  <c r="G126" i="10"/>
  <c r="F126" i="10"/>
  <c r="E126" i="10"/>
  <c r="D126" i="10"/>
  <c r="C126" i="10"/>
  <c r="S125" i="10"/>
  <c r="R125" i="10"/>
  <c r="P111" i="10"/>
  <c r="O111" i="10"/>
  <c r="N111" i="10"/>
  <c r="M111" i="10"/>
  <c r="L111" i="10"/>
  <c r="K111" i="10"/>
  <c r="J111" i="10"/>
  <c r="I111" i="10"/>
  <c r="H111" i="10"/>
  <c r="G111" i="10"/>
  <c r="F111" i="10"/>
  <c r="E111" i="10"/>
  <c r="D111" i="10"/>
  <c r="C111" i="10"/>
  <c r="B111" i="10"/>
  <c r="P110" i="10"/>
  <c r="O110" i="10"/>
  <c r="N110" i="10"/>
  <c r="M110" i="10"/>
  <c r="L110" i="10"/>
  <c r="K110" i="10"/>
  <c r="J110" i="10"/>
  <c r="I110" i="10"/>
  <c r="H110" i="10"/>
  <c r="G110" i="10"/>
  <c r="F110" i="10"/>
  <c r="E110" i="10"/>
  <c r="D110" i="10"/>
  <c r="C110" i="10"/>
  <c r="S109" i="10"/>
  <c r="R109" i="10"/>
  <c r="P108" i="10"/>
  <c r="O108" i="10"/>
  <c r="N108" i="10"/>
  <c r="M108" i="10"/>
  <c r="L108" i="10"/>
  <c r="K108" i="10"/>
  <c r="J108" i="10"/>
  <c r="I108" i="10"/>
  <c r="H108" i="10"/>
  <c r="G108" i="10"/>
  <c r="F108" i="10"/>
  <c r="E108" i="10"/>
  <c r="D108" i="10"/>
  <c r="C108" i="10"/>
  <c r="S107" i="10"/>
  <c r="R107" i="10"/>
  <c r="P106" i="10"/>
  <c r="O106" i="10"/>
  <c r="N106" i="10"/>
  <c r="M106" i="10"/>
  <c r="L106" i="10"/>
  <c r="K106" i="10"/>
  <c r="J106" i="10"/>
  <c r="I106" i="10"/>
  <c r="H106" i="10"/>
  <c r="G106" i="10"/>
  <c r="F106" i="10"/>
  <c r="E106" i="10"/>
  <c r="D106" i="10"/>
  <c r="C106" i="10"/>
  <c r="S105" i="10"/>
  <c r="R105" i="10"/>
  <c r="P104" i="10"/>
  <c r="O104" i="10"/>
  <c r="N104" i="10"/>
  <c r="M104" i="10"/>
  <c r="L104" i="10"/>
  <c r="K104" i="10"/>
  <c r="J104" i="10"/>
  <c r="I104" i="10"/>
  <c r="H104" i="10"/>
  <c r="G104" i="10"/>
  <c r="F104" i="10"/>
  <c r="E104" i="10"/>
  <c r="D104" i="10"/>
  <c r="C104" i="10"/>
  <c r="S103" i="10"/>
  <c r="R103" i="10"/>
  <c r="P99" i="10"/>
  <c r="O99" i="10"/>
  <c r="N99" i="10"/>
  <c r="M99" i="10"/>
  <c r="L99" i="10"/>
  <c r="K99" i="10"/>
  <c r="J99" i="10"/>
  <c r="I99" i="10"/>
  <c r="H99" i="10"/>
  <c r="G99" i="10"/>
  <c r="F99" i="10"/>
  <c r="E99" i="10"/>
  <c r="D99" i="10"/>
  <c r="C99" i="10"/>
  <c r="B99" i="10"/>
  <c r="P98" i="10"/>
  <c r="O98" i="10"/>
  <c r="N98" i="10"/>
  <c r="M98" i="10"/>
  <c r="L98" i="10"/>
  <c r="K98" i="10"/>
  <c r="J98" i="10"/>
  <c r="I98" i="10"/>
  <c r="H98" i="10"/>
  <c r="G98" i="10"/>
  <c r="F98" i="10"/>
  <c r="E98" i="10"/>
  <c r="D98" i="10"/>
  <c r="C98" i="10"/>
  <c r="S97" i="10"/>
  <c r="R97" i="10"/>
  <c r="P96" i="10"/>
  <c r="O96" i="10"/>
  <c r="N96" i="10"/>
  <c r="M96" i="10"/>
  <c r="L96" i="10"/>
  <c r="K96" i="10"/>
  <c r="J96" i="10"/>
  <c r="I96" i="10"/>
  <c r="H96" i="10"/>
  <c r="G96" i="10"/>
  <c r="F96" i="10"/>
  <c r="E96" i="10"/>
  <c r="D96" i="10"/>
  <c r="C96" i="10"/>
  <c r="S95" i="10"/>
  <c r="R95" i="10"/>
  <c r="P91" i="10"/>
  <c r="O91" i="10"/>
  <c r="N91" i="10"/>
  <c r="M91" i="10"/>
  <c r="L91" i="10"/>
  <c r="K91" i="10"/>
  <c r="J91" i="10"/>
  <c r="I91" i="10"/>
  <c r="H91" i="10"/>
  <c r="G91" i="10"/>
  <c r="F91" i="10"/>
  <c r="E91" i="10"/>
  <c r="D91" i="10"/>
  <c r="C91" i="10"/>
  <c r="B91" i="10"/>
  <c r="P90" i="10"/>
  <c r="O90" i="10"/>
  <c r="N90" i="10"/>
  <c r="M90" i="10"/>
  <c r="L90" i="10"/>
  <c r="K90" i="10"/>
  <c r="J90" i="10"/>
  <c r="I90" i="10"/>
  <c r="H90" i="10"/>
  <c r="G90" i="10"/>
  <c r="F90" i="10"/>
  <c r="E90" i="10"/>
  <c r="D90" i="10"/>
  <c r="C90" i="10"/>
  <c r="S89" i="10"/>
  <c r="R89" i="10"/>
  <c r="P88" i="10"/>
  <c r="O88" i="10"/>
  <c r="N88" i="10"/>
  <c r="M88" i="10"/>
  <c r="L88" i="10"/>
  <c r="K88" i="10"/>
  <c r="J88" i="10"/>
  <c r="I88" i="10"/>
  <c r="H88" i="10"/>
  <c r="G88" i="10"/>
  <c r="F88" i="10"/>
  <c r="E88" i="10"/>
  <c r="D88" i="10"/>
  <c r="C88" i="10"/>
  <c r="S87" i="10"/>
  <c r="R87" i="10"/>
  <c r="P83" i="10"/>
  <c r="O83" i="10"/>
  <c r="N83" i="10"/>
  <c r="M83" i="10"/>
  <c r="L83" i="10"/>
  <c r="K83" i="10"/>
  <c r="J83" i="10"/>
  <c r="I83" i="10"/>
  <c r="H83" i="10"/>
  <c r="G83" i="10"/>
  <c r="F83" i="10"/>
  <c r="E83" i="10"/>
  <c r="D83" i="10"/>
  <c r="C83" i="10"/>
  <c r="B83" i="10"/>
  <c r="P82" i="10"/>
  <c r="O82" i="10"/>
  <c r="N82" i="10"/>
  <c r="M82" i="10"/>
  <c r="L82" i="10"/>
  <c r="K82" i="10"/>
  <c r="J82" i="10"/>
  <c r="I82" i="10"/>
  <c r="H82" i="10"/>
  <c r="G82" i="10"/>
  <c r="F82" i="10"/>
  <c r="E82" i="10"/>
  <c r="D82" i="10"/>
  <c r="C82" i="10"/>
  <c r="S81" i="10"/>
  <c r="R81" i="10"/>
  <c r="P80" i="10"/>
  <c r="O80" i="10"/>
  <c r="N80" i="10"/>
  <c r="M80" i="10"/>
  <c r="L80" i="10"/>
  <c r="K80" i="10"/>
  <c r="J80" i="10"/>
  <c r="I80" i="10"/>
  <c r="H80" i="10"/>
  <c r="G80" i="10"/>
  <c r="F80" i="10"/>
  <c r="E80" i="10"/>
  <c r="D80" i="10"/>
  <c r="C80" i="10"/>
  <c r="S79" i="10"/>
  <c r="R79" i="10"/>
  <c r="P70" i="10"/>
  <c r="O70" i="10"/>
  <c r="N70" i="10"/>
  <c r="M70" i="10"/>
  <c r="L70" i="10"/>
  <c r="K70" i="10"/>
  <c r="J70" i="10"/>
  <c r="I70" i="10"/>
  <c r="H70" i="10"/>
  <c r="G70" i="10"/>
  <c r="F70" i="10"/>
  <c r="E70" i="10"/>
  <c r="D70" i="10"/>
  <c r="C70" i="10"/>
  <c r="S69" i="10"/>
  <c r="R69" i="10"/>
  <c r="P55" i="10"/>
  <c r="O55" i="10"/>
  <c r="N55" i="10"/>
  <c r="M55" i="10"/>
  <c r="L55" i="10"/>
  <c r="K55" i="10"/>
  <c r="J55" i="10"/>
  <c r="I55" i="10"/>
  <c r="H55" i="10"/>
  <c r="G55" i="10"/>
  <c r="F55" i="10"/>
  <c r="E55" i="10"/>
  <c r="D55" i="10"/>
  <c r="C55" i="10"/>
  <c r="B55" i="10"/>
  <c r="P54" i="10"/>
  <c r="O54" i="10"/>
  <c r="N54" i="10"/>
  <c r="M54" i="10"/>
  <c r="L54" i="10"/>
  <c r="K54" i="10"/>
  <c r="J54" i="10"/>
  <c r="I54" i="10"/>
  <c r="H54" i="10"/>
  <c r="G54" i="10"/>
  <c r="F54" i="10"/>
  <c r="E54" i="10"/>
  <c r="D54" i="10"/>
  <c r="C54" i="10"/>
  <c r="S53" i="10"/>
  <c r="R53" i="10"/>
  <c r="P52" i="10"/>
  <c r="O52" i="10"/>
  <c r="N52" i="10"/>
  <c r="M52" i="10"/>
  <c r="L52" i="10"/>
  <c r="K52" i="10"/>
  <c r="J52" i="10"/>
  <c r="I52" i="10"/>
  <c r="H52" i="10"/>
  <c r="G52" i="10"/>
  <c r="F52" i="10"/>
  <c r="E52" i="10"/>
  <c r="D52" i="10"/>
  <c r="C52" i="10"/>
  <c r="S51" i="10"/>
  <c r="R51" i="10"/>
  <c r="P50" i="10"/>
  <c r="O50" i="10"/>
  <c r="N50" i="10"/>
  <c r="M50" i="10"/>
  <c r="L50" i="10"/>
  <c r="K50" i="10"/>
  <c r="J50" i="10"/>
  <c r="I50" i="10"/>
  <c r="H50" i="10"/>
  <c r="G50" i="10"/>
  <c r="F50" i="10"/>
  <c r="E50" i="10"/>
  <c r="D50" i="10"/>
  <c r="C50" i="10"/>
  <c r="S49" i="10"/>
  <c r="R49" i="10"/>
  <c r="P48" i="10"/>
  <c r="O48" i="10"/>
  <c r="N48" i="10"/>
  <c r="M48" i="10"/>
  <c r="L48" i="10"/>
  <c r="K48" i="10"/>
  <c r="J48" i="10"/>
  <c r="I48" i="10"/>
  <c r="H48" i="10"/>
  <c r="G48" i="10"/>
  <c r="F48" i="10"/>
  <c r="E48" i="10"/>
  <c r="D48" i="10"/>
  <c r="C48" i="10"/>
  <c r="S47" i="10"/>
  <c r="R47" i="10"/>
  <c r="P38" i="10"/>
  <c r="O38" i="10"/>
  <c r="N38" i="10"/>
  <c r="N119" i="10"/>
  <c r="M38" i="10"/>
  <c r="L38" i="10"/>
  <c r="K38" i="10"/>
  <c r="K63" i="10"/>
  <c r="J38" i="10"/>
  <c r="I38" i="10"/>
  <c r="I119" i="10"/>
  <c r="H38" i="10"/>
  <c r="G38" i="10"/>
  <c r="F38" i="10"/>
  <c r="F63" i="10"/>
  <c r="E38" i="10"/>
  <c r="D38" i="10"/>
  <c r="C38" i="10"/>
  <c r="C63" i="10"/>
  <c r="B38" i="10"/>
  <c r="P36" i="10"/>
  <c r="P117" i="10"/>
  <c r="O36" i="10"/>
  <c r="O61" i="10"/>
  <c r="N36" i="10"/>
  <c r="M36" i="10"/>
  <c r="M117" i="10"/>
  <c r="L36" i="10"/>
  <c r="L61" i="10"/>
  <c r="K36" i="10"/>
  <c r="J36" i="10"/>
  <c r="I36" i="10"/>
  <c r="H36" i="10"/>
  <c r="H117" i="10"/>
  <c r="G36" i="10"/>
  <c r="G61" i="10"/>
  <c r="F36" i="10"/>
  <c r="E36" i="10"/>
  <c r="E117" i="10"/>
  <c r="D36" i="10"/>
  <c r="D61" i="10"/>
  <c r="C36" i="10"/>
  <c r="B36" i="10"/>
  <c r="P34" i="10"/>
  <c r="P59" i="10"/>
  <c r="O34" i="10"/>
  <c r="O115" i="10"/>
  <c r="N34" i="10"/>
  <c r="M34" i="10"/>
  <c r="M59" i="10"/>
  <c r="L34" i="10"/>
  <c r="L115" i="10"/>
  <c r="K34" i="10"/>
  <c r="J34" i="10"/>
  <c r="I34" i="10"/>
  <c r="H34" i="10"/>
  <c r="H59" i="10"/>
  <c r="G34" i="10"/>
  <c r="G115" i="10"/>
  <c r="F34" i="10"/>
  <c r="E34" i="10"/>
  <c r="E59" i="10"/>
  <c r="D34" i="10"/>
  <c r="D115" i="10"/>
  <c r="C34" i="10"/>
  <c r="B34" i="10"/>
  <c r="P24" i="10"/>
  <c r="S24" i="10"/>
  <c r="O24" i="10"/>
  <c r="N24" i="10"/>
  <c r="M24" i="10"/>
  <c r="L24" i="10"/>
  <c r="K24" i="10"/>
  <c r="K25" i="10"/>
  <c r="J24" i="10"/>
  <c r="I24" i="10"/>
  <c r="H24" i="10"/>
  <c r="G24" i="10"/>
  <c r="F24" i="10"/>
  <c r="E24" i="10"/>
  <c r="D24" i="10"/>
  <c r="C24" i="10"/>
  <c r="B24" i="10"/>
  <c r="S22" i="10"/>
  <c r="R22" i="10"/>
  <c r="S20" i="10"/>
  <c r="R20" i="10"/>
  <c r="S18" i="10"/>
  <c r="R18" i="10"/>
  <c r="S14" i="10"/>
  <c r="R14" i="10"/>
  <c r="P12" i="10"/>
  <c r="O12" i="10"/>
  <c r="N12" i="10"/>
  <c r="M12" i="10"/>
  <c r="L12" i="10"/>
  <c r="K12" i="10"/>
  <c r="J12" i="10"/>
  <c r="I12" i="10"/>
  <c r="H12" i="10"/>
  <c r="G12" i="10"/>
  <c r="F12" i="10"/>
  <c r="E12" i="10"/>
  <c r="D12" i="10"/>
  <c r="C12" i="10"/>
  <c r="S11" i="10"/>
  <c r="R11" i="10"/>
  <c r="P9" i="10"/>
  <c r="O9" i="10"/>
  <c r="N9" i="10"/>
  <c r="M9" i="10"/>
  <c r="L9" i="10"/>
  <c r="K9" i="10"/>
  <c r="J9" i="10"/>
  <c r="I9" i="10"/>
  <c r="H9" i="10"/>
  <c r="G9" i="10"/>
  <c r="F9" i="10"/>
  <c r="E9" i="10"/>
  <c r="D9" i="10"/>
  <c r="C9" i="10"/>
  <c r="S8" i="10"/>
  <c r="R8" i="10"/>
  <c r="P7" i="10"/>
  <c r="O7" i="10"/>
  <c r="N7" i="10"/>
  <c r="M7" i="10"/>
  <c r="L7" i="10"/>
  <c r="K7" i="10"/>
  <c r="J7" i="10"/>
  <c r="I7" i="10"/>
  <c r="H7" i="10"/>
  <c r="G7" i="10"/>
  <c r="F7" i="10"/>
  <c r="E7" i="10"/>
  <c r="D7" i="10"/>
  <c r="C7" i="10"/>
  <c r="S6" i="10"/>
  <c r="R6" i="10"/>
  <c r="P5" i="10"/>
  <c r="O5" i="10"/>
  <c r="N5" i="10"/>
  <c r="M5" i="10"/>
  <c r="L5" i="10"/>
  <c r="K5" i="10"/>
  <c r="J5" i="10"/>
  <c r="I5" i="10"/>
  <c r="H5" i="10"/>
  <c r="G5" i="10"/>
  <c r="F5" i="10"/>
  <c r="E5" i="10"/>
  <c r="D5" i="10"/>
  <c r="C5" i="10"/>
  <c r="S4" i="10"/>
  <c r="R4" i="10"/>
  <c r="P2" i="10"/>
  <c r="O2" i="10"/>
  <c r="N2" i="10"/>
  <c r="M2" i="10"/>
  <c r="M3" i="10"/>
  <c r="L2" i="10"/>
  <c r="K2" i="10"/>
  <c r="J2" i="10"/>
  <c r="I2" i="10"/>
  <c r="H2" i="10"/>
  <c r="G2" i="10"/>
  <c r="F2" i="10"/>
  <c r="E2" i="10"/>
  <c r="E3" i="10"/>
  <c r="D2" i="10"/>
  <c r="C2" i="10"/>
  <c r="B2" i="10"/>
  <c r="P217" i="9"/>
  <c r="O217" i="9"/>
  <c r="N217" i="9"/>
  <c r="M217" i="9"/>
  <c r="L217" i="9"/>
  <c r="K217" i="9"/>
  <c r="J217" i="9"/>
  <c r="I217" i="9"/>
  <c r="H217" i="9"/>
  <c r="G217" i="9"/>
  <c r="F217" i="9"/>
  <c r="E217" i="9"/>
  <c r="P216" i="9"/>
  <c r="O216" i="9"/>
  <c r="N216" i="9"/>
  <c r="M216" i="9"/>
  <c r="L216" i="9"/>
  <c r="K216" i="9"/>
  <c r="J216" i="9"/>
  <c r="I216" i="9"/>
  <c r="H216" i="9"/>
  <c r="G216" i="9"/>
  <c r="F216" i="9"/>
  <c r="S215" i="9"/>
  <c r="P214" i="9"/>
  <c r="O214" i="9"/>
  <c r="N214" i="9"/>
  <c r="M214" i="9"/>
  <c r="L214" i="9"/>
  <c r="K214" i="9"/>
  <c r="J214" i="9"/>
  <c r="I214" i="9"/>
  <c r="H214" i="9"/>
  <c r="G214" i="9"/>
  <c r="F214" i="9"/>
  <c r="S213" i="9"/>
  <c r="P212" i="9"/>
  <c r="O212" i="9"/>
  <c r="N212" i="9"/>
  <c r="M212" i="9"/>
  <c r="L212" i="9"/>
  <c r="K212" i="9"/>
  <c r="J212" i="9"/>
  <c r="I212" i="9"/>
  <c r="H212" i="9"/>
  <c r="G212" i="9"/>
  <c r="F212" i="9"/>
  <c r="S211" i="9"/>
  <c r="P210" i="9"/>
  <c r="O210" i="9"/>
  <c r="N210" i="9"/>
  <c r="M210" i="9"/>
  <c r="L210" i="9"/>
  <c r="K210" i="9"/>
  <c r="J210" i="9"/>
  <c r="I210" i="9"/>
  <c r="H210" i="9"/>
  <c r="G210" i="9"/>
  <c r="F210" i="9"/>
  <c r="S209" i="9"/>
  <c r="P205" i="9"/>
  <c r="O205" i="9"/>
  <c r="N205" i="9"/>
  <c r="M205" i="9"/>
  <c r="K205" i="9"/>
  <c r="J205" i="9"/>
  <c r="I205" i="9"/>
  <c r="H205" i="9"/>
  <c r="G205" i="9"/>
  <c r="F205" i="9"/>
  <c r="E205" i="9"/>
  <c r="S201" i="9"/>
  <c r="S199" i="9"/>
  <c r="S197" i="9"/>
  <c r="S195" i="9"/>
  <c r="S193" i="9"/>
  <c r="S191" i="9"/>
  <c r="S189" i="9"/>
  <c r="S187" i="9"/>
  <c r="S185" i="9"/>
  <c r="S183" i="9"/>
  <c r="S181" i="9"/>
  <c r="S179" i="9"/>
  <c r="P176" i="9"/>
  <c r="O176" i="9"/>
  <c r="N176" i="9"/>
  <c r="M176" i="9"/>
  <c r="L176" i="9"/>
  <c r="K176" i="9"/>
  <c r="J176" i="9"/>
  <c r="I176" i="9"/>
  <c r="H176" i="9"/>
  <c r="G176" i="9"/>
  <c r="F176" i="9"/>
  <c r="S175" i="9"/>
  <c r="P171" i="9"/>
  <c r="O171" i="9"/>
  <c r="N171" i="9"/>
  <c r="M171" i="9"/>
  <c r="L171" i="9"/>
  <c r="K171" i="9"/>
  <c r="J171" i="9"/>
  <c r="I171" i="9"/>
  <c r="H171" i="9"/>
  <c r="G171" i="9"/>
  <c r="F171" i="9"/>
  <c r="E171" i="9"/>
  <c r="D171" i="9"/>
  <c r="C171" i="9"/>
  <c r="C172" i="9"/>
  <c r="B171" i="9"/>
  <c r="P169" i="9"/>
  <c r="O169" i="9"/>
  <c r="N169" i="9"/>
  <c r="M169" i="9"/>
  <c r="L169" i="9"/>
  <c r="K169" i="9"/>
  <c r="J169" i="9"/>
  <c r="I169" i="9"/>
  <c r="H169" i="9"/>
  <c r="G169" i="9"/>
  <c r="F169" i="9"/>
  <c r="E169" i="9"/>
  <c r="D169" i="9"/>
  <c r="C169" i="9"/>
  <c r="B169" i="9"/>
  <c r="P167" i="9"/>
  <c r="O167" i="9"/>
  <c r="O165" i="9"/>
  <c r="N167" i="9"/>
  <c r="M167" i="9"/>
  <c r="L167" i="9"/>
  <c r="K167" i="9"/>
  <c r="J167" i="9"/>
  <c r="I167" i="9"/>
  <c r="H167" i="9"/>
  <c r="G167" i="9"/>
  <c r="F167" i="9"/>
  <c r="E167" i="9"/>
  <c r="D167" i="9"/>
  <c r="C167" i="9"/>
  <c r="B167" i="9"/>
  <c r="P163" i="9"/>
  <c r="O163" i="9"/>
  <c r="N163" i="9"/>
  <c r="M163" i="9"/>
  <c r="L163" i="9"/>
  <c r="K163" i="9"/>
  <c r="J163" i="9"/>
  <c r="I163" i="9"/>
  <c r="H163" i="9"/>
  <c r="G163" i="9"/>
  <c r="F163" i="9"/>
  <c r="E163" i="9"/>
  <c r="D163" i="9"/>
  <c r="C163" i="9"/>
  <c r="B163" i="9"/>
  <c r="P161" i="9"/>
  <c r="O161" i="9"/>
  <c r="N161" i="9"/>
  <c r="M161" i="9"/>
  <c r="L161" i="9"/>
  <c r="K161" i="9"/>
  <c r="J161" i="9"/>
  <c r="I161" i="9"/>
  <c r="H161" i="9"/>
  <c r="G161" i="9"/>
  <c r="F161" i="9"/>
  <c r="E161" i="9"/>
  <c r="D161" i="9"/>
  <c r="C161" i="9"/>
  <c r="B161" i="9"/>
  <c r="P157" i="9"/>
  <c r="O157" i="9"/>
  <c r="N157" i="9"/>
  <c r="M157" i="9"/>
  <c r="L157" i="9"/>
  <c r="K157" i="9"/>
  <c r="J157" i="9"/>
  <c r="I157" i="9"/>
  <c r="H157" i="9"/>
  <c r="G157" i="9"/>
  <c r="F157" i="9"/>
  <c r="E157" i="9"/>
  <c r="D157" i="9"/>
  <c r="C157" i="9"/>
  <c r="B157" i="9"/>
  <c r="P155" i="9"/>
  <c r="O155" i="9"/>
  <c r="N155" i="9"/>
  <c r="M155" i="9"/>
  <c r="L155" i="9"/>
  <c r="K155" i="9"/>
  <c r="J155" i="9"/>
  <c r="I155" i="9"/>
  <c r="H155" i="9"/>
  <c r="G155" i="9"/>
  <c r="F155" i="9"/>
  <c r="E155" i="9"/>
  <c r="D155" i="9"/>
  <c r="C155" i="9"/>
  <c r="B155" i="9"/>
  <c r="P151" i="9"/>
  <c r="O151" i="9"/>
  <c r="N151" i="9"/>
  <c r="M151" i="9"/>
  <c r="L151" i="9"/>
  <c r="K151" i="9"/>
  <c r="J151" i="9"/>
  <c r="I151" i="9"/>
  <c r="H151" i="9"/>
  <c r="G151" i="9"/>
  <c r="F151" i="9"/>
  <c r="E151" i="9"/>
  <c r="D151" i="9"/>
  <c r="C151" i="9"/>
  <c r="B151" i="9"/>
  <c r="P149" i="9"/>
  <c r="O149" i="9"/>
  <c r="N149" i="9"/>
  <c r="M149" i="9"/>
  <c r="L149" i="9"/>
  <c r="K149" i="9"/>
  <c r="J149" i="9"/>
  <c r="I149" i="9"/>
  <c r="I147" i="9"/>
  <c r="H149" i="9"/>
  <c r="G149" i="9"/>
  <c r="F149" i="9"/>
  <c r="E149" i="9"/>
  <c r="D149" i="9"/>
  <c r="C149" i="9"/>
  <c r="B149" i="9"/>
  <c r="P142" i="9"/>
  <c r="O142" i="9"/>
  <c r="N142" i="9"/>
  <c r="M142" i="9"/>
  <c r="L142" i="9"/>
  <c r="K142" i="9"/>
  <c r="J142" i="9"/>
  <c r="I142" i="9"/>
  <c r="H142" i="9"/>
  <c r="G142" i="9"/>
  <c r="F142" i="9"/>
  <c r="E142" i="9"/>
  <c r="D142" i="9"/>
  <c r="C142" i="9"/>
  <c r="S141" i="9"/>
  <c r="R141" i="9"/>
  <c r="P140" i="9"/>
  <c r="O140" i="9"/>
  <c r="N140" i="9"/>
  <c r="M140" i="9"/>
  <c r="L140" i="9"/>
  <c r="K140" i="9"/>
  <c r="J140" i="9"/>
  <c r="I140" i="9"/>
  <c r="H140" i="9"/>
  <c r="G140" i="9"/>
  <c r="F140" i="9"/>
  <c r="E140" i="9"/>
  <c r="D140" i="9"/>
  <c r="C140" i="9"/>
  <c r="S139" i="9"/>
  <c r="R139" i="9"/>
  <c r="P138" i="9"/>
  <c r="O138" i="9"/>
  <c r="N138" i="9"/>
  <c r="M138" i="9"/>
  <c r="L138" i="9"/>
  <c r="K138" i="9"/>
  <c r="J138" i="9"/>
  <c r="I138" i="9"/>
  <c r="H138" i="9"/>
  <c r="G138" i="9"/>
  <c r="F138" i="9"/>
  <c r="E138" i="9"/>
  <c r="D138" i="9"/>
  <c r="C138" i="9"/>
  <c r="S137" i="9"/>
  <c r="R137" i="9"/>
  <c r="P136" i="9"/>
  <c r="O136" i="9"/>
  <c r="N136" i="9"/>
  <c r="M136" i="9"/>
  <c r="L136" i="9"/>
  <c r="K136" i="9"/>
  <c r="J136" i="9"/>
  <c r="I136" i="9"/>
  <c r="H136" i="9"/>
  <c r="G136" i="9"/>
  <c r="F136" i="9"/>
  <c r="E136" i="9"/>
  <c r="D136" i="9"/>
  <c r="C136" i="9"/>
  <c r="S135" i="9"/>
  <c r="R135" i="9"/>
  <c r="P134" i="9"/>
  <c r="O134" i="9"/>
  <c r="N134" i="9"/>
  <c r="M134" i="9"/>
  <c r="L134" i="9"/>
  <c r="K134" i="9"/>
  <c r="J134" i="9"/>
  <c r="I134" i="9"/>
  <c r="H134" i="9"/>
  <c r="G134" i="9"/>
  <c r="F134" i="9"/>
  <c r="E134" i="9"/>
  <c r="D134" i="9"/>
  <c r="C134" i="9"/>
  <c r="S133" i="9"/>
  <c r="R133" i="9"/>
  <c r="P129" i="9"/>
  <c r="O129" i="9"/>
  <c r="N129" i="9"/>
  <c r="M129" i="9"/>
  <c r="L129" i="9"/>
  <c r="K129" i="9"/>
  <c r="J129" i="9"/>
  <c r="I129" i="9"/>
  <c r="H129" i="9"/>
  <c r="G129" i="9"/>
  <c r="F129" i="9"/>
  <c r="E129" i="9"/>
  <c r="D129" i="9"/>
  <c r="C129" i="9"/>
  <c r="B129" i="9"/>
  <c r="P128" i="9"/>
  <c r="O128" i="9"/>
  <c r="N128" i="9"/>
  <c r="M128" i="9"/>
  <c r="L128" i="9"/>
  <c r="K128" i="9"/>
  <c r="J128" i="9"/>
  <c r="I128" i="9"/>
  <c r="H128" i="9"/>
  <c r="G128" i="9"/>
  <c r="F128" i="9"/>
  <c r="E128" i="9"/>
  <c r="D128" i="9"/>
  <c r="C128" i="9"/>
  <c r="S127" i="9"/>
  <c r="R127" i="9"/>
  <c r="P126" i="9"/>
  <c r="O126" i="9"/>
  <c r="N126" i="9"/>
  <c r="M126" i="9"/>
  <c r="L126" i="9"/>
  <c r="K126" i="9"/>
  <c r="J126" i="9"/>
  <c r="I126" i="9"/>
  <c r="H126" i="9"/>
  <c r="G126" i="9"/>
  <c r="F126" i="9"/>
  <c r="E126" i="9"/>
  <c r="D126" i="9"/>
  <c r="C126" i="9"/>
  <c r="S125" i="9"/>
  <c r="R125" i="9"/>
  <c r="P111" i="9"/>
  <c r="O111" i="9"/>
  <c r="N111" i="9"/>
  <c r="M111" i="9"/>
  <c r="L111" i="9"/>
  <c r="K111" i="9"/>
  <c r="J111" i="9"/>
  <c r="I111" i="9"/>
  <c r="H111" i="9"/>
  <c r="G111" i="9"/>
  <c r="F111" i="9"/>
  <c r="E111" i="9"/>
  <c r="D111" i="9"/>
  <c r="C111" i="9"/>
  <c r="P110" i="9"/>
  <c r="O110" i="9"/>
  <c r="N110" i="9"/>
  <c r="M110" i="9"/>
  <c r="L110" i="9"/>
  <c r="K110" i="9"/>
  <c r="J110" i="9"/>
  <c r="I110" i="9"/>
  <c r="H110" i="9"/>
  <c r="G110" i="9"/>
  <c r="F110" i="9"/>
  <c r="E110" i="9"/>
  <c r="D110" i="9"/>
  <c r="S109" i="9"/>
  <c r="R109" i="9"/>
  <c r="O108" i="9"/>
  <c r="N108" i="9"/>
  <c r="M108" i="9"/>
  <c r="L108" i="9"/>
  <c r="K108" i="9"/>
  <c r="J108" i="9"/>
  <c r="I108" i="9"/>
  <c r="H108" i="9"/>
  <c r="G108" i="9"/>
  <c r="F108" i="9"/>
  <c r="E108" i="9"/>
  <c r="D108" i="9"/>
  <c r="C108" i="9"/>
  <c r="S107" i="9"/>
  <c r="R107" i="9"/>
  <c r="P106" i="9"/>
  <c r="O106" i="9"/>
  <c r="N106" i="9"/>
  <c r="M106" i="9"/>
  <c r="L106" i="9"/>
  <c r="K106" i="9"/>
  <c r="J106" i="9"/>
  <c r="I106" i="9"/>
  <c r="H106" i="9"/>
  <c r="G106" i="9"/>
  <c r="F106" i="9"/>
  <c r="E106" i="9"/>
  <c r="D106" i="9"/>
  <c r="C106" i="9"/>
  <c r="S105" i="9"/>
  <c r="R105" i="9"/>
  <c r="P104" i="9"/>
  <c r="O104" i="9"/>
  <c r="N104" i="9"/>
  <c r="M104" i="9"/>
  <c r="L104" i="9"/>
  <c r="K104" i="9"/>
  <c r="J104" i="9"/>
  <c r="I104" i="9"/>
  <c r="H104" i="9"/>
  <c r="G104" i="9"/>
  <c r="F104" i="9"/>
  <c r="E104" i="9"/>
  <c r="D104" i="9"/>
  <c r="C104" i="9"/>
  <c r="S103" i="9"/>
  <c r="R103" i="9"/>
  <c r="P99" i="9"/>
  <c r="O99" i="9"/>
  <c r="N99" i="9"/>
  <c r="M99" i="9"/>
  <c r="L99" i="9"/>
  <c r="K99" i="9"/>
  <c r="J99" i="9"/>
  <c r="I99" i="9"/>
  <c r="H99" i="9"/>
  <c r="G99" i="9"/>
  <c r="F99" i="9"/>
  <c r="E99" i="9"/>
  <c r="D99" i="9"/>
  <c r="C99" i="9"/>
  <c r="B99" i="9"/>
  <c r="P98" i="9"/>
  <c r="O98" i="9"/>
  <c r="N98" i="9"/>
  <c r="M98" i="9"/>
  <c r="L98" i="9"/>
  <c r="K98" i="9"/>
  <c r="J98" i="9"/>
  <c r="I98" i="9"/>
  <c r="H98" i="9"/>
  <c r="G98" i="9"/>
  <c r="F98" i="9"/>
  <c r="E98" i="9"/>
  <c r="D98" i="9"/>
  <c r="C98" i="9"/>
  <c r="S97" i="9"/>
  <c r="R97" i="9"/>
  <c r="P96" i="9"/>
  <c r="O96" i="9"/>
  <c r="N96" i="9"/>
  <c r="M96" i="9"/>
  <c r="L96" i="9"/>
  <c r="K96" i="9"/>
  <c r="J96" i="9"/>
  <c r="I96" i="9"/>
  <c r="H96" i="9"/>
  <c r="G96" i="9"/>
  <c r="F96" i="9"/>
  <c r="E96" i="9"/>
  <c r="D96" i="9"/>
  <c r="C96" i="9"/>
  <c r="S95" i="9"/>
  <c r="R95" i="9"/>
  <c r="P91" i="9"/>
  <c r="O91" i="9"/>
  <c r="N91" i="9"/>
  <c r="M91" i="9"/>
  <c r="L91" i="9"/>
  <c r="K91" i="9"/>
  <c r="J91" i="9"/>
  <c r="I91" i="9"/>
  <c r="H91" i="9"/>
  <c r="G91" i="9"/>
  <c r="F91" i="9"/>
  <c r="E91" i="9"/>
  <c r="D91" i="9"/>
  <c r="C91" i="9"/>
  <c r="B91" i="9"/>
  <c r="P90" i="9"/>
  <c r="O90" i="9"/>
  <c r="N90" i="9"/>
  <c r="M90" i="9"/>
  <c r="L90" i="9"/>
  <c r="K90" i="9"/>
  <c r="J90" i="9"/>
  <c r="I90" i="9"/>
  <c r="H90" i="9"/>
  <c r="G90" i="9"/>
  <c r="F90" i="9"/>
  <c r="E90" i="9"/>
  <c r="D90" i="9"/>
  <c r="C90" i="9"/>
  <c r="S89" i="9"/>
  <c r="R89" i="9"/>
  <c r="P88" i="9"/>
  <c r="O88" i="9"/>
  <c r="N88" i="9"/>
  <c r="M88" i="9"/>
  <c r="L88" i="9"/>
  <c r="K88" i="9"/>
  <c r="J88" i="9"/>
  <c r="I88" i="9"/>
  <c r="H88" i="9"/>
  <c r="G88" i="9"/>
  <c r="F88" i="9"/>
  <c r="E88" i="9"/>
  <c r="D88" i="9"/>
  <c r="C88" i="9"/>
  <c r="S87" i="9"/>
  <c r="R87" i="9"/>
  <c r="P83" i="9"/>
  <c r="O83" i="9"/>
  <c r="N83" i="9"/>
  <c r="M83" i="9"/>
  <c r="L83" i="9"/>
  <c r="K83" i="9"/>
  <c r="J83" i="9"/>
  <c r="I83" i="9"/>
  <c r="H83" i="9"/>
  <c r="G83" i="9"/>
  <c r="F83" i="9"/>
  <c r="E83" i="9"/>
  <c r="D83" i="9"/>
  <c r="C83" i="9"/>
  <c r="B83" i="9"/>
  <c r="P82" i="9"/>
  <c r="O82" i="9"/>
  <c r="N82" i="9"/>
  <c r="M82" i="9"/>
  <c r="L82" i="9"/>
  <c r="K82" i="9"/>
  <c r="J82" i="9"/>
  <c r="I82" i="9"/>
  <c r="H82" i="9"/>
  <c r="G82" i="9"/>
  <c r="F82" i="9"/>
  <c r="E82" i="9"/>
  <c r="D82" i="9"/>
  <c r="C82" i="9"/>
  <c r="S81" i="9"/>
  <c r="R81" i="9"/>
  <c r="P80" i="9"/>
  <c r="O80" i="9"/>
  <c r="N80" i="9"/>
  <c r="M80" i="9"/>
  <c r="L80" i="9"/>
  <c r="K80" i="9"/>
  <c r="J80" i="9"/>
  <c r="I80" i="9"/>
  <c r="H80" i="9"/>
  <c r="G80" i="9"/>
  <c r="F80" i="9"/>
  <c r="E80" i="9"/>
  <c r="D80" i="9"/>
  <c r="C80" i="9"/>
  <c r="S79" i="9"/>
  <c r="R79" i="9"/>
  <c r="P75" i="9"/>
  <c r="O75" i="9"/>
  <c r="N75" i="9"/>
  <c r="M75" i="9"/>
  <c r="L75" i="9"/>
  <c r="K75" i="9"/>
  <c r="J75" i="9"/>
  <c r="I75" i="9"/>
  <c r="H75" i="9"/>
  <c r="G75" i="9"/>
  <c r="F75" i="9"/>
  <c r="E75" i="9"/>
  <c r="D75" i="9"/>
  <c r="C75" i="9"/>
  <c r="B75" i="9"/>
  <c r="P74" i="9"/>
  <c r="O74" i="9"/>
  <c r="N74" i="9"/>
  <c r="M74" i="9"/>
  <c r="L74" i="9"/>
  <c r="K74" i="9"/>
  <c r="J74" i="9"/>
  <c r="I74" i="9"/>
  <c r="H74" i="9"/>
  <c r="G74" i="9"/>
  <c r="F74" i="9"/>
  <c r="E74" i="9"/>
  <c r="D74" i="9"/>
  <c r="C74" i="9"/>
  <c r="S73" i="9"/>
  <c r="R73" i="9"/>
  <c r="P72" i="9"/>
  <c r="O72" i="9"/>
  <c r="N72" i="9"/>
  <c r="M72" i="9"/>
  <c r="L72" i="9"/>
  <c r="K72" i="9"/>
  <c r="J72" i="9"/>
  <c r="I72" i="9"/>
  <c r="H72" i="9"/>
  <c r="G72" i="9"/>
  <c r="F72" i="9"/>
  <c r="E72" i="9"/>
  <c r="D72" i="9"/>
  <c r="C72" i="9"/>
  <c r="S71" i="9"/>
  <c r="R71" i="9"/>
  <c r="P70" i="9"/>
  <c r="O70" i="9"/>
  <c r="N70" i="9"/>
  <c r="M70" i="9"/>
  <c r="L70" i="9"/>
  <c r="K70" i="9"/>
  <c r="J70" i="9"/>
  <c r="I70" i="9"/>
  <c r="H70" i="9"/>
  <c r="G70" i="9"/>
  <c r="F70" i="9"/>
  <c r="E70" i="9"/>
  <c r="D70" i="9"/>
  <c r="C70" i="9"/>
  <c r="S69" i="9"/>
  <c r="R69" i="9"/>
  <c r="P55" i="9"/>
  <c r="O55" i="9"/>
  <c r="N55" i="9"/>
  <c r="M55" i="9"/>
  <c r="L55" i="9"/>
  <c r="K55" i="9"/>
  <c r="J55" i="9"/>
  <c r="I55" i="9"/>
  <c r="H55" i="9"/>
  <c r="G55" i="9"/>
  <c r="F55" i="9"/>
  <c r="E55" i="9"/>
  <c r="D55" i="9"/>
  <c r="C55" i="9"/>
  <c r="B55" i="9"/>
  <c r="P54" i="9"/>
  <c r="O54" i="9"/>
  <c r="N54" i="9"/>
  <c r="M54" i="9"/>
  <c r="L54" i="9"/>
  <c r="K54" i="9"/>
  <c r="J54" i="9"/>
  <c r="I54" i="9"/>
  <c r="H54" i="9"/>
  <c r="G54" i="9"/>
  <c r="F54" i="9"/>
  <c r="E54" i="9"/>
  <c r="D54" i="9"/>
  <c r="C54" i="9"/>
  <c r="S53" i="9"/>
  <c r="R53" i="9"/>
  <c r="P52" i="9"/>
  <c r="O52" i="9"/>
  <c r="N52" i="9"/>
  <c r="M52" i="9"/>
  <c r="L52" i="9"/>
  <c r="K52" i="9"/>
  <c r="J52" i="9"/>
  <c r="I52" i="9"/>
  <c r="H52" i="9"/>
  <c r="G52" i="9"/>
  <c r="F52" i="9"/>
  <c r="E52" i="9"/>
  <c r="D52" i="9"/>
  <c r="C52" i="9"/>
  <c r="S51" i="9"/>
  <c r="R51" i="9"/>
  <c r="P50" i="9"/>
  <c r="O50" i="9"/>
  <c r="N50" i="9"/>
  <c r="M50" i="9"/>
  <c r="L50" i="9"/>
  <c r="K50" i="9"/>
  <c r="J50" i="9"/>
  <c r="I50" i="9"/>
  <c r="H50" i="9"/>
  <c r="G50" i="9"/>
  <c r="F50" i="9"/>
  <c r="E50" i="9"/>
  <c r="D50" i="9"/>
  <c r="C50" i="9"/>
  <c r="S49" i="9"/>
  <c r="R49" i="9"/>
  <c r="P48" i="9"/>
  <c r="O48" i="9"/>
  <c r="N48" i="9"/>
  <c r="M48" i="9"/>
  <c r="L48" i="9"/>
  <c r="K48" i="9"/>
  <c r="J48" i="9"/>
  <c r="I48" i="9"/>
  <c r="H48" i="9"/>
  <c r="G48" i="9"/>
  <c r="F48" i="9"/>
  <c r="E48" i="9"/>
  <c r="D48" i="9"/>
  <c r="C48" i="9"/>
  <c r="S47" i="9"/>
  <c r="R47" i="9"/>
  <c r="P38" i="9"/>
  <c r="O38" i="9"/>
  <c r="N38" i="9"/>
  <c r="N119" i="9"/>
  <c r="M38" i="9"/>
  <c r="L38" i="9"/>
  <c r="L119" i="9"/>
  <c r="K38" i="9"/>
  <c r="K63" i="9"/>
  <c r="J38" i="9"/>
  <c r="I38" i="9"/>
  <c r="I119" i="9"/>
  <c r="H38" i="9"/>
  <c r="G38" i="9"/>
  <c r="F38" i="9"/>
  <c r="F119" i="9"/>
  <c r="E38" i="9"/>
  <c r="D38" i="9"/>
  <c r="D119" i="9"/>
  <c r="C38" i="9"/>
  <c r="C63" i="9"/>
  <c r="B38" i="9"/>
  <c r="P36" i="9"/>
  <c r="P117" i="9"/>
  <c r="O36" i="9"/>
  <c r="N36" i="9"/>
  <c r="N117" i="9"/>
  <c r="M36" i="9"/>
  <c r="M117" i="9"/>
  <c r="L36" i="9"/>
  <c r="L61" i="9"/>
  <c r="K36" i="9"/>
  <c r="K117" i="9"/>
  <c r="J36" i="9"/>
  <c r="I36" i="9"/>
  <c r="H36" i="9"/>
  <c r="H117" i="9"/>
  <c r="G36" i="9"/>
  <c r="F36" i="9"/>
  <c r="F117" i="9"/>
  <c r="E36" i="9"/>
  <c r="E117" i="9"/>
  <c r="D36" i="9"/>
  <c r="D61" i="9"/>
  <c r="C36" i="9"/>
  <c r="C117" i="9"/>
  <c r="B36" i="9"/>
  <c r="P34" i="9"/>
  <c r="O34" i="9"/>
  <c r="O115" i="9"/>
  <c r="N34" i="9"/>
  <c r="M34" i="9"/>
  <c r="M59" i="9"/>
  <c r="L34" i="9"/>
  <c r="L115" i="9"/>
  <c r="K34" i="9"/>
  <c r="J34" i="9"/>
  <c r="J115" i="9"/>
  <c r="I34" i="9"/>
  <c r="H34" i="9"/>
  <c r="G34" i="9"/>
  <c r="G115" i="9"/>
  <c r="F34" i="9"/>
  <c r="E34" i="9"/>
  <c r="E115" i="9"/>
  <c r="D34" i="9"/>
  <c r="D115" i="9"/>
  <c r="C34" i="9"/>
  <c r="B34" i="9"/>
  <c r="P24" i="9"/>
  <c r="O24" i="9"/>
  <c r="N24" i="9"/>
  <c r="M24" i="9"/>
  <c r="L24" i="9"/>
  <c r="K24" i="9"/>
  <c r="J24" i="9"/>
  <c r="I24" i="9"/>
  <c r="H24" i="9"/>
  <c r="G24" i="9"/>
  <c r="F24" i="9"/>
  <c r="E24" i="9"/>
  <c r="D24" i="9"/>
  <c r="C24" i="9"/>
  <c r="B24" i="9"/>
  <c r="S22" i="9"/>
  <c r="R22" i="9"/>
  <c r="S20" i="9"/>
  <c r="R20" i="9"/>
  <c r="S18" i="9"/>
  <c r="R18" i="9"/>
  <c r="S14" i="9"/>
  <c r="R14" i="9"/>
  <c r="P12" i="9"/>
  <c r="O12" i="9"/>
  <c r="N12" i="9"/>
  <c r="M12" i="9"/>
  <c r="L12" i="9"/>
  <c r="K12" i="9"/>
  <c r="J12" i="9"/>
  <c r="I12" i="9"/>
  <c r="H12" i="9"/>
  <c r="G12" i="9"/>
  <c r="F12" i="9"/>
  <c r="E12" i="9"/>
  <c r="D12" i="9"/>
  <c r="C12" i="9"/>
  <c r="S11" i="9"/>
  <c r="R11" i="9"/>
  <c r="P9" i="9"/>
  <c r="O9" i="9"/>
  <c r="N9" i="9"/>
  <c r="M9" i="9"/>
  <c r="L9" i="9"/>
  <c r="K9" i="9"/>
  <c r="J9" i="9"/>
  <c r="I9" i="9"/>
  <c r="H9" i="9"/>
  <c r="G9" i="9"/>
  <c r="F9" i="9"/>
  <c r="E9" i="9"/>
  <c r="D9" i="9"/>
  <c r="C9" i="9"/>
  <c r="S8" i="9"/>
  <c r="R8" i="9"/>
  <c r="P7" i="9"/>
  <c r="O7" i="9"/>
  <c r="N7" i="9"/>
  <c r="M7" i="9"/>
  <c r="L7" i="9"/>
  <c r="K7" i="9"/>
  <c r="J7" i="9"/>
  <c r="I7" i="9"/>
  <c r="H7" i="9"/>
  <c r="G7" i="9"/>
  <c r="F7" i="9"/>
  <c r="E7" i="9"/>
  <c r="D7" i="9"/>
  <c r="C7" i="9"/>
  <c r="S6" i="9"/>
  <c r="R6" i="9"/>
  <c r="P5" i="9"/>
  <c r="O5" i="9"/>
  <c r="N5" i="9"/>
  <c r="M5" i="9"/>
  <c r="L5" i="9"/>
  <c r="K5" i="9"/>
  <c r="J5" i="9"/>
  <c r="I5" i="9"/>
  <c r="H5" i="9"/>
  <c r="G5" i="9"/>
  <c r="F5" i="9"/>
  <c r="E5" i="9"/>
  <c r="D5" i="9"/>
  <c r="C5" i="9"/>
  <c r="S4" i="9"/>
  <c r="R4" i="9"/>
  <c r="P2" i="9"/>
  <c r="O2" i="9"/>
  <c r="N2" i="9"/>
  <c r="M2" i="9"/>
  <c r="L2" i="9"/>
  <c r="K2" i="9"/>
  <c r="J2" i="9"/>
  <c r="I2" i="9"/>
  <c r="H2" i="9"/>
  <c r="G2" i="9"/>
  <c r="F2" i="9"/>
  <c r="E2" i="9"/>
  <c r="D2" i="9"/>
  <c r="C2" i="9"/>
  <c r="B2" i="9"/>
  <c r="P217" i="8"/>
  <c r="O217" i="8"/>
  <c r="N217" i="8"/>
  <c r="M217" i="8"/>
  <c r="L217" i="8"/>
  <c r="K217" i="8"/>
  <c r="J217" i="8"/>
  <c r="I217" i="8"/>
  <c r="H217" i="8"/>
  <c r="G217" i="8"/>
  <c r="F217" i="8"/>
  <c r="E217" i="8"/>
  <c r="P216" i="8"/>
  <c r="O216" i="8"/>
  <c r="N216" i="8"/>
  <c r="M216" i="8"/>
  <c r="L216" i="8"/>
  <c r="K216" i="8"/>
  <c r="J216" i="8"/>
  <c r="I216" i="8"/>
  <c r="H216" i="8"/>
  <c r="G216" i="8"/>
  <c r="F216" i="8"/>
  <c r="S215" i="8"/>
  <c r="P214" i="8"/>
  <c r="O214" i="8"/>
  <c r="N214" i="8"/>
  <c r="M214" i="8"/>
  <c r="L214" i="8"/>
  <c r="K214" i="8"/>
  <c r="J214" i="8"/>
  <c r="I214" i="8"/>
  <c r="H214" i="8"/>
  <c r="G214" i="8"/>
  <c r="F214" i="8"/>
  <c r="S213" i="8"/>
  <c r="P212" i="8"/>
  <c r="O212" i="8"/>
  <c r="N212" i="8"/>
  <c r="M212" i="8"/>
  <c r="L212" i="8"/>
  <c r="K212" i="8"/>
  <c r="J212" i="8"/>
  <c r="I212" i="8"/>
  <c r="H212" i="8"/>
  <c r="G212" i="8"/>
  <c r="F212" i="8"/>
  <c r="S211" i="8"/>
  <c r="P210" i="8"/>
  <c r="O210" i="8"/>
  <c r="N210" i="8"/>
  <c r="M210" i="8"/>
  <c r="L210" i="8"/>
  <c r="K210" i="8"/>
  <c r="J210" i="8"/>
  <c r="I210" i="8"/>
  <c r="H210" i="8"/>
  <c r="G210" i="8"/>
  <c r="F210" i="8"/>
  <c r="S209" i="8"/>
  <c r="P205" i="8"/>
  <c r="O205" i="8"/>
  <c r="N205" i="8"/>
  <c r="M205" i="8"/>
  <c r="L205" i="8"/>
  <c r="K205" i="8"/>
  <c r="J205" i="8"/>
  <c r="I205" i="8"/>
  <c r="H205" i="8"/>
  <c r="G205" i="8"/>
  <c r="F205" i="8"/>
  <c r="E205" i="8"/>
  <c r="S201" i="8"/>
  <c r="S199" i="8"/>
  <c r="S197" i="8"/>
  <c r="S195" i="8"/>
  <c r="S193" i="8"/>
  <c r="S191" i="8"/>
  <c r="S189" i="8"/>
  <c r="S187" i="8"/>
  <c r="S185" i="8"/>
  <c r="S183" i="8"/>
  <c r="S181" i="8"/>
  <c r="S179" i="8"/>
  <c r="P176" i="8"/>
  <c r="O176" i="8"/>
  <c r="N176" i="8"/>
  <c r="M176" i="8"/>
  <c r="L176" i="8"/>
  <c r="K176" i="8"/>
  <c r="J176" i="8"/>
  <c r="I176" i="8"/>
  <c r="H176" i="8"/>
  <c r="G176" i="8"/>
  <c r="F176" i="8"/>
  <c r="S175" i="8"/>
  <c r="P171" i="8"/>
  <c r="O171" i="8"/>
  <c r="N171" i="8"/>
  <c r="M171" i="8"/>
  <c r="L171" i="8"/>
  <c r="K171" i="8"/>
  <c r="J171" i="8"/>
  <c r="I171" i="8"/>
  <c r="H171" i="8"/>
  <c r="G171" i="8"/>
  <c r="F171" i="8"/>
  <c r="E171" i="8"/>
  <c r="D171" i="8"/>
  <c r="C171" i="8"/>
  <c r="B171" i="8"/>
  <c r="P169" i="8"/>
  <c r="O169" i="8"/>
  <c r="N169" i="8"/>
  <c r="M169" i="8"/>
  <c r="L169" i="8"/>
  <c r="K169" i="8"/>
  <c r="J169" i="8"/>
  <c r="I169" i="8"/>
  <c r="H169" i="8"/>
  <c r="G169" i="8"/>
  <c r="F169" i="8"/>
  <c r="E169" i="8"/>
  <c r="D169" i="8"/>
  <c r="C169" i="8"/>
  <c r="B169" i="8"/>
  <c r="P167" i="8"/>
  <c r="O167" i="8"/>
  <c r="N167" i="8"/>
  <c r="M167" i="8"/>
  <c r="L167" i="8"/>
  <c r="K167" i="8"/>
  <c r="J167" i="8"/>
  <c r="I167" i="8"/>
  <c r="H167" i="8"/>
  <c r="G167" i="8"/>
  <c r="F167" i="8"/>
  <c r="E167" i="8"/>
  <c r="D167" i="8"/>
  <c r="C167" i="8"/>
  <c r="B167" i="8"/>
  <c r="P163" i="8"/>
  <c r="O163" i="8"/>
  <c r="N163" i="8"/>
  <c r="M163" i="8"/>
  <c r="L163" i="8"/>
  <c r="K163" i="8"/>
  <c r="J163" i="8"/>
  <c r="I163" i="8"/>
  <c r="H163" i="8"/>
  <c r="G163" i="8"/>
  <c r="F163" i="8"/>
  <c r="E163" i="8"/>
  <c r="D163" i="8"/>
  <c r="C163" i="8"/>
  <c r="B163" i="8"/>
  <c r="P161" i="8"/>
  <c r="O161" i="8"/>
  <c r="N161" i="8"/>
  <c r="M161" i="8"/>
  <c r="L161" i="8"/>
  <c r="K161" i="8"/>
  <c r="J161" i="8"/>
  <c r="I161" i="8"/>
  <c r="H161" i="8"/>
  <c r="G161" i="8"/>
  <c r="F161" i="8"/>
  <c r="E161" i="8"/>
  <c r="D161" i="8"/>
  <c r="C161" i="8"/>
  <c r="B161" i="8"/>
  <c r="P157" i="8"/>
  <c r="O157" i="8"/>
  <c r="N157" i="8"/>
  <c r="M157" i="8"/>
  <c r="L157" i="8"/>
  <c r="K157" i="8"/>
  <c r="J157" i="8"/>
  <c r="I157" i="8"/>
  <c r="H157" i="8"/>
  <c r="G157" i="8"/>
  <c r="F157" i="8"/>
  <c r="E157" i="8"/>
  <c r="D157" i="8"/>
  <c r="C157" i="8"/>
  <c r="B157" i="8"/>
  <c r="P155" i="8"/>
  <c r="O155" i="8"/>
  <c r="N155" i="8"/>
  <c r="M155" i="8"/>
  <c r="L155" i="8"/>
  <c r="K155" i="8"/>
  <c r="J155" i="8"/>
  <c r="I155" i="8"/>
  <c r="H155" i="8"/>
  <c r="G155" i="8"/>
  <c r="F155" i="8"/>
  <c r="E155" i="8"/>
  <c r="D155" i="8"/>
  <c r="C155" i="8"/>
  <c r="B155" i="8"/>
  <c r="P151" i="8"/>
  <c r="O151" i="8"/>
  <c r="N151" i="8"/>
  <c r="M151" i="8"/>
  <c r="L151" i="8"/>
  <c r="K151" i="8"/>
  <c r="J151" i="8"/>
  <c r="I151" i="8"/>
  <c r="H151" i="8"/>
  <c r="G151" i="8"/>
  <c r="F151" i="8"/>
  <c r="E151" i="8"/>
  <c r="D151" i="8"/>
  <c r="C151" i="8"/>
  <c r="B151" i="8"/>
  <c r="P149" i="8"/>
  <c r="O149" i="8"/>
  <c r="N149" i="8"/>
  <c r="M149" i="8"/>
  <c r="L149" i="8"/>
  <c r="K149" i="8"/>
  <c r="J149" i="8"/>
  <c r="I149" i="8"/>
  <c r="H149" i="8"/>
  <c r="G149" i="8"/>
  <c r="F149" i="8"/>
  <c r="E149" i="8"/>
  <c r="D149" i="8"/>
  <c r="C149" i="8"/>
  <c r="B149" i="8"/>
  <c r="P142" i="8"/>
  <c r="O142" i="8"/>
  <c r="N142" i="8"/>
  <c r="M142" i="8"/>
  <c r="L142" i="8"/>
  <c r="K142" i="8"/>
  <c r="J142" i="8"/>
  <c r="I142" i="8"/>
  <c r="H142" i="8"/>
  <c r="G142" i="8"/>
  <c r="F142" i="8"/>
  <c r="E142" i="8"/>
  <c r="D142" i="8"/>
  <c r="C142" i="8"/>
  <c r="S141" i="8"/>
  <c r="R141" i="8"/>
  <c r="P140" i="8"/>
  <c r="O140" i="8"/>
  <c r="N140" i="8"/>
  <c r="M140" i="8"/>
  <c r="L140" i="8"/>
  <c r="K140" i="8"/>
  <c r="J140" i="8"/>
  <c r="I140" i="8"/>
  <c r="H140" i="8"/>
  <c r="G140" i="8"/>
  <c r="F140" i="8"/>
  <c r="E140" i="8"/>
  <c r="D140" i="8"/>
  <c r="C140" i="8"/>
  <c r="S139" i="8"/>
  <c r="R139" i="8"/>
  <c r="P138" i="8"/>
  <c r="O138" i="8"/>
  <c r="N138" i="8"/>
  <c r="M138" i="8"/>
  <c r="L138" i="8"/>
  <c r="K138" i="8"/>
  <c r="J138" i="8"/>
  <c r="I138" i="8"/>
  <c r="H138" i="8"/>
  <c r="G138" i="8"/>
  <c r="F138" i="8"/>
  <c r="E138" i="8"/>
  <c r="D138" i="8"/>
  <c r="C138" i="8"/>
  <c r="S137" i="8"/>
  <c r="R137" i="8"/>
  <c r="P136" i="8"/>
  <c r="O136" i="8"/>
  <c r="N136" i="8"/>
  <c r="M136" i="8"/>
  <c r="L136" i="8"/>
  <c r="K136" i="8"/>
  <c r="J136" i="8"/>
  <c r="I136" i="8"/>
  <c r="H136" i="8"/>
  <c r="G136" i="8"/>
  <c r="F136" i="8"/>
  <c r="E136" i="8"/>
  <c r="D136" i="8"/>
  <c r="C136" i="8"/>
  <c r="S135" i="8"/>
  <c r="R135" i="8"/>
  <c r="P134" i="8"/>
  <c r="O134" i="8"/>
  <c r="N134" i="8"/>
  <c r="M134" i="8"/>
  <c r="L134" i="8"/>
  <c r="K134" i="8"/>
  <c r="J134" i="8"/>
  <c r="I134" i="8"/>
  <c r="H134" i="8"/>
  <c r="G134" i="8"/>
  <c r="F134" i="8"/>
  <c r="E134" i="8"/>
  <c r="D134" i="8"/>
  <c r="C134" i="8"/>
  <c r="S133" i="8"/>
  <c r="R133" i="8"/>
  <c r="P129" i="8"/>
  <c r="O129" i="8"/>
  <c r="N129" i="8"/>
  <c r="M129" i="8"/>
  <c r="L129" i="8"/>
  <c r="K129" i="8"/>
  <c r="J129" i="8"/>
  <c r="I129" i="8"/>
  <c r="H129" i="8"/>
  <c r="G129" i="8"/>
  <c r="F129" i="8"/>
  <c r="E129" i="8"/>
  <c r="D129" i="8"/>
  <c r="C129" i="8"/>
  <c r="B129" i="8"/>
  <c r="P128" i="8"/>
  <c r="O128" i="8"/>
  <c r="N128" i="8"/>
  <c r="M128" i="8"/>
  <c r="L128" i="8"/>
  <c r="K128" i="8"/>
  <c r="J128" i="8"/>
  <c r="I128" i="8"/>
  <c r="H128" i="8"/>
  <c r="G128" i="8"/>
  <c r="F128" i="8"/>
  <c r="E128" i="8"/>
  <c r="D128" i="8"/>
  <c r="C128" i="8"/>
  <c r="S127" i="8"/>
  <c r="R127" i="8"/>
  <c r="P126" i="8"/>
  <c r="O126" i="8"/>
  <c r="N126" i="8"/>
  <c r="M126" i="8"/>
  <c r="L126" i="8"/>
  <c r="K126" i="8"/>
  <c r="J126" i="8"/>
  <c r="I126" i="8"/>
  <c r="H126" i="8"/>
  <c r="G126" i="8"/>
  <c r="F126" i="8"/>
  <c r="E126" i="8"/>
  <c r="D126" i="8"/>
  <c r="C126" i="8"/>
  <c r="S125" i="8"/>
  <c r="R125" i="8"/>
  <c r="P111" i="8"/>
  <c r="O111" i="8"/>
  <c r="N111" i="8"/>
  <c r="M111" i="8"/>
  <c r="L111" i="8"/>
  <c r="K111" i="8"/>
  <c r="J111" i="8"/>
  <c r="I111" i="8"/>
  <c r="H111" i="8"/>
  <c r="G111" i="8"/>
  <c r="F111" i="8"/>
  <c r="E111" i="8"/>
  <c r="D111" i="8"/>
  <c r="C111" i="8"/>
  <c r="B111" i="8"/>
  <c r="P110" i="8"/>
  <c r="O110" i="8"/>
  <c r="N110" i="8"/>
  <c r="M110" i="8"/>
  <c r="L110" i="8"/>
  <c r="K110" i="8"/>
  <c r="J110" i="8"/>
  <c r="I110" i="8"/>
  <c r="H110" i="8"/>
  <c r="G110" i="8"/>
  <c r="F110" i="8"/>
  <c r="E110" i="8"/>
  <c r="D110" i="8"/>
  <c r="C110" i="8"/>
  <c r="S109" i="8"/>
  <c r="R109" i="8"/>
  <c r="P108" i="8"/>
  <c r="O108" i="8"/>
  <c r="N108" i="8"/>
  <c r="M108" i="8"/>
  <c r="L108" i="8"/>
  <c r="K108" i="8"/>
  <c r="J108" i="8"/>
  <c r="I108" i="8"/>
  <c r="H108" i="8"/>
  <c r="G108" i="8"/>
  <c r="F108" i="8"/>
  <c r="E108" i="8"/>
  <c r="D108" i="8"/>
  <c r="C108" i="8"/>
  <c r="S107" i="8"/>
  <c r="R107" i="8"/>
  <c r="P106" i="8"/>
  <c r="O106" i="8"/>
  <c r="N106" i="8"/>
  <c r="M106" i="8"/>
  <c r="L106" i="8"/>
  <c r="K106" i="8"/>
  <c r="J106" i="8"/>
  <c r="I106" i="8"/>
  <c r="H106" i="8"/>
  <c r="G106" i="8"/>
  <c r="F106" i="8"/>
  <c r="E106" i="8"/>
  <c r="D106" i="8"/>
  <c r="C106" i="8"/>
  <c r="S105" i="8"/>
  <c r="R105" i="8"/>
  <c r="P104" i="8"/>
  <c r="O104" i="8"/>
  <c r="N104" i="8"/>
  <c r="M104" i="8"/>
  <c r="L104" i="8"/>
  <c r="K104" i="8"/>
  <c r="J104" i="8"/>
  <c r="I104" i="8"/>
  <c r="H104" i="8"/>
  <c r="G104" i="8"/>
  <c r="F104" i="8"/>
  <c r="E104" i="8"/>
  <c r="D104" i="8"/>
  <c r="C104" i="8"/>
  <c r="S103" i="8"/>
  <c r="R103" i="8"/>
  <c r="P99" i="8"/>
  <c r="O99" i="8"/>
  <c r="N99" i="8"/>
  <c r="M99" i="8"/>
  <c r="L99" i="8"/>
  <c r="K99" i="8"/>
  <c r="J99" i="8"/>
  <c r="I99" i="8"/>
  <c r="H99" i="8"/>
  <c r="G99" i="8"/>
  <c r="F99" i="8"/>
  <c r="E99" i="8"/>
  <c r="D99" i="8"/>
  <c r="C99" i="8"/>
  <c r="B99" i="8"/>
  <c r="P98" i="8"/>
  <c r="O98" i="8"/>
  <c r="N98" i="8"/>
  <c r="M98" i="8"/>
  <c r="L98" i="8"/>
  <c r="K98" i="8"/>
  <c r="J98" i="8"/>
  <c r="I98" i="8"/>
  <c r="H98" i="8"/>
  <c r="G98" i="8"/>
  <c r="F98" i="8"/>
  <c r="E98" i="8"/>
  <c r="D98" i="8"/>
  <c r="C98" i="8"/>
  <c r="S97" i="8"/>
  <c r="R97" i="8"/>
  <c r="P96" i="8"/>
  <c r="O96" i="8"/>
  <c r="N96" i="8"/>
  <c r="M96" i="8"/>
  <c r="L96" i="8"/>
  <c r="K96" i="8"/>
  <c r="J96" i="8"/>
  <c r="I96" i="8"/>
  <c r="H96" i="8"/>
  <c r="G96" i="8"/>
  <c r="F96" i="8"/>
  <c r="E96" i="8"/>
  <c r="D96" i="8"/>
  <c r="C96" i="8"/>
  <c r="S95" i="8"/>
  <c r="R95" i="8"/>
  <c r="P91" i="8"/>
  <c r="O91" i="8"/>
  <c r="N91" i="8"/>
  <c r="M91" i="8"/>
  <c r="L91" i="8"/>
  <c r="K91" i="8"/>
  <c r="J91" i="8"/>
  <c r="I91" i="8"/>
  <c r="H91" i="8"/>
  <c r="G91" i="8"/>
  <c r="F91" i="8"/>
  <c r="E91" i="8"/>
  <c r="D91" i="8"/>
  <c r="C91" i="8"/>
  <c r="B91" i="8"/>
  <c r="P90" i="8"/>
  <c r="O90" i="8"/>
  <c r="N90" i="8"/>
  <c r="M90" i="8"/>
  <c r="L90" i="8"/>
  <c r="K90" i="8"/>
  <c r="J90" i="8"/>
  <c r="I90" i="8"/>
  <c r="H90" i="8"/>
  <c r="G90" i="8"/>
  <c r="F90" i="8"/>
  <c r="E90" i="8"/>
  <c r="D90" i="8"/>
  <c r="C90" i="8"/>
  <c r="S89" i="8"/>
  <c r="R89" i="8"/>
  <c r="P88" i="8"/>
  <c r="O88" i="8"/>
  <c r="N88" i="8"/>
  <c r="M88" i="8"/>
  <c r="L88" i="8"/>
  <c r="K88" i="8"/>
  <c r="J88" i="8"/>
  <c r="I88" i="8"/>
  <c r="H88" i="8"/>
  <c r="G88" i="8"/>
  <c r="F88" i="8"/>
  <c r="E88" i="8"/>
  <c r="D88" i="8"/>
  <c r="C88" i="8"/>
  <c r="S87" i="8"/>
  <c r="R87" i="8"/>
  <c r="P83" i="8"/>
  <c r="O83" i="8"/>
  <c r="N83" i="8"/>
  <c r="M83" i="8"/>
  <c r="L83" i="8"/>
  <c r="K83" i="8"/>
  <c r="J83" i="8"/>
  <c r="I83" i="8"/>
  <c r="H83" i="8"/>
  <c r="G83" i="8"/>
  <c r="F83" i="8"/>
  <c r="E83" i="8"/>
  <c r="D83" i="8"/>
  <c r="C83" i="8"/>
  <c r="B83" i="8"/>
  <c r="P82" i="8"/>
  <c r="O82" i="8"/>
  <c r="N82" i="8"/>
  <c r="M82" i="8"/>
  <c r="L82" i="8"/>
  <c r="K82" i="8"/>
  <c r="J82" i="8"/>
  <c r="I82" i="8"/>
  <c r="H82" i="8"/>
  <c r="G82" i="8"/>
  <c r="F82" i="8"/>
  <c r="E82" i="8"/>
  <c r="D82" i="8"/>
  <c r="C82" i="8"/>
  <c r="S81" i="8"/>
  <c r="R81" i="8"/>
  <c r="P80" i="8"/>
  <c r="O80" i="8"/>
  <c r="N80" i="8"/>
  <c r="M80" i="8"/>
  <c r="L80" i="8"/>
  <c r="K80" i="8"/>
  <c r="J80" i="8"/>
  <c r="I80" i="8"/>
  <c r="H80" i="8"/>
  <c r="G80" i="8"/>
  <c r="F80" i="8"/>
  <c r="E80" i="8"/>
  <c r="D80" i="8"/>
  <c r="C80" i="8"/>
  <c r="S79" i="8"/>
  <c r="R79" i="8"/>
  <c r="P70" i="8"/>
  <c r="O70" i="8"/>
  <c r="N70" i="8"/>
  <c r="M70" i="8"/>
  <c r="L70" i="8"/>
  <c r="K70" i="8"/>
  <c r="J70" i="8"/>
  <c r="I70" i="8"/>
  <c r="H70" i="8"/>
  <c r="G70" i="8"/>
  <c r="F70" i="8"/>
  <c r="E70" i="8"/>
  <c r="D70" i="8"/>
  <c r="C70" i="8"/>
  <c r="S69" i="8"/>
  <c r="R69" i="8"/>
  <c r="P55" i="8"/>
  <c r="O55" i="8"/>
  <c r="N55" i="8"/>
  <c r="M55" i="8"/>
  <c r="L55" i="8"/>
  <c r="K55" i="8"/>
  <c r="J55" i="8"/>
  <c r="I55" i="8"/>
  <c r="H55" i="8"/>
  <c r="G55" i="8"/>
  <c r="F55" i="8"/>
  <c r="E55" i="8"/>
  <c r="D55" i="8"/>
  <c r="C55" i="8"/>
  <c r="B55" i="8"/>
  <c r="P54" i="8"/>
  <c r="O54" i="8"/>
  <c r="N54" i="8"/>
  <c r="M54" i="8"/>
  <c r="L54" i="8"/>
  <c r="K54" i="8"/>
  <c r="J54" i="8"/>
  <c r="I54" i="8"/>
  <c r="H54" i="8"/>
  <c r="G54" i="8"/>
  <c r="F54" i="8"/>
  <c r="E54" i="8"/>
  <c r="D54" i="8"/>
  <c r="C54" i="8"/>
  <c r="S53" i="8"/>
  <c r="R53" i="8"/>
  <c r="P52" i="8"/>
  <c r="O52" i="8"/>
  <c r="N52" i="8"/>
  <c r="M52" i="8"/>
  <c r="L52" i="8"/>
  <c r="K52" i="8"/>
  <c r="J52" i="8"/>
  <c r="I52" i="8"/>
  <c r="H52" i="8"/>
  <c r="G52" i="8"/>
  <c r="F52" i="8"/>
  <c r="E52" i="8"/>
  <c r="D52" i="8"/>
  <c r="C52" i="8"/>
  <c r="S51" i="8"/>
  <c r="R51" i="8"/>
  <c r="P50" i="8"/>
  <c r="O50" i="8"/>
  <c r="N50" i="8"/>
  <c r="M50" i="8"/>
  <c r="L50" i="8"/>
  <c r="K50" i="8"/>
  <c r="J50" i="8"/>
  <c r="I50" i="8"/>
  <c r="H50" i="8"/>
  <c r="G50" i="8"/>
  <c r="F50" i="8"/>
  <c r="E50" i="8"/>
  <c r="D50" i="8"/>
  <c r="C50" i="8"/>
  <c r="S49" i="8"/>
  <c r="R49" i="8"/>
  <c r="P48" i="8"/>
  <c r="O48" i="8"/>
  <c r="N48" i="8"/>
  <c r="M48" i="8"/>
  <c r="L48" i="8"/>
  <c r="K48" i="8"/>
  <c r="J48" i="8"/>
  <c r="I48" i="8"/>
  <c r="H48" i="8"/>
  <c r="G48" i="8"/>
  <c r="F48" i="8"/>
  <c r="E48" i="8"/>
  <c r="D48" i="8"/>
  <c r="C48" i="8"/>
  <c r="S47" i="8"/>
  <c r="R47" i="8"/>
  <c r="P38" i="8"/>
  <c r="O38" i="8"/>
  <c r="O119" i="8"/>
  <c r="N38" i="8"/>
  <c r="N119" i="8"/>
  <c r="M38" i="8"/>
  <c r="M63" i="8"/>
  <c r="L38" i="8"/>
  <c r="L63" i="8"/>
  <c r="K38" i="8"/>
  <c r="K63" i="8"/>
  <c r="J38" i="8"/>
  <c r="I38" i="8"/>
  <c r="H38" i="8"/>
  <c r="H119" i="8"/>
  <c r="G38" i="8"/>
  <c r="G119" i="8"/>
  <c r="F38" i="8"/>
  <c r="F119" i="8"/>
  <c r="E38" i="8"/>
  <c r="E63" i="8"/>
  <c r="D38" i="8"/>
  <c r="D63" i="8"/>
  <c r="C38" i="8"/>
  <c r="C119" i="8"/>
  <c r="B38" i="8"/>
  <c r="P36" i="8"/>
  <c r="O36" i="8"/>
  <c r="O117" i="8"/>
  <c r="N36" i="8"/>
  <c r="N61" i="8"/>
  <c r="M36" i="8"/>
  <c r="M61" i="8"/>
  <c r="L36" i="8"/>
  <c r="L61" i="8"/>
  <c r="K36" i="8"/>
  <c r="J36" i="8"/>
  <c r="J117" i="8"/>
  <c r="I36" i="8"/>
  <c r="I61" i="8"/>
  <c r="H36" i="8"/>
  <c r="G36" i="8"/>
  <c r="G117" i="8"/>
  <c r="F36" i="8"/>
  <c r="F117" i="8"/>
  <c r="E36" i="8"/>
  <c r="E117" i="8"/>
  <c r="D36" i="8"/>
  <c r="D61" i="8"/>
  <c r="C36" i="8"/>
  <c r="B36" i="8"/>
  <c r="B117" i="8"/>
  <c r="P34" i="8"/>
  <c r="O34" i="8"/>
  <c r="O59" i="8"/>
  <c r="N34" i="8"/>
  <c r="M34" i="8"/>
  <c r="M59" i="8"/>
  <c r="L34" i="8"/>
  <c r="L115" i="8"/>
  <c r="K34" i="8"/>
  <c r="J34" i="8"/>
  <c r="I34" i="8"/>
  <c r="I115" i="8"/>
  <c r="H34" i="8"/>
  <c r="G34" i="8"/>
  <c r="G59" i="8"/>
  <c r="F34" i="8"/>
  <c r="E34" i="8"/>
  <c r="D34" i="8"/>
  <c r="D115" i="8"/>
  <c r="C34" i="8"/>
  <c r="B34" i="8"/>
  <c r="B59" i="8"/>
  <c r="P24" i="8"/>
  <c r="O24" i="8"/>
  <c r="N24" i="8"/>
  <c r="M24" i="8"/>
  <c r="L24" i="8"/>
  <c r="K24" i="8"/>
  <c r="J24" i="8"/>
  <c r="I24" i="8"/>
  <c r="H24" i="8"/>
  <c r="G24" i="8"/>
  <c r="F24" i="8"/>
  <c r="E24" i="8"/>
  <c r="D24" i="8"/>
  <c r="C24" i="8"/>
  <c r="B24" i="8"/>
  <c r="S22" i="8"/>
  <c r="R22" i="8"/>
  <c r="S20" i="8"/>
  <c r="R20" i="8"/>
  <c r="S18" i="8"/>
  <c r="R18" i="8"/>
  <c r="S14" i="8"/>
  <c r="R14" i="8"/>
  <c r="P12" i="8"/>
  <c r="O12" i="8"/>
  <c r="N12" i="8"/>
  <c r="M12" i="8"/>
  <c r="L12" i="8"/>
  <c r="K12" i="8"/>
  <c r="J12" i="8"/>
  <c r="I12" i="8"/>
  <c r="H12" i="8"/>
  <c r="G12" i="8"/>
  <c r="F12" i="8"/>
  <c r="E12" i="8"/>
  <c r="D12" i="8"/>
  <c r="C12" i="8"/>
  <c r="S11" i="8"/>
  <c r="R11" i="8"/>
  <c r="P9" i="8"/>
  <c r="O9" i="8"/>
  <c r="N9" i="8"/>
  <c r="M9" i="8"/>
  <c r="L9" i="8"/>
  <c r="K9" i="8"/>
  <c r="J9" i="8"/>
  <c r="I9" i="8"/>
  <c r="H9" i="8"/>
  <c r="G9" i="8"/>
  <c r="F9" i="8"/>
  <c r="E9" i="8"/>
  <c r="D9" i="8"/>
  <c r="C9" i="8"/>
  <c r="S8" i="8"/>
  <c r="R8" i="8"/>
  <c r="P7" i="8"/>
  <c r="O7" i="8"/>
  <c r="N7" i="8"/>
  <c r="M7" i="8"/>
  <c r="L7" i="8"/>
  <c r="K7" i="8"/>
  <c r="J7" i="8"/>
  <c r="I7" i="8"/>
  <c r="H7" i="8"/>
  <c r="G7" i="8"/>
  <c r="F7" i="8"/>
  <c r="E7" i="8"/>
  <c r="D7" i="8"/>
  <c r="C7" i="8"/>
  <c r="S6" i="8"/>
  <c r="R6" i="8"/>
  <c r="P5" i="8"/>
  <c r="O5" i="8"/>
  <c r="N5" i="8"/>
  <c r="M5" i="8"/>
  <c r="L5" i="8"/>
  <c r="K5" i="8"/>
  <c r="J5" i="8"/>
  <c r="I5" i="8"/>
  <c r="H5" i="8"/>
  <c r="G5" i="8"/>
  <c r="F5" i="8"/>
  <c r="E5" i="8"/>
  <c r="D5" i="8"/>
  <c r="C5" i="8"/>
  <c r="S4" i="8"/>
  <c r="R4" i="8"/>
  <c r="P2" i="8"/>
  <c r="O2" i="8"/>
  <c r="N2" i="8"/>
  <c r="M2" i="8"/>
  <c r="L2" i="8"/>
  <c r="K2" i="8"/>
  <c r="J2" i="8"/>
  <c r="I2" i="8"/>
  <c r="H2" i="8"/>
  <c r="G2" i="8"/>
  <c r="F2" i="8"/>
  <c r="E2" i="8"/>
  <c r="D2" i="8"/>
  <c r="C2" i="8"/>
  <c r="B2" i="8"/>
  <c r="P217" i="6"/>
  <c r="O217" i="6"/>
  <c r="N217" i="6"/>
  <c r="M217" i="6"/>
  <c r="L217" i="6"/>
  <c r="K217" i="6"/>
  <c r="J217" i="6"/>
  <c r="I217" i="6"/>
  <c r="H217" i="6"/>
  <c r="G217" i="6"/>
  <c r="F217" i="6"/>
  <c r="E217" i="6"/>
  <c r="P216" i="6"/>
  <c r="O216" i="6"/>
  <c r="N216" i="6"/>
  <c r="M216" i="6"/>
  <c r="L216" i="6"/>
  <c r="K216" i="6"/>
  <c r="J216" i="6"/>
  <c r="I216" i="6"/>
  <c r="H216" i="6"/>
  <c r="G216" i="6"/>
  <c r="F216" i="6"/>
  <c r="S215" i="6"/>
  <c r="P214" i="6"/>
  <c r="O214" i="6"/>
  <c r="N214" i="6"/>
  <c r="M214" i="6"/>
  <c r="L214" i="6"/>
  <c r="K214" i="6"/>
  <c r="J214" i="6"/>
  <c r="I214" i="6"/>
  <c r="H214" i="6"/>
  <c r="G214" i="6"/>
  <c r="F214" i="6"/>
  <c r="S213" i="6"/>
  <c r="P212" i="6"/>
  <c r="O212" i="6"/>
  <c r="N212" i="6"/>
  <c r="M212" i="6"/>
  <c r="L212" i="6"/>
  <c r="K212" i="6"/>
  <c r="J212" i="6"/>
  <c r="I212" i="6"/>
  <c r="H212" i="6"/>
  <c r="G212" i="6"/>
  <c r="F212" i="6"/>
  <c r="S211" i="6"/>
  <c r="P210" i="6"/>
  <c r="O210" i="6"/>
  <c r="N210" i="6"/>
  <c r="M210" i="6"/>
  <c r="L210" i="6"/>
  <c r="K210" i="6"/>
  <c r="J210" i="6"/>
  <c r="I210" i="6"/>
  <c r="H210" i="6"/>
  <c r="G210" i="6"/>
  <c r="F210" i="6"/>
  <c r="S209" i="6"/>
  <c r="P205" i="6"/>
  <c r="O205" i="6"/>
  <c r="N205" i="6"/>
  <c r="M205" i="6"/>
  <c r="L205" i="6"/>
  <c r="K205" i="6"/>
  <c r="J205" i="6"/>
  <c r="I205" i="6"/>
  <c r="H205" i="6"/>
  <c r="G205" i="6"/>
  <c r="F205" i="6"/>
  <c r="E205" i="6"/>
  <c r="P204" i="6"/>
  <c r="O204" i="6"/>
  <c r="N204" i="6"/>
  <c r="M204" i="6"/>
  <c r="L204" i="6"/>
  <c r="K204" i="6"/>
  <c r="J204" i="6"/>
  <c r="I204" i="6"/>
  <c r="H204" i="6"/>
  <c r="G204" i="6"/>
  <c r="F204" i="6"/>
  <c r="P202" i="6"/>
  <c r="O202" i="6"/>
  <c r="N202" i="6"/>
  <c r="M202" i="6"/>
  <c r="L202" i="6"/>
  <c r="K202" i="6"/>
  <c r="J202" i="6"/>
  <c r="I202" i="6"/>
  <c r="H202" i="6"/>
  <c r="G202" i="6"/>
  <c r="F202" i="6"/>
  <c r="S201" i="6"/>
  <c r="P200" i="6"/>
  <c r="O200" i="6"/>
  <c r="N200" i="6"/>
  <c r="M200" i="6"/>
  <c r="L200" i="6"/>
  <c r="K200" i="6"/>
  <c r="J200" i="6"/>
  <c r="I200" i="6"/>
  <c r="H200" i="6"/>
  <c r="G200" i="6"/>
  <c r="F200" i="6"/>
  <c r="S199" i="6"/>
  <c r="P198" i="6"/>
  <c r="O198" i="6"/>
  <c r="N198" i="6"/>
  <c r="M198" i="6"/>
  <c r="L198" i="6"/>
  <c r="K198" i="6"/>
  <c r="J198" i="6"/>
  <c r="I198" i="6"/>
  <c r="H198" i="6"/>
  <c r="G198" i="6"/>
  <c r="F198" i="6"/>
  <c r="S197" i="6"/>
  <c r="P196" i="6"/>
  <c r="O196" i="6"/>
  <c r="N196" i="6"/>
  <c r="M196" i="6"/>
  <c r="L196" i="6"/>
  <c r="K196" i="6"/>
  <c r="J196" i="6"/>
  <c r="I196" i="6"/>
  <c r="H196" i="6"/>
  <c r="G196" i="6"/>
  <c r="F196" i="6"/>
  <c r="S195" i="6"/>
  <c r="P194" i="6"/>
  <c r="O194" i="6"/>
  <c r="N194" i="6"/>
  <c r="M194" i="6"/>
  <c r="L194" i="6"/>
  <c r="K194" i="6"/>
  <c r="J194" i="6"/>
  <c r="I194" i="6"/>
  <c r="H194" i="6"/>
  <c r="G194" i="6"/>
  <c r="F194" i="6"/>
  <c r="S193" i="6"/>
  <c r="P192" i="6"/>
  <c r="O192" i="6"/>
  <c r="N192" i="6"/>
  <c r="M192" i="6"/>
  <c r="L192" i="6"/>
  <c r="K192" i="6"/>
  <c r="J192" i="6"/>
  <c r="I192" i="6"/>
  <c r="H192" i="6"/>
  <c r="G192" i="6"/>
  <c r="F192" i="6"/>
  <c r="S191" i="6"/>
  <c r="P190" i="6"/>
  <c r="O190" i="6"/>
  <c r="N190" i="6"/>
  <c r="M190" i="6"/>
  <c r="L190" i="6"/>
  <c r="K190" i="6"/>
  <c r="J190" i="6"/>
  <c r="I190" i="6"/>
  <c r="H190" i="6"/>
  <c r="G190" i="6"/>
  <c r="F190" i="6"/>
  <c r="S189" i="6"/>
  <c r="P188" i="6"/>
  <c r="O188" i="6"/>
  <c r="N188" i="6"/>
  <c r="M188" i="6"/>
  <c r="L188" i="6"/>
  <c r="K188" i="6"/>
  <c r="J188" i="6"/>
  <c r="I188" i="6"/>
  <c r="H188" i="6"/>
  <c r="G188" i="6"/>
  <c r="F188" i="6"/>
  <c r="S187" i="6"/>
  <c r="P186" i="6"/>
  <c r="O186" i="6"/>
  <c r="N186" i="6"/>
  <c r="M186" i="6"/>
  <c r="L186" i="6"/>
  <c r="K186" i="6"/>
  <c r="J186" i="6"/>
  <c r="I186" i="6"/>
  <c r="H186" i="6"/>
  <c r="G186" i="6"/>
  <c r="F186" i="6"/>
  <c r="S185" i="6"/>
  <c r="P184" i="6"/>
  <c r="O184" i="6"/>
  <c r="N184" i="6"/>
  <c r="M184" i="6"/>
  <c r="L184" i="6"/>
  <c r="K184" i="6"/>
  <c r="J184" i="6"/>
  <c r="I184" i="6"/>
  <c r="H184" i="6"/>
  <c r="G184" i="6"/>
  <c r="F184" i="6"/>
  <c r="S183" i="6"/>
  <c r="P182" i="6"/>
  <c r="O182" i="6"/>
  <c r="N182" i="6"/>
  <c r="M182" i="6"/>
  <c r="L182" i="6"/>
  <c r="K182" i="6"/>
  <c r="J182" i="6"/>
  <c r="I182" i="6"/>
  <c r="H182" i="6"/>
  <c r="G182" i="6"/>
  <c r="F182" i="6"/>
  <c r="S181" i="6"/>
  <c r="P180" i="6"/>
  <c r="O180" i="6"/>
  <c r="N180" i="6"/>
  <c r="M180" i="6"/>
  <c r="L180" i="6"/>
  <c r="K180" i="6"/>
  <c r="J180" i="6"/>
  <c r="I180" i="6"/>
  <c r="H180" i="6"/>
  <c r="G180" i="6"/>
  <c r="F180" i="6"/>
  <c r="S179" i="6"/>
  <c r="P176" i="6"/>
  <c r="O176" i="6"/>
  <c r="N176" i="6"/>
  <c r="M176" i="6"/>
  <c r="L176" i="6"/>
  <c r="K176" i="6"/>
  <c r="J176" i="6"/>
  <c r="I176" i="6"/>
  <c r="H176" i="6"/>
  <c r="G176" i="6"/>
  <c r="F176" i="6"/>
  <c r="S175" i="6"/>
  <c r="P171" i="6"/>
  <c r="O171" i="6"/>
  <c r="N171" i="6"/>
  <c r="M171" i="6"/>
  <c r="L171" i="6"/>
  <c r="K171" i="6"/>
  <c r="J171" i="6"/>
  <c r="I171" i="6"/>
  <c r="H171" i="6"/>
  <c r="G171" i="6"/>
  <c r="F171" i="6"/>
  <c r="E171" i="6"/>
  <c r="D171" i="6"/>
  <c r="C171" i="6"/>
  <c r="P169" i="6"/>
  <c r="O169" i="6"/>
  <c r="N169" i="6"/>
  <c r="M169" i="6"/>
  <c r="L169" i="6"/>
  <c r="K169" i="6"/>
  <c r="J169" i="6"/>
  <c r="I169" i="6"/>
  <c r="H169" i="6"/>
  <c r="G169" i="6"/>
  <c r="F169" i="6"/>
  <c r="E169" i="6"/>
  <c r="D169" i="6"/>
  <c r="C169" i="6"/>
  <c r="B169" i="6"/>
  <c r="P167" i="6"/>
  <c r="O167" i="6"/>
  <c r="N167" i="6"/>
  <c r="M167" i="6"/>
  <c r="L167" i="6"/>
  <c r="K167" i="6"/>
  <c r="J167" i="6"/>
  <c r="I167" i="6"/>
  <c r="H167" i="6"/>
  <c r="G167" i="6"/>
  <c r="F167" i="6"/>
  <c r="E167" i="6"/>
  <c r="D167" i="6"/>
  <c r="C167" i="6"/>
  <c r="B167" i="6"/>
  <c r="P163" i="6"/>
  <c r="O163" i="6"/>
  <c r="N163" i="6"/>
  <c r="M163" i="6"/>
  <c r="L163" i="6"/>
  <c r="K163" i="6"/>
  <c r="J163" i="6"/>
  <c r="I163" i="6"/>
  <c r="H163" i="6"/>
  <c r="G163" i="6"/>
  <c r="F163" i="6"/>
  <c r="E163" i="6"/>
  <c r="D163" i="6"/>
  <c r="C163" i="6"/>
  <c r="B163" i="6"/>
  <c r="P161" i="6"/>
  <c r="O161" i="6"/>
  <c r="N161" i="6"/>
  <c r="M161" i="6"/>
  <c r="L161" i="6"/>
  <c r="K161" i="6"/>
  <c r="J161" i="6"/>
  <c r="I161" i="6"/>
  <c r="H161" i="6"/>
  <c r="G161" i="6"/>
  <c r="F161" i="6"/>
  <c r="E161" i="6"/>
  <c r="D161" i="6"/>
  <c r="C161" i="6"/>
  <c r="B161" i="6"/>
  <c r="P157" i="6"/>
  <c r="O157" i="6"/>
  <c r="N157" i="6"/>
  <c r="M157" i="6"/>
  <c r="L157" i="6"/>
  <c r="K157" i="6"/>
  <c r="J157" i="6"/>
  <c r="I157" i="6"/>
  <c r="H157" i="6"/>
  <c r="G157" i="6"/>
  <c r="F157" i="6"/>
  <c r="E157" i="6"/>
  <c r="D157" i="6"/>
  <c r="C157" i="6"/>
  <c r="B157" i="6"/>
  <c r="P155" i="6"/>
  <c r="O155" i="6"/>
  <c r="N155" i="6"/>
  <c r="M155" i="6"/>
  <c r="L155" i="6"/>
  <c r="K155" i="6"/>
  <c r="J155" i="6"/>
  <c r="I155" i="6"/>
  <c r="H155" i="6"/>
  <c r="G155" i="6"/>
  <c r="F155" i="6"/>
  <c r="E155" i="6"/>
  <c r="D155" i="6"/>
  <c r="C155" i="6"/>
  <c r="B155" i="6"/>
  <c r="P151" i="6"/>
  <c r="O151" i="6"/>
  <c r="N151" i="6"/>
  <c r="M151" i="6"/>
  <c r="L151" i="6"/>
  <c r="K151" i="6"/>
  <c r="J151" i="6"/>
  <c r="I151" i="6"/>
  <c r="H151" i="6"/>
  <c r="G151" i="6"/>
  <c r="F151" i="6"/>
  <c r="E151" i="6"/>
  <c r="D151" i="6"/>
  <c r="C151" i="6"/>
  <c r="B151" i="6"/>
  <c r="P149" i="6"/>
  <c r="O149" i="6"/>
  <c r="N149" i="6"/>
  <c r="M149" i="6"/>
  <c r="L149" i="6"/>
  <c r="K149" i="6"/>
  <c r="J149" i="6"/>
  <c r="I149" i="6"/>
  <c r="H149" i="6"/>
  <c r="G149" i="6"/>
  <c r="F149" i="6"/>
  <c r="E149" i="6"/>
  <c r="D149" i="6"/>
  <c r="C149" i="6"/>
  <c r="B149" i="6"/>
  <c r="P142" i="6"/>
  <c r="O142" i="6"/>
  <c r="N142" i="6"/>
  <c r="M142" i="6"/>
  <c r="L142" i="6"/>
  <c r="K142" i="6"/>
  <c r="J142" i="6"/>
  <c r="I142" i="6"/>
  <c r="H142" i="6"/>
  <c r="G142" i="6"/>
  <c r="F142" i="6"/>
  <c r="E142" i="6"/>
  <c r="D142" i="6"/>
  <c r="C142" i="6"/>
  <c r="S141" i="6"/>
  <c r="R141" i="6"/>
  <c r="P140" i="6"/>
  <c r="O140" i="6"/>
  <c r="N140" i="6"/>
  <c r="M140" i="6"/>
  <c r="L140" i="6"/>
  <c r="K140" i="6"/>
  <c r="J140" i="6"/>
  <c r="I140" i="6"/>
  <c r="H140" i="6"/>
  <c r="G140" i="6"/>
  <c r="F140" i="6"/>
  <c r="E140" i="6"/>
  <c r="D140" i="6"/>
  <c r="C140" i="6"/>
  <c r="S139" i="6"/>
  <c r="R139" i="6"/>
  <c r="P138" i="6"/>
  <c r="O138" i="6"/>
  <c r="N138" i="6"/>
  <c r="M138" i="6"/>
  <c r="L138" i="6"/>
  <c r="K138" i="6"/>
  <c r="J138" i="6"/>
  <c r="I138" i="6"/>
  <c r="H138" i="6"/>
  <c r="G138" i="6"/>
  <c r="F138" i="6"/>
  <c r="E138" i="6"/>
  <c r="D138" i="6"/>
  <c r="C138" i="6"/>
  <c r="S137" i="6"/>
  <c r="R137" i="6"/>
  <c r="P136" i="6"/>
  <c r="O136" i="6"/>
  <c r="N136" i="6"/>
  <c r="M136" i="6"/>
  <c r="L136" i="6"/>
  <c r="K136" i="6"/>
  <c r="J136" i="6"/>
  <c r="I136" i="6"/>
  <c r="H136" i="6"/>
  <c r="G136" i="6"/>
  <c r="F136" i="6"/>
  <c r="E136" i="6"/>
  <c r="D136" i="6"/>
  <c r="C136" i="6"/>
  <c r="S135" i="6"/>
  <c r="R135" i="6"/>
  <c r="P134" i="6"/>
  <c r="O134" i="6"/>
  <c r="N134" i="6"/>
  <c r="M134" i="6"/>
  <c r="L134" i="6"/>
  <c r="K134" i="6"/>
  <c r="J134" i="6"/>
  <c r="I134" i="6"/>
  <c r="H134" i="6"/>
  <c r="G134" i="6"/>
  <c r="F134" i="6"/>
  <c r="E134" i="6"/>
  <c r="D134" i="6"/>
  <c r="C134" i="6"/>
  <c r="S133" i="6"/>
  <c r="R133" i="6"/>
  <c r="P129" i="6"/>
  <c r="O129" i="6"/>
  <c r="N129" i="6"/>
  <c r="M129" i="6"/>
  <c r="L129" i="6"/>
  <c r="K129" i="6"/>
  <c r="J129" i="6"/>
  <c r="I129" i="6"/>
  <c r="H129" i="6"/>
  <c r="G129" i="6"/>
  <c r="F129" i="6"/>
  <c r="E129" i="6"/>
  <c r="D129" i="6"/>
  <c r="C129" i="6"/>
  <c r="B129" i="6"/>
  <c r="P128" i="6"/>
  <c r="O128" i="6"/>
  <c r="N128" i="6"/>
  <c r="M128" i="6"/>
  <c r="L128" i="6"/>
  <c r="K128" i="6"/>
  <c r="J128" i="6"/>
  <c r="I128" i="6"/>
  <c r="H128" i="6"/>
  <c r="G128" i="6"/>
  <c r="F128" i="6"/>
  <c r="E128" i="6"/>
  <c r="D128" i="6"/>
  <c r="C128" i="6"/>
  <c r="S127" i="6"/>
  <c r="R127" i="6"/>
  <c r="P126" i="6"/>
  <c r="O126" i="6"/>
  <c r="N126" i="6"/>
  <c r="M126" i="6"/>
  <c r="L126" i="6"/>
  <c r="K126" i="6"/>
  <c r="J126" i="6"/>
  <c r="I126" i="6"/>
  <c r="H126" i="6"/>
  <c r="G126" i="6"/>
  <c r="F126" i="6"/>
  <c r="E126" i="6"/>
  <c r="D126" i="6"/>
  <c r="C126" i="6"/>
  <c r="S125" i="6"/>
  <c r="R125" i="6"/>
  <c r="O111" i="6"/>
  <c r="N111" i="6"/>
  <c r="M111" i="6"/>
  <c r="L111" i="6"/>
  <c r="K111" i="6"/>
  <c r="J111" i="6"/>
  <c r="I111" i="6"/>
  <c r="H111" i="6"/>
  <c r="G111" i="6"/>
  <c r="F111" i="6"/>
  <c r="E111" i="6"/>
  <c r="D111" i="6"/>
  <c r="C111" i="6"/>
  <c r="B111" i="6"/>
  <c r="P110" i="6"/>
  <c r="O110" i="6"/>
  <c r="N110" i="6"/>
  <c r="M110" i="6"/>
  <c r="L110" i="6"/>
  <c r="K110" i="6"/>
  <c r="J110" i="6"/>
  <c r="I110" i="6"/>
  <c r="H110" i="6"/>
  <c r="G110" i="6"/>
  <c r="F110" i="6"/>
  <c r="E110" i="6"/>
  <c r="D110" i="6"/>
  <c r="C110" i="6"/>
  <c r="S109" i="6"/>
  <c r="R109" i="6"/>
  <c r="P108" i="6"/>
  <c r="O108" i="6"/>
  <c r="N108" i="6"/>
  <c r="M108" i="6"/>
  <c r="L108" i="6"/>
  <c r="K108" i="6"/>
  <c r="J108" i="6"/>
  <c r="I108" i="6"/>
  <c r="H108" i="6"/>
  <c r="G108" i="6"/>
  <c r="F108" i="6"/>
  <c r="E108" i="6"/>
  <c r="D108" i="6"/>
  <c r="C108" i="6"/>
  <c r="S107" i="6"/>
  <c r="R107" i="6"/>
  <c r="P106" i="6"/>
  <c r="O106" i="6"/>
  <c r="N106" i="6"/>
  <c r="M106" i="6"/>
  <c r="L106" i="6"/>
  <c r="K106" i="6"/>
  <c r="J106" i="6"/>
  <c r="I106" i="6"/>
  <c r="H106" i="6"/>
  <c r="G106" i="6"/>
  <c r="F106" i="6"/>
  <c r="E106" i="6"/>
  <c r="D106" i="6"/>
  <c r="C106" i="6"/>
  <c r="S105" i="6"/>
  <c r="R105" i="6"/>
  <c r="P104" i="6"/>
  <c r="O104" i="6"/>
  <c r="N104" i="6"/>
  <c r="M104" i="6"/>
  <c r="L104" i="6"/>
  <c r="K104" i="6"/>
  <c r="J104" i="6"/>
  <c r="I104" i="6"/>
  <c r="H104" i="6"/>
  <c r="G104" i="6"/>
  <c r="F104" i="6"/>
  <c r="E104" i="6"/>
  <c r="D104" i="6"/>
  <c r="C104" i="6"/>
  <c r="S103" i="6"/>
  <c r="R103" i="6"/>
  <c r="P99" i="6"/>
  <c r="O99" i="6"/>
  <c r="N99" i="6"/>
  <c r="M99" i="6"/>
  <c r="L99" i="6"/>
  <c r="K99" i="6"/>
  <c r="J99" i="6"/>
  <c r="I99" i="6"/>
  <c r="H99" i="6"/>
  <c r="G99" i="6"/>
  <c r="F99" i="6"/>
  <c r="E99" i="6"/>
  <c r="D99" i="6"/>
  <c r="C99" i="6"/>
  <c r="B99" i="6"/>
  <c r="P98" i="6"/>
  <c r="O98" i="6"/>
  <c r="N98" i="6"/>
  <c r="M98" i="6"/>
  <c r="L98" i="6"/>
  <c r="K98" i="6"/>
  <c r="J98" i="6"/>
  <c r="I98" i="6"/>
  <c r="H98" i="6"/>
  <c r="G98" i="6"/>
  <c r="F98" i="6"/>
  <c r="E98" i="6"/>
  <c r="D98" i="6"/>
  <c r="C98" i="6"/>
  <c r="S97" i="6"/>
  <c r="R97" i="6"/>
  <c r="P96" i="6"/>
  <c r="O96" i="6"/>
  <c r="N96" i="6"/>
  <c r="M96" i="6"/>
  <c r="L96" i="6"/>
  <c r="K96" i="6"/>
  <c r="J96" i="6"/>
  <c r="I96" i="6"/>
  <c r="H96" i="6"/>
  <c r="G96" i="6"/>
  <c r="F96" i="6"/>
  <c r="E96" i="6"/>
  <c r="D96" i="6"/>
  <c r="C96" i="6"/>
  <c r="S95" i="6"/>
  <c r="R95" i="6"/>
  <c r="P91" i="6"/>
  <c r="O91" i="6"/>
  <c r="N91" i="6"/>
  <c r="M91" i="6"/>
  <c r="L91" i="6"/>
  <c r="K91" i="6"/>
  <c r="J91" i="6"/>
  <c r="I91" i="6"/>
  <c r="H91" i="6"/>
  <c r="G91" i="6"/>
  <c r="F91" i="6"/>
  <c r="E91" i="6"/>
  <c r="D91" i="6"/>
  <c r="C91" i="6"/>
  <c r="B91" i="6"/>
  <c r="P90" i="6"/>
  <c r="O90" i="6"/>
  <c r="N90" i="6"/>
  <c r="M90" i="6"/>
  <c r="L90" i="6"/>
  <c r="K90" i="6"/>
  <c r="J90" i="6"/>
  <c r="I90" i="6"/>
  <c r="H90" i="6"/>
  <c r="G90" i="6"/>
  <c r="F90" i="6"/>
  <c r="E90" i="6"/>
  <c r="D90" i="6"/>
  <c r="C90" i="6"/>
  <c r="S89" i="6"/>
  <c r="R89" i="6"/>
  <c r="P88" i="6"/>
  <c r="O88" i="6"/>
  <c r="N88" i="6"/>
  <c r="M88" i="6"/>
  <c r="L88" i="6"/>
  <c r="K88" i="6"/>
  <c r="J88" i="6"/>
  <c r="I88" i="6"/>
  <c r="H88" i="6"/>
  <c r="G88" i="6"/>
  <c r="F88" i="6"/>
  <c r="E88" i="6"/>
  <c r="D88" i="6"/>
  <c r="C88" i="6"/>
  <c r="S87" i="6"/>
  <c r="R87" i="6"/>
  <c r="P83" i="6"/>
  <c r="O83" i="6"/>
  <c r="N83" i="6"/>
  <c r="M83" i="6"/>
  <c r="L83" i="6"/>
  <c r="K83" i="6"/>
  <c r="J83" i="6"/>
  <c r="I83" i="6"/>
  <c r="H83" i="6"/>
  <c r="G83" i="6"/>
  <c r="F83" i="6"/>
  <c r="E83" i="6"/>
  <c r="D83" i="6"/>
  <c r="C83" i="6"/>
  <c r="B83" i="6"/>
  <c r="P82" i="6"/>
  <c r="O82" i="6"/>
  <c r="N82" i="6"/>
  <c r="M82" i="6"/>
  <c r="L82" i="6"/>
  <c r="K82" i="6"/>
  <c r="J82" i="6"/>
  <c r="I82" i="6"/>
  <c r="H82" i="6"/>
  <c r="G82" i="6"/>
  <c r="F82" i="6"/>
  <c r="E82" i="6"/>
  <c r="D82" i="6"/>
  <c r="C82" i="6"/>
  <c r="S81" i="6"/>
  <c r="R81" i="6"/>
  <c r="P80" i="6"/>
  <c r="O80" i="6"/>
  <c r="N80" i="6"/>
  <c r="M80" i="6"/>
  <c r="L80" i="6"/>
  <c r="K80" i="6"/>
  <c r="J80" i="6"/>
  <c r="I80" i="6"/>
  <c r="H80" i="6"/>
  <c r="G80" i="6"/>
  <c r="F80" i="6"/>
  <c r="E80" i="6"/>
  <c r="D80" i="6"/>
  <c r="C80" i="6"/>
  <c r="S79" i="6"/>
  <c r="R79" i="6"/>
  <c r="P70" i="6"/>
  <c r="O70" i="6"/>
  <c r="N70" i="6"/>
  <c r="M70" i="6"/>
  <c r="L70" i="6"/>
  <c r="K70" i="6"/>
  <c r="J70" i="6"/>
  <c r="I70" i="6"/>
  <c r="H70" i="6"/>
  <c r="G70" i="6"/>
  <c r="F70" i="6"/>
  <c r="E70" i="6"/>
  <c r="D70" i="6"/>
  <c r="C70" i="6"/>
  <c r="S69" i="6"/>
  <c r="R69" i="6"/>
  <c r="P55" i="6"/>
  <c r="O55" i="6"/>
  <c r="N55" i="6"/>
  <c r="M55" i="6"/>
  <c r="L55" i="6"/>
  <c r="K55" i="6"/>
  <c r="J55" i="6"/>
  <c r="I55" i="6"/>
  <c r="H55" i="6"/>
  <c r="G55" i="6"/>
  <c r="F55" i="6"/>
  <c r="E55" i="6"/>
  <c r="D55" i="6"/>
  <c r="C55" i="6"/>
  <c r="B55" i="6"/>
  <c r="P54" i="6"/>
  <c r="O54" i="6"/>
  <c r="N54" i="6"/>
  <c r="M54" i="6"/>
  <c r="L54" i="6"/>
  <c r="K54" i="6"/>
  <c r="J54" i="6"/>
  <c r="I54" i="6"/>
  <c r="H54" i="6"/>
  <c r="G54" i="6"/>
  <c r="F54" i="6"/>
  <c r="E54" i="6"/>
  <c r="D54" i="6"/>
  <c r="C54" i="6"/>
  <c r="S53" i="6"/>
  <c r="R53" i="6"/>
  <c r="P52" i="6"/>
  <c r="O52" i="6"/>
  <c r="N52" i="6"/>
  <c r="M52" i="6"/>
  <c r="L52" i="6"/>
  <c r="K52" i="6"/>
  <c r="J52" i="6"/>
  <c r="I52" i="6"/>
  <c r="H52" i="6"/>
  <c r="G52" i="6"/>
  <c r="F52" i="6"/>
  <c r="E52" i="6"/>
  <c r="D52" i="6"/>
  <c r="C52" i="6"/>
  <c r="S51" i="6"/>
  <c r="R51" i="6"/>
  <c r="P50" i="6"/>
  <c r="O50" i="6"/>
  <c r="N50" i="6"/>
  <c r="M50" i="6"/>
  <c r="L50" i="6"/>
  <c r="K50" i="6"/>
  <c r="J50" i="6"/>
  <c r="I50" i="6"/>
  <c r="H50" i="6"/>
  <c r="G50" i="6"/>
  <c r="F50" i="6"/>
  <c r="E50" i="6"/>
  <c r="D50" i="6"/>
  <c r="C50" i="6"/>
  <c r="S49" i="6"/>
  <c r="R49" i="6"/>
  <c r="P48" i="6"/>
  <c r="O48" i="6"/>
  <c r="N48" i="6"/>
  <c r="M48" i="6"/>
  <c r="L48" i="6"/>
  <c r="K48" i="6"/>
  <c r="J48" i="6"/>
  <c r="I48" i="6"/>
  <c r="H48" i="6"/>
  <c r="G48" i="6"/>
  <c r="F48" i="6"/>
  <c r="E48" i="6"/>
  <c r="D48" i="6"/>
  <c r="C48" i="6"/>
  <c r="S47" i="6"/>
  <c r="R47" i="6"/>
  <c r="P38" i="6"/>
  <c r="O38" i="6"/>
  <c r="O119" i="6"/>
  <c r="N38" i="6"/>
  <c r="M38" i="6"/>
  <c r="L38" i="6"/>
  <c r="L63" i="6"/>
  <c r="K38" i="6"/>
  <c r="K119" i="6"/>
  <c r="J38" i="6"/>
  <c r="J63" i="6"/>
  <c r="I38" i="6"/>
  <c r="H38" i="6"/>
  <c r="H119" i="6"/>
  <c r="G38" i="6"/>
  <c r="G119" i="6"/>
  <c r="F38" i="6"/>
  <c r="E38" i="6"/>
  <c r="E63" i="6"/>
  <c r="D38" i="6"/>
  <c r="D63" i="6"/>
  <c r="C38" i="6"/>
  <c r="C119" i="6"/>
  <c r="B38" i="6"/>
  <c r="B63" i="6"/>
  <c r="P36" i="6"/>
  <c r="O36" i="6"/>
  <c r="O117" i="6"/>
  <c r="N36" i="6"/>
  <c r="N117" i="6"/>
  <c r="M36" i="6"/>
  <c r="M61" i="6"/>
  <c r="L36" i="6"/>
  <c r="L117" i="6"/>
  <c r="K36" i="6"/>
  <c r="K61" i="6"/>
  <c r="J36" i="6"/>
  <c r="J117" i="6"/>
  <c r="I36" i="6"/>
  <c r="I61" i="6"/>
  <c r="H36" i="6"/>
  <c r="G36" i="6"/>
  <c r="G117" i="6"/>
  <c r="F36" i="6"/>
  <c r="E36" i="6"/>
  <c r="E61" i="6"/>
  <c r="D36" i="6"/>
  <c r="D117" i="6"/>
  <c r="C36" i="6"/>
  <c r="C61" i="6"/>
  <c r="B36" i="6"/>
  <c r="B117" i="6"/>
  <c r="P34" i="6"/>
  <c r="O34" i="6"/>
  <c r="O59" i="6"/>
  <c r="N34" i="6"/>
  <c r="M34" i="6"/>
  <c r="M115" i="6"/>
  <c r="L34" i="6"/>
  <c r="L59" i="6"/>
  <c r="K34" i="6"/>
  <c r="K115" i="6"/>
  <c r="J34" i="6"/>
  <c r="J59" i="6"/>
  <c r="I34" i="6"/>
  <c r="I115" i="6"/>
  <c r="H34" i="6"/>
  <c r="G34" i="6"/>
  <c r="G59" i="6"/>
  <c r="F34" i="6"/>
  <c r="F115" i="6"/>
  <c r="E34" i="6"/>
  <c r="E115" i="6"/>
  <c r="D34" i="6"/>
  <c r="D59" i="6"/>
  <c r="C34" i="6"/>
  <c r="C115" i="6"/>
  <c r="B34" i="6"/>
  <c r="B59" i="6"/>
  <c r="P24" i="6"/>
  <c r="O24" i="6"/>
  <c r="N24" i="6"/>
  <c r="M24" i="6"/>
  <c r="L24" i="6"/>
  <c r="K24" i="6"/>
  <c r="J24" i="6"/>
  <c r="I24" i="6"/>
  <c r="H24" i="6"/>
  <c r="G24" i="6"/>
  <c r="F24" i="6"/>
  <c r="E24" i="6"/>
  <c r="D24" i="6"/>
  <c r="C24" i="6"/>
  <c r="B24" i="6"/>
  <c r="S22" i="6"/>
  <c r="R22" i="6"/>
  <c r="S20" i="6"/>
  <c r="R20" i="6"/>
  <c r="S18" i="6"/>
  <c r="R18" i="6"/>
  <c r="S14" i="6"/>
  <c r="R14" i="6"/>
  <c r="P12" i="6"/>
  <c r="O12" i="6"/>
  <c r="N12" i="6"/>
  <c r="M12" i="6"/>
  <c r="L12" i="6"/>
  <c r="K12" i="6"/>
  <c r="J12" i="6"/>
  <c r="I12" i="6"/>
  <c r="H12" i="6"/>
  <c r="G12" i="6"/>
  <c r="F12" i="6"/>
  <c r="E12" i="6"/>
  <c r="D12" i="6"/>
  <c r="C12" i="6"/>
  <c r="S11" i="6"/>
  <c r="R11" i="6"/>
  <c r="P9" i="6"/>
  <c r="O9" i="6"/>
  <c r="N9" i="6"/>
  <c r="M9" i="6"/>
  <c r="L9" i="6"/>
  <c r="K9" i="6"/>
  <c r="J9" i="6"/>
  <c r="I9" i="6"/>
  <c r="H9" i="6"/>
  <c r="G9" i="6"/>
  <c r="F9" i="6"/>
  <c r="E9" i="6"/>
  <c r="D9" i="6"/>
  <c r="C9" i="6"/>
  <c r="S8" i="6"/>
  <c r="R8" i="6"/>
  <c r="P7" i="6"/>
  <c r="O7" i="6"/>
  <c r="N7" i="6"/>
  <c r="M7" i="6"/>
  <c r="L7" i="6"/>
  <c r="K7" i="6"/>
  <c r="J7" i="6"/>
  <c r="I7" i="6"/>
  <c r="H7" i="6"/>
  <c r="G7" i="6"/>
  <c r="F7" i="6"/>
  <c r="E7" i="6"/>
  <c r="D7" i="6"/>
  <c r="C7" i="6"/>
  <c r="S6" i="6"/>
  <c r="R6" i="6"/>
  <c r="P5" i="6"/>
  <c r="O5" i="6"/>
  <c r="N5" i="6"/>
  <c r="M5" i="6"/>
  <c r="L5" i="6"/>
  <c r="K5" i="6"/>
  <c r="J5" i="6"/>
  <c r="I5" i="6"/>
  <c r="H5" i="6"/>
  <c r="G5" i="6"/>
  <c r="F5" i="6"/>
  <c r="E5" i="6"/>
  <c r="D5" i="6"/>
  <c r="C5" i="6"/>
  <c r="S4" i="6"/>
  <c r="R4" i="6"/>
  <c r="P2" i="6"/>
  <c r="O2" i="6"/>
  <c r="N2" i="6"/>
  <c r="M2" i="6"/>
  <c r="L2" i="6"/>
  <c r="K2" i="6"/>
  <c r="J2" i="6"/>
  <c r="I2" i="6"/>
  <c r="H2" i="6"/>
  <c r="G2" i="6"/>
  <c r="F2" i="6"/>
  <c r="E2" i="6"/>
  <c r="D2" i="6"/>
  <c r="C2" i="6"/>
  <c r="B2" i="6"/>
  <c r="R103" i="4"/>
  <c r="S103" i="4"/>
  <c r="C104" i="4"/>
  <c r="D104" i="4"/>
  <c r="E104" i="4"/>
  <c r="F104" i="4"/>
  <c r="G104" i="4"/>
  <c r="H104" i="4"/>
  <c r="I104" i="4"/>
  <c r="J104" i="4"/>
  <c r="K104" i="4"/>
  <c r="L104" i="4"/>
  <c r="M104" i="4"/>
  <c r="N104" i="4"/>
  <c r="O104" i="4"/>
  <c r="P104" i="4"/>
  <c r="R105" i="4"/>
  <c r="S105" i="4"/>
  <c r="C106" i="4"/>
  <c r="D106" i="4"/>
  <c r="E106" i="4"/>
  <c r="F106" i="4"/>
  <c r="G106" i="4"/>
  <c r="H106" i="4"/>
  <c r="I106" i="4"/>
  <c r="J106" i="4"/>
  <c r="K106" i="4"/>
  <c r="L106" i="4"/>
  <c r="M106" i="4"/>
  <c r="N106" i="4"/>
  <c r="O106" i="4"/>
  <c r="P106" i="4"/>
  <c r="R107" i="4"/>
  <c r="S107" i="4"/>
  <c r="C108" i="4"/>
  <c r="D108" i="4"/>
  <c r="E108" i="4"/>
  <c r="F108" i="4"/>
  <c r="G108" i="4"/>
  <c r="H108" i="4"/>
  <c r="I108" i="4"/>
  <c r="J108" i="4"/>
  <c r="K108" i="4"/>
  <c r="L108" i="4"/>
  <c r="M108" i="4"/>
  <c r="N108" i="4"/>
  <c r="O108" i="4"/>
  <c r="P108" i="4"/>
  <c r="R109" i="4"/>
  <c r="S109" i="4"/>
  <c r="C110" i="4"/>
  <c r="D110" i="4"/>
  <c r="E110" i="4"/>
  <c r="F110" i="4"/>
  <c r="G110" i="4"/>
  <c r="H110" i="4"/>
  <c r="I110" i="4"/>
  <c r="J110" i="4"/>
  <c r="K110" i="4"/>
  <c r="L110" i="4"/>
  <c r="M110" i="4"/>
  <c r="N110" i="4"/>
  <c r="O110" i="4"/>
  <c r="P110" i="4"/>
  <c r="B111" i="4"/>
  <c r="C111" i="4"/>
  <c r="D111" i="4"/>
  <c r="E111" i="4"/>
  <c r="F111" i="4"/>
  <c r="G111" i="4"/>
  <c r="H111" i="4"/>
  <c r="I111" i="4"/>
  <c r="J111" i="4"/>
  <c r="K111" i="4"/>
  <c r="L111" i="4"/>
  <c r="M111" i="4"/>
  <c r="N111" i="4"/>
  <c r="O111" i="4"/>
  <c r="P111" i="4"/>
  <c r="R125" i="4"/>
  <c r="S125" i="4"/>
  <c r="C126" i="4"/>
  <c r="D126" i="4"/>
  <c r="E126" i="4"/>
  <c r="F126" i="4"/>
  <c r="G126" i="4"/>
  <c r="H126" i="4"/>
  <c r="I126" i="4"/>
  <c r="J126" i="4"/>
  <c r="K126" i="4"/>
  <c r="L126" i="4"/>
  <c r="M126" i="4"/>
  <c r="N126" i="4"/>
  <c r="O126" i="4"/>
  <c r="P126" i="4"/>
  <c r="R127" i="4"/>
  <c r="S127" i="4"/>
  <c r="C128" i="4"/>
  <c r="D128" i="4"/>
  <c r="E128" i="4"/>
  <c r="F128" i="4"/>
  <c r="G128" i="4"/>
  <c r="H128" i="4"/>
  <c r="I128" i="4"/>
  <c r="J128" i="4"/>
  <c r="K128" i="4"/>
  <c r="L128" i="4"/>
  <c r="M128" i="4"/>
  <c r="N128" i="4"/>
  <c r="O128" i="4"/>
  <c r="P128" i="4"/>
  <c r="B129" i="4"/>
  <c r="C129" i="4"/>
  <c r="D129" i="4"/>
  <c r="E129" i="4"/>
  <c r="F129" i="4"/>
  <c r="G129" i="4"/>
  <c r="H129" i="4"/>
  <c r="I129" i="4"/>
  <c r="J129" i="4"/>
  <c r="K129" i="4"/>
  <c r="L129" i="4"/>
  <c r="M129" i="4"/>
  <c r="N129" i="4"/>
  <c r="O129" i="4"/>
  <c r="P129" i="4"/>
  <c r="R133" i="4"/>
  <c r="S133" i="4"/>
  <c r="C134" i="4"/>
  <c r="D134" i="4"/>
  <c r="E134" i="4"/>
  <c r="F134" i="4"/>
  <c r="G134" i="4"/>
  <c r="H134" i="4"/>
  <c r="I134" i="4"/>
  <c r="J134" i="4"/>
  <c r="K134" i="4"/>
  <c r="L134" i="4"/>
  <c r="M134" i="4"/>
  <c r="N134" i="4"/>
  <c r="O134" i="4"/>
  <c r="P134" i="4"/>
  <c r="R137" i="4"/>
  <c r="S137" i="4"/>
  <c r="C138" i="4"/>
  <c r="D138" i="4"/>
  <c r="E138" i="4"/>
  <c r="F138" i="4"/>
  <c r="G138" i="4"/>
  <c r="H138" i="4"/>
  <c r="I138" i="4"/>
  <c r="J138" i="4"/>
  <c r="K138" i="4"/>
  <c r="L138" i="4"/>
  <c r="M138" i="4"/>
  <c r="N138" i="4"/>
  <c r="O138" i="4"/>
  <c r="P138" i="4"/>
  <c r="R141" i="4"/>
  <c r="S141" i="4"/>
  <c r="C142" i="4"/>
  <c r="D142" i="4"/>
  <c r="E142" i="4"/>
  <c r="F142" i="4"/>
  <c r="G142" i="4"/>
  <c r="H142" i="4"/>
  <c r="I142" i="4"/>
  <c r="J142" i="4"/>
  <c r="K142" i="4"/>
  <c r="L142" i="4"/>
  <c r="M142" i="4"/>
  <c r="N142" i="4"/>
  <c r="O142" i="4"/>
  <c r="P142" i="4"/>
  <c r="R143" i="4"/>
  <c r="S143" i="4"/>
  <c r="C144" i="4"/>
  <c r="D144" i="4"/>
  <c r="E144" i="4"/>
  <c r="F144" i="4"/>
  <c r="G144" i="4"/>
  <c r="H144" i="4"/>
  <c r="I144" i="4"/>
  <c r="J144" i="4"/>
  <c r="K144" i="4"/>
  <c r="L144" i="4"/>
  <c r="M144" i="4"/>
  <c r="N144" i="4"/>
  <c r="O144" i="4"/>
  <c r="P144" i="4"/>
  <c r="R145" i="4"/>
  <c r="S145" i="4"/>
  <c r="C146" i="4"/>
  <c r="D146" i="4"/>
  <c r="E146" i="4"/>
  <c r="F146" i="4"/>
  <c r="G146" i="4"/>
  <c r="H146" i="4"/>
  <c r="I146" i="4"/>
  <c r="J146" i="4"/>
  <c r="K146" i="4"/>
  <c r="L146" i="4"/>
  <c r="M146" i="4"/>
  <c r="N146" i="4"/>
  <c r="O146" i="4"/>
  <c r="P146" i="4"/>
  <c r="B155" i="4"/>
  <c r="C155" i="4"/>
  <c r="D155" i="4"/>
  <c r="E155" i="4"/>
  <c r="F155" i="4"/>
  <c r="G155" i="4"/>
  <c r="H155" i="4"/>
  <c r="I155" i="4"/>
  <c r="J155" i="4"/>
  <c r="K155" i="4"/>
  <c r="L155" i="4"/>
  <c r="M155" i="4"/>
  <c r="N155" i="4"/>
  <c r="O155" i="4"/>
  <c r="P155" i="4"/>
  <c r="B157" i="4"/>
  <c r="C157" i="4"/>
  <c r="D157" i="4"/>
  <c r="E157" i="4"/>
  <c r="F157" i="4"/>
  <c r="G157" i="4"/>
  <c r="H157" i="4"/>
  <c r="I157" i="4"/>
  <c r="J157" i="4"/>
  <c r="K157" i="4"/>
  <c r="L157" i="4"/>
  <c r="M157" i="4"/>
  <c r="N157" i="4"/>
  <c r="O157" i="4"/>
  <c r="P157" i="4"/>
  <c r="B161" i="4"/>
  <c r="C161" i="4"/>
  <c r="D161" i="4"/>
  <c r="E161" i="4"/>
  <c r="F161" i="4"/>
  <c r="G161" i="4"/>
  <c r="H161" i="4"/>
  <c r="I161" i="4"/>
  <c r="J161" i="4"/>
  <c r="K161" i="4"/>
  <c r="L161" i="4"/>
  <c r="M161" i="4"/>
  <c r="N161" i="4"/>
  <c r="O161" i="4"/>
  <c r="P161" i="4"/>
  <c r="B163" i="4"/>
  <c r="C163" i="4"/>
  <c r="D163" i="4"/>
  <c r="E163" i="4"/>
  <c r="F163" i="4"/>
  <c r="G163" i="4"/>
  <c r="H163" i="4"/>
  <c r="I163" i="4"/>
  <c r="J163" i="4"/>
  <c r="K163" i="4"/>
  <c r="L163" i="4"/>
  <c r="M163" i="4"/>
  <c r="N163" i="4"/>
  <c r="O163" i="4"/>
  <c r="P163" i="4"/>
  <c r="B167" i="4"/>
  <c r="C167" i="4"/>
  <c r="D167" i="4"/>
  <c r="E167" i="4"/>
  <c r="F167" i="4"/>
  <c r="G167" i="4"/>
  <c r="H167" i="4"/>
  <c r="I167" i="4"/>
  <c r="J167" i="4"/>
  <c r="K167" i="4"/>
  <c r="L167" i="4"/>
  <c r="M167" i="4"/>
  <c r="N167" i="4"/>
  <c r="O167" i="4"/>
  <c r="P167" i="4"/>
  <c r="B169" i="4"/>
  <c r="C169" i="4"/>
  <c r="D169" i="4"/>
  <c r="E169" i="4"/>
  <c r="F169" i="4"/>
  <c r="G169" i="4"/>
  <c r="H169" i="4"/>
  <c r="I169" i="4"/>
  <c r="J169" i="4"/>
  <c r="K169" i="4"/>
  <c r="L169" i="4"/>
  <c r="M169" i="4"/>
  <c r="N169" i="4"/>
  <c r="O169" i="4"/>
  <c r="P169" i="4"/>
  <c r="B173" i="4"/>
  <c r="C173" i="4"/>
  <c r="D173" i="4"/>
  <c r="E173" i="4"/>
  <c r="F173" i="4"/>
  <c r="G173" i="4"/>
  <c r="H173" i="4"/>
  <c r="I173" i="4"/>
  <c r="J173" i="4"/>
  <c r="K173" i="4"/>
  <c r="L173" i="4"/>
  <c r="M173" i="4"/>
  <c r="N173" i="4"/>
  <c r="O173" i="4"/>
  <c r="P173" i="4"/>
  <c r="B175" i="4"/>
  <c r="C175" i="4"/>
  <c r="D175" i="4"/>
  <c r="E175" i="4"/>
  <c r="F175" i="4"/>
  <c r="G175" i="4"/>
  <c r="H175" i="4"/>
  <c r="I175" i="4"/>
  <c r="J175" i="4"/>
  <c r="K175" i="4"/>
  <c r="L175" i="4"/>
  <c r="M175" i="4"/>
  <c r="N175" i="4"/>
  <c r="O175" i="4"/>
  <c r="P175" i="4"/>
  <c r="B177" i="4"/>
  <c r="C177" i="4"/>
  <c r="D177" i="4"/>
  <c r="E177" i="4"/>
  <c r="F177" i="4"/>
  <c r="G177" i="4"/>
  <c r="H177" i="4"/>
  <c r="I177" i="4"/>
  <c r="J177" i="4"/>
  <c r="K177" i="4"/>
  <c r="L177" i="4"/>
  <c r="M177" i="4"/>
  <c r="N177" i="4"/>
  <c r="O177" i="4"/>
  <c r="S181" i="4"/>
  <c r="F182" i="4"/>
  <c r="G182" i="4"/>
  <c r="H182" i="4"/>
  <c r="I182" i="4"/>
  <c r="J182" i="4"/>
  <c r="K182" i="4"/>
  <c r="L182" i="4"/>
  <c r="M182" i="4"/>
  <c r="N182" i="4"/>
  <c r="O182" i="4"/>
  <c r="P182" i="4"/>
  <c r="S185" i="4"/>
  <c r="S187" i="4"/>
  <c r="S189" i="4"/>
  <c r="S191" i="4"/>
  <c r="S193" i="4"/>
  <c r="S195" i="4"/>
  <c r="S197" i="4"/>
  <c r="S199" i="4"/>
  <c r="S201" i="4"/>
  <c r="S203" i="4"/>
  <c r="S205" i="4"/>
  <c r="S207" i="4"/>
  <c r="E211" i="4"/>
  <c r="F211" i="4"/>
  <c r="G211" i="4"/>
  <c r="H211" i="4"/>
  <c r="I211" i="4"/>
  <c r="J211" i="4"/>
  <c r="K211" i="4"/>
  <c r="L211" i="4"/>
  <c r="M211" i="4"/>
  <c r="N211" i="4"/>
  <c r="O211" i="4"/>
  <c r="P211" i="4"/>
  <c r="S215" i="4"/>
  <c r="F216" i="4"/>
  <c r="G216" i="4"/>
  <c r="H216" i="4"/>
  <c r="I216" i="4"/>
  <c r="J216" i="4"/>
  <c r="K216" i="4"/>
  <c r="L216" i="4"/>
  <c r="M216" i="4"/>
  <c r="N216" i="4"/>
  <c r="O216" i="4"/>
  <c r="P216" i="4"/>
  <c r="S217" i="4"/>
  <c r="F218" i="4"/>
  <c r="G218" i="4"/>
  <c r="H218" i="4"/>
  <c r="I218" i="4"/>
  <c r="J218" i="4"/>
  <c r="K218" i="4"/>
  <c r="L218" i="4"/>
  <c r="M218" i="4"/>
  <c r="N218" i="4"/>
  <c r="O218" i="4"/>
  <c r="P218" i="4"/>
  <c r="S219" i="4"/>
  <c r="F220" i="4"/>
  <c r="G220" i="4"/>
  <c r="H220" i="4"/>
  <c r="I220" i="4"/>
  <c r="J220" i="4"/>
  <c r="K220" i="4"/>
  <c r="L220" i="4"/>
  <c r="M220" i="4"/>
  <c r="N220" i="4"/>
  <c r="O220" i="4"/>
  <c r="P220" i="4"/>
  <c r="S221" i="4"/>
  <c r="F222" i="4"/>
  <c r="G222" i="4"/>
  <c r="H222" i="4"/>
  <c r="I222" i="4"/>
  <c r="J222" i="4"/>
  <c r="K222" i="4"/>
  <c r="L222" i="4"/>
  <c r="M222" i="4"/>
  <c r="N222" i="4"/>
  <c r="O222" i="4"/>
  <c r="P222" i="4"/>
  <c r="E223" i="4"/>
  <c r="F223" i="4"/>
  <c r="G223" i="4"/>
  <c r="H223" i="4"/>
  <c r="I223" i="4"/>
  <c r="J223" i="4"/>
  <c r="K223" i="4"/>
  <c r="L223" i="4"/>
  <c r="M223" i="4"/>
  <c r="N223" i="4"/>
  <c r="O223" i="4"/>
  <c r="P223" i="4"/>
  <c r="R95" i="4"/>
  <c r="S95" i="4"/>
  <c r="C96" i="4"/>
  <c r="D96" i="4"/>
  <c r="E96" i="4"/>
  <c r="F96" i="4"/>
  <c r="G96" i="4"/>
  <c r="H96" i="4"/>
  <c r="I96" i="4"/>
  <c r="J96" i="4"/>
  <c r="K96" i="4"/>
  <c r="L96" i="4"/>
  <c r="M96" i="4"/>
  <c r="N96" i="4"/>
  <c r="O96" i="4"/>
  <c r="P96" i="4"/>
  <c r="R97" i="4"/>
  <c r="S97" i="4"/>
  <c r="C98" i="4"/>
  <c r="D98" i="4"/>
  <c r="E98" i="4"/>
  <c r="F98" i="4"/>
  <c r="G98" i="4"/>
  <c r="H98" i="4"/>
  <c r="I98" i="4"/>
  <c r="J98" i="4"/>
  <c r="K98" i="4"/>
  <c r="L98" i="4"/>
  <c r="M98" i="4"/>
  <c r="N98" i="4"/>
  <c r="O98" i="4"/>
  <c r="P98" i="4"/>
  <c r="B99" i="4"/>
  <c r="C99" i="4"/>
  <c r="D99" i="4"/>
  <c r="E99" i="4"/>
  <c r="F99" i="4"/>
  <c r="G99" i="4"/>
  <c r="H99" i="4"/>
  <c r="I99" i="4"/>
  <c r="J99" i="4"/>
  <c r="K99" i="4"/>
  <c r="L99" i="4"/>
  <c r="M99" i="4"/>
  <c r="N99" i="4"/>
  <c r="O99" i="4"/>
  <c r="P99" i="4"/>
  <c r="R87" i="4"/>
  <c r="S87" i="4"/>
  <c r="C88" i="4"/>
  <c r="D88" i="4"/>
  <c r="E88" i="4"/>
  <c r="F88" i="4"/>
  <c r="G88" i="4"/>
  <c r="H88" i="4"/>
  <c r="I88" i="4"/>
  <c r="J88" i="4"/>
  <c r="K88" i="4"/>
  <c r="L88" i="4"/>
  <c r="M88" i="4"/>
  <c r="N88" i="4"/>
  <c r="O88" i="4"/>
  <c r="P88" i="4"/>
  <c r="R89" i="4"/>
  <c r="S89" i="4"/>
  <c r="C90" i="4"/>
  <c r="D90" i="4"/>
  <c r="E90" i="4"/>
  <c r="F90" i="4"/>
  <c r="G90" i="4"/>
  <c r="H90" i="4"/>
  <c r="I90" i="4"/>
  <c r="J90" i="4"/>
  <c r="K90" i="4"/>
  <c r="L90" i="4"/>
  <c r="M90" i="4"/>
  <c r="N90" i="4"/>
  <c r="O90" i="4"/>
  <c r="P90" i="4"/>
  <c r="B91" i="4"/>
  <c r="C91" i="4"/>
  <c r="D91" i="4"/>
  <c r="E91" i="4"/>
  <c r="F91" i="4"/>
  <c r="G91" i="4"/>
  <c r="H91" i="4"/>
  <c r="I91" i="4"/>
  <c r="J91" i="4"/>
  <c r="K91" i="4"/>
  <c r="L91" i="4"/>
  <c r="M91" i="4"/>
  <c r="N91" i="4"/>
  <c r="O91" i="4"/>
  <c r="P91" i="4"/>
  <c r="R79" i="4"/>
  <c r="S79" i="4"/>
  <c r="C80" i="4"/>
  <c r="D80" i="4"/>
  <c r="E80" i="4"/>
  <c r="F80" i="4"/>
  <c r="G80" i="4"/>
  <c r="H80" i="4"/>
  <c r="I80" i="4"/>
  <c r="J80" i="4"/>
  <c r="K80" i="4"/>
  <c r="L80" i="4"/>
  <c r="M80" i="4"/>
  <c r="N80" i="4"/>
  <c r="O80" i="4"/>
  <c r="P80" i="4"/>
  <c r="R81" i="4"/>
  <c r="S81" i="4"/>
  <c r="C82" i="4"/>
  <c r="D82" i="4"/>
  <c r="E82" i="4"/>
  <c r="F82" i="4"/>
  <c r="G82" i="4"/>
  <c r="H82" i="4"/>
  <c r="I82" i="4"/>
  <c r="J82" i="4"/>
  <c r="K82" i="4"/>
  <c r="L82" i="4"/>
  <c r="M82" i="4"/>
  <c r="N82" i="4"/>
  <c r="O82" i="4"/>
  <c r="P82" i="4"/>
  <c r="B83" i="4"/>
  <c r="C83" i="4"/>
  <c r="D83" i="4"/>
  <c r="E83" i="4"/>
  <c r="F83" i="4"/>
  <c r="G83" i="4"/>
  <c r="H83" i="4"/>
  <c r="I83" i="4"/>
  <c r="J83" i="4"/>
  <c r="K83" i="4"/>
  <c r="L83" i="4"/>
  <c r="M83" i="4"/>
  <c r="N83" i="4"/>
  <c r="O83" i="4"/>
  <c r="P83" i="4"/>
  <c r="R69" i="4"/>
  <c r="S69" i="4"/>
  <c r="C70" i="4"/>
  <c r="D70" i="4"/>
  <c r="E70" i="4"/>
  <c r="F70" i="4"/>
  <c r="G70" i="4"/>
  <c r="H70" i="4"/>
  <c r="I70" i="4"/>
  <c r="J70" i="4"/>
  <c r="K70" i="4"/>
  <c r="L70" i="4"/>
  <c r="M70" i="4"/>
  <c r="N70" i="4"/>
  <c r="O70" i="4"/>
  <c r="P70" i="4"/>
  <c r="R47" i="4"/>
  <c r="S47" i="4"/>
  <c r="C48" i="4"/>
  <c r="D48" i="4"/>
  <c r="E48" i="4"/>
  <c r="F48" i="4"/>
  <c r="G48" i="4"/>
  <c r="H48" i="4"/>
  <c r="I48" i="4"/>
  <c r="J48" i="4"/>
  <c r="K48" i="4"/>
  <c r="L48" i="4"/>
  <c r="M48" i="4"/>
  <c r="N48" i="4"/>
  <c r="O48" i="4"/>
  <c r="P48" i="4"/>
  <c r="R49" i="4"/>
  <c r="S49" i="4"/>
  <c r="C50" i="4"/>
  <c r="D50" i="4"/>
  <c r="E50" i="4"/>
  <c r="F50" i="4"/>
  <c r="G50" i="4"/>
  <c r="H50" i="4"/>
  <c r="I50" i="4"/>
  <c r="J50" i="4"/>
  <c r="K50" i="4"/>
  <c r="L50" i="4"/>
  <c r="M50" i="4"/>
  <c r="N50" i="4"/>
  <c r="O50" i="4"/>
  <c r="P50" i="4"/>
  <c r="R51" i="4"/>
  <c r="S51" i="4"/>
  <c r="C52" i="4"/>
  <c r="D52" i="4"/>
  <c r="E52" i="4"/>
  <c r="F52" i="4"/>
  <c r="G52" i="4"/>
  <c r="H52" i="4"/>
  <c r="I52" i="4"/>
  <c r="J52" i="4"/>
  <c r="K52" i="4"/>
  <c r="L52" i="4"/>
  <c r="M52" i="4"/>
  <c r="N52" i="4"/>
  <c r="O52" i="4"/>
  <c r="P52" i="4"/>
  <c r="R53" i="4"/>
  <c r="S53" i="4"/>
  <c r="C54" i="4"/>
  <c r="D54" i="4"/>
  <c r="E54" i="4"/>
  <c r="F54" i="4"/>
  <c r="G54" i="4"/>
  <c r="H54" i="4"/>
  <c r="I54" i="4"/>
  <c r="J54" i="4"/>
  <c r="K54" i="4"/>
  <c r="L54" i="4"/>
  <c r="M54" i="4"/>
  <c r="N54" i="4"/>
  <c r="O54" i="4"/>
  <c r="P54" i="4"/>
  <c r="B55" i="4"/>
  <c r="C55" i="4"/>
  <c r="D55" i="4"/>
  <c r="E55" i="4"/>
  <c r="F55" i="4"/>
  <c r="G55" i="4"/>
  <c r="H55" i="4"/>
  <c r="I55" i="4"/>
  <c r="J55" i="4"/>
  <c r="K55" i="4"/>
  <c r="L55" i="4"/>
  <c r="M55" i="4"/>
  <c r="N55" i="4"/>
  <c r="O55" i="4"/>
  <c r="P55" i="4"/>
  <c r="B59" i="4"/>
  <c r="C34" i="4"/>
  <c r="C115" i="4"/>
  <c r="D34" i="4"/>
  <c r="D115" i="4"/>
  <c r="E34" i="4"/>
  <c r="E59" i="4"/>
  <c r="F34" i="4"/>
  <c r="F115" i="4"/>
  <c r="G34" i="4"/>
  <c r="G115" i="4"/>
  <c r="H34" i="4"/>
  <c r="H59" i="4"/>
  <c r="I34" i="4"/>
  <c r="J34" i="4"/>
  <c r="J59" i="4"/>
  <c r="K34" i="4"/>
  <c r="K115" i="4"/>
  <c r="L34" i="4"/>
  <c r="L115" i="4"/>
  <c r="M34" i="4"/>
  <c r="M59" i="4"/>
  <c r="N34" i="4"/>
  <c r="N115" i="4"/>
  <c r="O34" i="4"/>
  <c r="O115" i="4"/>
  <c r="P34" i="4"/>
  <c r="P59" i="4"/>
  <c r="B36" i="4"/>
  <c r="B117" i="4"/>
  <c r="C36" i="4"/>
  <c r="D36" i="4"/>
  <c r="D117" i="4"/>
  <c r="E36" i="4"/>
  <c r="E117" i="4"/>
  <c r="F36" i="4"/>
  <c r="G36" i="4"/>
  <c r="G117" i="4"/>
  <c r="H36" i="4"/>
  <c r="H117" i="4"/>
  <c r="I36" i="4"/>
  <c r="I61" i="4"/>
  <c r="J36" i="4"/>
  <c r="K36" i="4"/>
  <c r="L36" i="4"/>
  <c r="L117" i="4"/>
  <c r="M36" i="4"/>
  <c r="M117" i="4"/>
  <c r="N36" i="4"/>
  <c r="O36" i="4"/>
  <c r="O117" i="4"/>
  <c r="P36" i="4"/>
  <c r="P117" i="4"/>
  <c r="B38" i="4"/>
  <c r="B119" i="4"/>
  <c r="C38" i="4"/>
  <c r="D38" i="4"/>
  <c r="E38" i="4"/>
  <c r="E119" i="4"/>
  <c r="F38" i="4"/>
  <c r="F119" i="4"/>
  <c r="G38" i="4"/>
  <c r="G119" i="4"/>
  <c r="H38" i="4"/>
  <c r="I38" i="4"/>
  <c r="I119" i="4"/>
  <c r="J38" i="4"/>
  <c r="J119" i="4"/>
  <c r="K38" i="4"/>
  <c r="L38" i="4"/>
  <c r="M38" i="4"/>
  <c r="M119" i="4"/>
  <c r="N38" i="4"/>
  <c r="N119" i="4"/>
  <c r="O38" i="4"/>
  <c r="O119" i="4"/>
  <c r="P38" i="4"/>
  <c r="R18" i="4"/>
  <c r="S18" i="4"/>
  <c r="R20" i="4"/>
  <c r="S20" i="4"/>
  <c r="R22" i="4"/>
  <c r="S22" i="4"/>
  <c r="B24" i="4"/>
  <c r="C24" i="4"/>
  <c r="D24" i="4"/>
  <c r="E24" i="4"/>
  <c r="F24" i="4"/>
  <c r="G24" i="4"/>
  <c r="H24" i="4"/>
  <c r="I24" i="4"/>
  <c r="J24" i="4"/>
  <c r="K24" i="4"/>
  <c r="L24" i="4"/>
  <c r="M24" i="4"/>
  <c r="N24" i="4"/>
  <c r="O24" i="4"/>
  <c r="P24" i="4"/>
  <c r="R14" i="4"/>
  <c r="S14" i="4"/>
  <c r="R11" i="4"/>
  <c r="S11" i="4"/>
  <c r="C12" i="4"/>
  <c r="D12" i="4"/>
  <c r="E12" i="4"/>
  <c r="F12" i="4"/>
  <c r="G12" i="4"/>
  <c r="H12" i="4"/>
  <c r="I12" i="4"/>
  <c r="J12" i="4"/>
  <c r="K12" i="4"/>
  <c r="L12" i="4"/>
  <c r="M12" i="4"/>
  <c r="N12" i="4"/>
  <c r="O12" i="4"/>
  <c r="P12" i="4"/>
  <c r="B2" i="4"/>
  <c r="C2" i="4"/>
  <c r="D2" i="4"/>
  <c r="E2" i="4"/>
  <c r="F2" i="4"/>
  <c r="G2" i="4"/>
  <c r="H2" i="4"/>
  <c r="I2" i="4"/>
  <c r="J2" i="4"/>
  <c r="K2" i="4"/>
  <c r="L2" i="4"/>
  <c r="M2" i="4"/>
  <c r="N2" i="4"/>
  <c r="O2" i="4"/>
  <c r="P2" i="4"/>
  <c r="R4" i="4"/>
  <c r="S4" i="4"/>
  <c r="C5" i="4"/>
  <c r="D5" i="4"/>
  <c r="E5" i="4"/>
  <c r="F5" i="4"/>
  <c r="G5" i="4"/>
  <c r="H5" i="4"/>
  <c r="I5" i="4"/>
  <c r="J5" i="4"/>
  <c r="K5" i="4"/>
  <c r="L5" i="4"/>
  <c r="M5" i="4"/>
  <c r="N5" i="4"/>
  <c r="O5" i="4"/>
  <c r="P5" i="4"/>
  <c r="R6" i="4"/>
  <c r="S6" i="4"/>
  <c r="C7" i="4"/>
  <c r="D7" i="4"/>
  <c r="E7" i="4"/>
  <c r="F7" i="4"/>
  <c r="G7" i="4"/>
  <c r="H7" i="4"/>
  <c r="I7" i="4"/>
  <c r="J7" i="4"/>
  <c r="K7" i="4"/>
  <c r="L7" i="4"/>
  <c r="M7" i="4"/>
  <c r="N7" i="4"/>
  <c r="O7" i="4"/>
  <c r="P7" i="4"/>
  <c r="R8" i="4"/>
  <c r="S8" i="4"/>
  <c r="C9" i="4"/>
  <c r="D9" i="4"/>
  <c r="E9" i="4"/>
  <c r="F9" i="4"/>
  <c r="G9" i="4"/>
  <c r="H9" i="4"/>
  <c r="I9" i="4"/>
  <c r="J9" i="4"/>
  <c r="K9" i="4"/>
  <c r="L9" i="4"/>
  <c r="M9" i="4"/>
  <c r="N9" i="4"/>
  <c r="O9" i="4"/>
  <c r="P9" i="4"/>
  <c r="C149" i="2"/>
  <c r="D149" i="2"/>
  <c r="E149" i="2"/>
  <c r="F149" i="2"/>
  <c r="G149" i="2"/>
  <c r="H149" i="2"/>
  <c r="H150" i="2"/>
  <c r="I149" i="2"/>
  <c r="J149" i="2"/>
  <c r="K149" i="2"/>
  <c r="L149" i="2"/>
  <c r="M149" i="2"/>
  <c r="N149" i="2"/>
  <c r="O149" i="2"/>
  <c r="P149" i="2"/>
  <c r="C151" i="2"/>
  <c r="D151" i="2"/>
  <c r="E151" i="2"/>
  <c r="F151" i="2"/>
  <c r="G151" i="2"/>
  <c r="H151" i="2"/>
  <c r="I151" i="2"/>
  <c r="J151" i="2"/>
  <c r="K151" i="2"/>
  <c r="L151" i="2"/>
  <c r="M151" i="2"/>
  <c r="N151" i="2"/>
  <c r="O151" i="2"/>
  <c r="P151" i="2"/>
  <c r="C155" i="2"/>
  <c r="D155" i="2"/>
  <c r="E155" i="2"/>
  <c r="F155" i="2"/>
  <c r="G155" i="2"/>
  <c r="H155" i="2"/>
  <c r="I155" i="2"/>
  <c r="J155" i="2"/>
  <c r="K155" i="2"/>
  <c r="L155" i="2"/>
  <c r="M155" i="2"/>
  <c r="N155" i="2"/>
  <c r="O155" i="2"/>
  <c r="P155" i="2"/>
  <c r="C157" i="2"/>
  <c r="D157" i="2"/>
  <c r="E157" i="2"/>
  <c r="F157" i="2"/>
  <c r="G157" i="2"/>
  <c r="H157" i="2"/>
  <c r="I157" i="2"/>
  <c r="J157" i="2"/>
  <c r="K157" i="2"/>
  <c r="L157" i="2"/>
  <c r="M157" i="2"/>
  <c r="N157" i="2"/>
  <c r="N158" i="2"/>
  <c r="O157" i="2"/>
  <c r="P157" i="2"/>
  <c r="C161" i="2"/>
  <c r="D161" i="2"/>
  <c r="E161" i="2"/>
  <c r="F161" i="2"/>
  <c r="G161" i="2"/>
  <c r="H161" i="2"/>
  <c r="I161" i="2"/>
  <c r="J161" i="2"/>
  <c r="K161" i="2"/>
  <c r="L161" i="2"/>
  <c r="M161" i="2"/>
  <c r="N161" i="2"/>
  <c r="O161" i="2"/>
  <c r="P161" i="2"/>
  <c r="P162" i="2"/>
  <c r="C163" i="2"/>
  <c r="D163" i="2"/>
  <c r="E163" i="2"/>
  <c r="F163" i="2"/>
  <c r="G163" i="2"/>
  <c r="H163" i="2"/>
  <c r="I163" i="2"/>
  <c r="J163" i="2"/>
  <c r="J164" i="2"/>
  <c r="K163" i="2"/>
  <c r="L163" i="2"/>
  <c r="M163" i="2"/>
  <c r="N163" i="2"/>
  <c r="O163" i="2"/>
  <c r="P163" i="2"/>
  <c r="C167" i="2"/>
  <c r="D167" i="2"/>
  <c r="E167" i="2"/>
  <c r="F167" i="2"/>
  <c r="G167" i="2"/>
  <c r="H167" i="2"/>
  <c r="I167" i="2"/>
  <c r="J167" i="2"/>
  <c r="K167" i="2"/>
  <c r="L167" i="2"/>
  <c r="M167" i="2"/>
  <c r="N167" i="2"/>
  <c r="O167" i="2"/>
  <c r="P167" i="2"/>
  <c r="C169" i="2"/>
  <c r="D169" i="2"/>
  <c r="E169" i="2"/>
  <c r="F169" i="2"/>
  <c r="G169" i="2"/>
  <c r="H169" i="2"/>
  <c r="I169" i="2"/>
  <c r="J169" i="2"/>
  <c r="K169" i="2"/>
  <c r="L169" i="2"/>
  <c r="M169" i="2"/>
  <c r="N169" i="2"/>
  <c r="O169" i="2"/>
  <c r="P169" i="2"/>
  <c r="C171" i="2"/>
  <c r="D171" i="2"/>
  <c r="E171" i="2"/>
  <c r="F171" i="2"/>
  <c r="G171" i="2"/>
  <c r="H171" i="2"/>
  <c r="I171" i="2"/>
  <c r="J171" i="2"/>
  <c r="K171" i="2"/>
  <c r="K172" i="2"/>
  <c r="L171" i="2"/>
  <c r="M171" i="2"/>
  <c r="N171" i="2"/>
  <c r="O171" i="2"/>
  <c r="P171" i="2"/>
  <c r="B171" i="2"/>
  <c r="B169" i="2"/>
  <c r="B167" i="2"/>
  <c r="B165" i="2"/>
  <c r="B163" i="2"/>
  <c r="B161" i="2"/>
  <c r="B157" i="2"/>
  <c r="B155" i="2"/>
  <c r="B151" i="2"/>
  <c r="B149" i="2"/>
  <c r="B111" i="2"/>
  <c r="B75" i="2"/>
  <c r="C24" i="2"/>
  <c r="D24" i="2"/>
  <c r="E24" i="2"/>
  <c r="F24" i="2"/>
  <c r="G24" i="2"/>
  <c r="H24" i="2"/>
  <c r="I24" i="2"/>
  <c r="J24" i="2"/>
  <c r="K24" i="2"/>
  <c r="L24" i="2"/>
  <c r="M24" i="2"/>
  <c r="N24" i="2"/>
  <c r="O24" i="2"/>
  <c r="P24" i="2"/>
  <c r="B24" i="2"/>
  <c r="C34" i="2"/>
  <c r="D34" i="2"/>
  <c r="E34" i="2"/>
  <c r="F34" i="2"/>
  <c r="G34" i="2"/>
  <c r="H34" i="2"/>
  <c r="I34" i="2"/>
  <c r="J34" i="2"/>
  <c r="K34" i="2"/>
  <c r="L34" i="2"/>
  <c r="M34" i="2"/>
  <c r="N34" i="2"/>
  <c r="O34" i="2"/>
  <c r="P34" i="2"/>
  <c r="C36" i="2"/>
  <c r="D36" i="2"/>
  <c r="E36" i="2"/>
  <c r="F36" i="2"/>
  <c r="G36" i="2"/>
  <c r="H36" i="2"/>
  <c r="I36" i="2"/>
  <c r="J36" i="2"/>
  <c r="K36" i="2"/>
  <c r="L36" i="2"/>
  <c r="M36" i="2"/>
  <c r="N36" i="2"/>
  <c r="O36" i="2"/>
  <c r="P36" i="2"/>
  <c r="C38" i="2"/>
  <c r="D38" i="2"/>
  <c r="E38" i="2"/>
  <c r="F38" i="2"/>
  <c r="G38" i="2"/>
  <c r="H38" i="2"/>
  <c r="I38" i="2"/>
  <c r="J38" i="2"/>
  <c r="K38" i="2"/>
  <c r="L38" i="2"/>
  <c r="M38" i="2"/>
  <c r="N38" i="2"/>
  <c r="O38" i="2"/>
  <c r="P38" i="2"/>
  <c r="B38" i="2"/>
  <c r="B36" i="2"/>
  <c r="B34" i="2"/>
  <c r="P216" i="2"/>
  <c r="O216" i="2"/>
  <c r="N216" i="2"/>
  <c r="M216" i="2"/>
  <c r="L216" i="2"/>
  <c r="K216" i="2"/>
  <c r="J216" i="2"/>
  <c r="I216" i="2"/>
  <c r="H216" i="2"/>
  <c r="G216" i="2"/>
  <c r="F216" i="2"/>
  <c r="P214" i="2"/>
  <c r="O214" i="2"/>
  <c r="N214" i="2"/>
  <c r="M214" i="2"/>
  <c r="L214" i="2"/>
  <c r="K214" i="2"/>
  <c r="J214" i="2"/>
  <c r="I214" i="2"/>
  <c r="H214" i="2"/>
  <c r="G214" i="2"/>
  <c r="F214" i="2"/>
  <c r="P212" i="2"/>
  <c r="O212" i="2"/>
  <c r="N212" i="2"/>
  <c r="M212" i="2"/>
  <c r="L212" i="2"/>
  <c r="K212" i="2"/>
  <c r="J212" i="2"/>
  <c r="I212" i="2"/>
  <c r="H212" i="2"/>
  <c r="G212" i="2"/>
  <c r="F212" i="2"/>
  <c r="P210" i="2"/>
  <c r="O210" i="2"/>
  <c r="N210" i="2"/>
  <c r="M210" i="2"/>
  <c r="L210" i="2"/>
  <c r="K210" i="2"/>
  <c r="J210" i="2"/>
  <c r="I210" i="2"/>
  <c r="H210" i="2"/>
  <c r="G210" i="2"/>
  <c r="F210" i="2"/>
  <c r="F217" i="2"/>
  <c r="G217" i="2"/>
  <c r="H217" i="2"/>
  <c r="I217" i="2"/>
  <c r="J217" i="2"/>
  <c r="K217" i="2"/>
  <c r="L217" i="2"/>
  <c r="M217" i="2"/>
  <c r="N217" i="2"/>
  <c r="O217" i="2"/>
  <c r="P217" i="2"/>
  <c r="E217" i="2"/>
  <c r="E205" i="2"/>
  <c r="P176" i="2"/>
  <c r="O176" i="2"/>
  <c r="N176" i="2"/>
  <c r="M176" i="2"/>
  <c r="L176" i="2"/>
  <c r="K176" i="2"/>
  <c r="J176" i="2"/>
  <c r="I176" i="2"/>
  <c r="H176" i="2"/>
  <c r="G176" i="2"/>
  <c r="F176" i="2"/>
  <c r="P138" i="2"/>
  <c r="O138" i="2"/>
  <c r="N138" i="2"/>
  <c r="M138" i="2"/>
  <c r="L138" i="2"/>
  <c r="K138" i="2"/>
  <c r="J138" i="2"/>
  <c r="I138" i="2"/>
  <c r="H138" i="2"/>
  <c r="G138" i="2"/>
  <c r="F138" i="2"/>
  <c r="E138" i="2"/>
  <c r="D138" i="2"/>
  <c r="C138" i="2"/>
  <c r="P142" i="2"/>
  <c r="O142" i="2"/>
  <c r="N142" i="2"/>
  <c r="M142" i="2"/>
  <c r="L142" i="2"/>
  <c r="K142" i="2"/>
  <c r="J142" i="2"/>
  <c r="I142" i="2"/>
  <c r="H142" i="2"/>
  <c r="G142" i="2"/>
  <c r="F142" i="2"/>
  <c r="E142" i="2"/>
  <c r="D142" i="2"/>
  <c r="C142" i="2"/>
  <c r="P140" i="2"/>
  <c r="O140" i="2"/>
  <c r="N140" i="2"/>
  <c r="M140" i="2"/>
  <c r="L140" i="2"/>
  <c r="K140" i="2"/>
  <c r="J140" i="2"/>
  <c r="I140" i="2"/>
  <c r="H140" i="2"/>
  <c r="G140" i="2"/>
  <c r="F140" i="2"/>
  <c r="E140" i="2"/>
  <c r="D140" i="2"/>
  <c r="C140" i="2"/>
  <c r="P136" i="2"/>
  <c r="O136" i="2"/>
  <c r="N136" i="2"/>
  <c r="M136" i="2"/>
  <c r="L136" i="2"/>
  <c r="K136" i="2"/>
  <c r="J136" i="2"/>
  <c r="I136" i="2"/>
  <c r="H136" i="2"/>
  <c r="G136" i="2"/>
  <c r="F136" i="2"/>
  <c r="E136" i="2"/>
  <c r="D136" i="2"/>
  <c r="C136" i="2"/>
  <c r="P134" i="2"/>
  <c r="O134" i="2"/>
  <c r="N134" i="2"/>
  <c r="M134" i="2"/>
  <c r="L134" i="2"/>
  <c r="K134" i="2"/>
  <c r="J134" i="2"/>
  <c r="I134" i="2"/>
  <c r="H134" i="2"/>
  <c r="G134" i="2"/>
  <c r="F134" i="2"/>
  <c r="E134" i="2"/>
  <c r="D134" i="2"/>
  <c r="C134" i="2"/>
  <c r="C129" i="2"/>
  <c r="D129" i="2"/>
  <c r="E129" i="2"/>
  <c r="F129" i="2"/>
  <c r="G129" i="2"/>
  <c r="H129" i="2"/>
  <c r="I129" i="2"/>
  <c r="J129" i="2"/>
  <c r="K129" i="2"/>
  <c r="L129" i="2"/>
  <c r="M129" i="2"/>
  <c r="N129" i="2"/>
  <c r="O129" i="2"/>
  <c r="P129" i="2"/>
  <c r="B129" i="2"/>
  <c r="P128" i="2"/>
  <c r="O128" i="2"/>
  <c r="N128" i="2"/>
  <c r="M128" i="2"/>
  <c r="L128" i="2"/>
  <c r="K128" i="2"/>
  <c r="J128" i="2"/>
  <c r="I128" i="2"/>
  <c r="H128" i="2"/>
  <c r="G128" i="2"/>
  <c r="F128" i="2"/>
  <c r="E128" i="2"/>
  <c r="D128" i="2"/>
  <c r="C128" i="2"/>
  <c r="P126" i="2"/>
  <c r="O126" i="2"/>
  <c r="N126" i="2"/>
  <c r="M126" i="2"/>
  <c r="L126" i="2"/>
  <c r="K126" i="2"/>
  <c r="J126" i="2"/>
  <c r="I126" i="2"/>
  <c r="H126" i="2"/>
  <c r="G126" i="2"/>
  <c r="F126" i="2"/>
  <c r="E126" i="2"/>
  <c r="D126" i="2"/>
  <c r="C126" i="2"/>
  <c r="C111" i="2"/>
  <c r="D111" i="2"/>
  <c r="E111" i="2"/>
  <c r="F111" i="2"/>
  <c r="G111" i="2"/>
  <c r="H111" i="2"/>
  <c r="I111" i="2"/>
  <c r="J111" i="2"/>
  <c r="K111" i="2"/>
  <c r="L111" i="2"/>
  <c r="M111" i="2"/>
  <c r="N111" i="2"/>
  <c r="O111" i="2"/>
  <c r="P111" i="2"/>
  <c r="P110" i="2"/>
  <c r="O110" i="2"/>
  <c r="N110" i="2"/>
  <c r="M110" i="2"/>
  <c r="L110" i="2"/>
  <c r="K110" i="2"/>
  <c r="J110" i="2"/>
  <c r="I110" i="2"/>
  <c r="H110" i="2"/>
  <c r="G110" i="2"/>
  <c r="F110" i="2"/>
  <c r="E110" i="2"/>
  <c r="D110" i="2"/>
  <c r="C110" i="2"/>
  <c r="P108" i="2"/>
  <c r="O108" i="2"/>
  <c r="N108" i="2"/>
  <c r="M108" i="2"/>
  <c r="L108" i="2"/>
  <c r="K108" i="2"/>
  <c r="J108" i="2"/>
  <c r="I108" i="2"/>
  <c r="H108" i="2"/>
  <c r="G108" i="2"/>
  <c r="F108" i="2"/>
  <c r="E108" i="2"/>
  <c r="D108" i="2"/>
  <c r="C108" i="2"/>
  <c r="P106" i="2"/>
  <c r="O106" i="2"/>
  <c r="N106" i="2"/>
  <c r="M106" i="2"/>
  <c r="L106" i="2"/>
  <c r="K106" i="2"/>
  <c r="J106" i="2"/>
  <c r="I106" i="2"/>
  <c r="H106" i="2"/>
  <c r="G106" i="2"/>
  <c r="F106" i="2"/>
  <c r="E106" i="2"/>
  <c r="D106" i="2"/>
  <c r="C106" i="2"/>
  <c r="P104" i="2"/>
  <c r="O104" i="2"/>
  <c r="N104" i="2"/>
  <c r="M104" i="2"/>
  <c r="L104" i="2"/>
  <c r="K104" i="2"/>
  <c r="J104" i="2"/>
  <c r="I104" i="2"/>
  <c r="H104" i="2"/>
  <c r="G104" i="2"/>
  <c r="F104" i="2"/>
  <c r="E104" i="2"/>
  <c r="D104" i="2"/>
  <c r="C104" i="2"/>
  <c r="P96" i="2"/>
  <c r="O96" i="2"/>
  <c r="N96" i="2"/>
  <c r="M96" i="2"/>
  <c r="L96" i="2"/>
  <c r="K96" i="2"/>
  <c r="J96" i="2"/>
  <c r="I96" i="2"/>
  <c r="H96" i="2"/>
  <c r="G96" i="2"/>
  <c r="F96" i="2"/>
  <c r="E96" i="2"/>
  <c r="D96" i="2"/>
  <c r="C96" i="2"/>
  <c r="P98" i="2"/>
  <c r="O98" i="2"/>
  <c r="N98" i="2"/>
  <c r="M98" i="2"/>
  <c r="L98" i="2"/>
  <c r="K98" i="2"/>
  <c r="J98" i="2"/>
  <c r="I98" i="2"/>
  <c r="H98" i="2"/>
  <c r="G98" i="2"/>
  <c r="F98" i="2"/>
  <c r="E98" i="2"/>
  <c r="D98" i="2"/>
  <c r="C98" i="2"/>
  <c r="C99" i="2"/>
  <c r="D99" i="2"/>
  <c r="E99" i="2"/>
  <c r="F99" i="2"/>
  <c r="G99" i="2"/>
  <c r="H99" i="2"/>
  <c r="I99" i="2"/>
  <c r="J99" i="2"/>
  <c r="K99" i="2"/>
  <c r="L99" i="2"/>
  <c r="M99" i="2"/>
  <c r="N99" i="2"/>
  <c r="O99" i="2"/>
  <c r="P99" i="2"/>
  <c r="B99" i="2"/>
  <c r="P88" i="2"/>
  <c r="O88" i="2"/>
  <c r="N88" i="2"/>
  <c r="M88" i="2"/>
  <c r="L88" i="2"/>
  <c r="K88" i="2"/>
  <c r="J88" i="2"/>
  <c r="I88" i="2"/>
  <c r="H88" i="2"/>
  <c r="G88" i="2"/>
  <c r="F88" i="2"/>
  <c r="E88" i="2"/>
  <c r="D88" i="2"/>
  <c r="C88" i="2"/>
  <c r="P90" i="2"/>
  <c r="O90" i="2"/>
  <c r="N90" i="2"/>
  <c r="M90" i="2"/>
  <c r="L90" i="2"/>
  <c r="K90" i="2"/>
  <c r="J90" i="2"/>
  <c r="I90" i="2"/>
  <c r="H90" i="2"/>
  <c r="G90" i="2"/>
  <c r="F90" i="2"/>
  <c r="E90" i="2"/>
  <c r="D90" i="2"/>
  <c r="C90" i="2"/>
  <c r="C91" i="2"/>
  <c r="D91" i="2"/>
  <c r="E91" i="2"/>
  <c r="F91" i="2"/>
  <c r="G91" i="2"/>
  <c r="H91" i="2"/>
  <c r="I91" i="2"/>
  <c r="J91" i="2"/>
  <c r="K91" i="2"/>
  <c r="L91" i="2"/>
  <c r="M91" i="2"/>
  <c r="N91" i="2"/>
  <c r="O91" i="2"/>
  <c r="P91" i="2"/>
  <c r="B91" i="2"/>
  <c r="C83" i="2"/>
  <c r="D83" i="2"/>
  <c r="E83" i="2"/>
  <c r="F83" i="2"/>
  <c r="G83" i="2"/>
  <c r="H83" i="2"/>
  <c r="I83" i="2"/>
  <c r="J83" i="2"/>
  <c r="K83" i="2"/>
  <c r="L83" i="2"/>
  <c r="M83" i="2"/>
  <c r="N83" i="2"/>
  <c r="O83" i="2"/>
  <c r="P83" i="2"/>
  <c r="B83" i="2"/>
  <c r="P82" i="2"/>
  <c r="O82" i="2"/>
  <c r="N82" i="2"/>
  <c r="M82" i="2"/>
  <c r="L82" i="2"/>
  <c r="K82" i="2"/>
  <c r="J82" i="2"/>
  <c r="I82" i="2"/>
  <c r="H82" i="2"/>
  <c r="G82" i="2"/>
  <c r="F82" i="2"/>
  <c r="E82" i="2"/>
  <c r="D82" i="2"/>
  <c r="C82" i="2"/>
  <c r="P80" i="2"/>
  <c r="O80" i="2"/>
  <c r="N80" i="2"/>
  <c r="M80" i="2"/>
  <c r="L80" i="2"/>
  <c r="K80" i="2"/>
  <c r="J80" i="2"/>
  <c r="I80" i="2"/>
  <c r="H80" i="2"/>
  <c r="G80" i="2"/>
  <c r="F80" i="2"/>
  <c r="E80" i="2"/>
  <c r="D80" i="2"/>
  <c r="C80" i="2"/>
  <c r="P74" i="2"/>
  <c r="O74" i="2"/>
  <c r="N74" i="2"/>
  <c r="M74" i="2"/>
  <c r="L74" i="2"/>
  <c r="K74" i="2"/>
  <c r="J74" i="2"/>
  <c r="I74" i="2"/>
  <c r="H74" i="2"/>
  <c r="G74" i="2"/>
  <c r="F74" i="2"/>
  <c r="E74" i="2"/>
  <c r="D74" i="2"/>
  <c r="C74" i="2"/>
  <c r="P72" i="2"/>
  <c r="O72" i="2"/>
  <c r="N72" i="2"/>
  <c r="M72" i="2"/>
  <c r="L72" i="2"/>
  <c r="K72" i="2"/>
  <c r="J72" i="2"/>
  <c r="I72" i="2"/>
  <c r="H72" i="2"/>
  <c r="G72" i="2"/>
  <c r="F72" i="2"/>
  <c r="E72" i="2"/>
  <c r="D72" i="2"/>
  <c r="C72" i="2"/>
  <c r="P70" i="2"/>
  <c r="O70" i="2"/>
  <c r="N70" i="2"/>
  <c r="M70" i="2"/>
  <c r="L70" i="2"/>
  <c r="K70" i="2"/>
  <c r="J70" i="2"/>
  <c r="I70" i="2"/>
  <c r="H70" i="2"/>
  <c r="G70" i="2"/>
  <c r="F70" i="2"/>
  <c r="E70" i="2"/>
  <c r="D70" i="2"/>
  <c r="C70" i="2"/>
  <c r="C75" i="2"/>
  <c r="C76" i="2"/>
  <c r="D75" i="2"/>
  <c r="E75" i="2"/>
  <c r="F75" i="2"/>
  <c r="G75" i="2"/>
  <c r="H75" i="2"/>
  <c r="I75" i="2"/>
  <c r="J75" i="2"/>
  <c r="K75" i="2"/>
  <c r="L75" i="2"/>
  <c r="M75" i="2"/>
  <c r="N75" i="2"/>
  <c r="O75" i="2"/>
  <c r="P75" i="2"/>
  <c r="B55" i="2"/>
  <c r="D55" i="2"/>
  <c r="E55" i="2"/>
  <c r="F55" i="2"/>
  <c r="G55" i="2"/>
  <c r="H55" i="2"/>
  <c r="I55" i="2"/>
  <c r="J55" i="2"/>
  <c r="K55" i="2"/>
  <c r="L55" i="2"/>
  <c r="M55" i="2"/>
  <c r="N55" i="2"/>
  <c r="O55" i="2"/>
  <c r="P55" i="2"/>
  <c r="C55" i="2"/>
  <c r="P54" i="2"/>
  <c r="O54" i="2"/>
  <c r="N54" i="2"/>
  <c r="M54" i="2"/>
  <c r="L54" i="2"/>
  <c r="K54" i="2"/>
  <c r="J54" i="2"/>
  <c r="I54" i="2"/>
  <c r="H54" i="2"/>
  <c r="G54" i="2"/>
  <c r="F54" i="2"/>
  <c r="E54" i="2"/>
  <c r="D54" i="2"/>
  <c r="C54" i="2"/>
  <c r="P52" i="2"/>
  <c r="O52" i="2"/>
  <c r="N52" i="2"/>
  <c r="M52" i="2"/>
  <c r="L52" i="2"/>
  <c r="K52" i="2"/>
  <c r="J52" i="2"/>
  <c r="I52" i="2"/>
  <c r="H52" i="2"/>
  <c r="G52" i="2"/>
  <c r="F52" i="2"/>
  <c r="E52" i="2"/>
  <c r="D52" i="2"/>
  <c r="C52" i="2"/>
  <c r="P50" i="2"/>
  <c r="O50" i="2"/>
  <c r="N50" i="2"/>
  <c r="M50" i="2"/>
  <c r="L50" i="2"/>
  <c r="K50" i="2"/>
  <c r="J50" i="2"/>
  <c r="I50" i="2"/>
  <c r="H50" i="2"/>
  <c r="G50" i="2"/>
  <c r="F50" i="2"/>
  <c r="E50" i="2"/>
  <c r="D50" i="2"/>
  <c r="C50" i="2"/>
  <c r="D48" i="2"/>
  <c r="E48" i="2"/>
  <c r="F48" i="2"/>
  <c r="G48" i="2"/>
  <c r="H48" i="2"/>
  <c r="I48" i="2"/>
  <c r="J48" i="2"/>
  <c r="K48" i="2"/>
  <c r="L48" i="2"/>
  <c r="M48" i="2"/>
  <c r="N48" i="2"/>
  <c r="O48" i="2"/>
  <c r="P48" i="2"/>
  <c r="C48" i="2"/>
  <c r="H12" i="2"/>
  <c r="I12" i="2"/>
  <c r="J12" i="2"/>
  <c r="L12" i="2"/>
  <c r="M12" i="2"/>
  <c r="O12" i="2"/>
  <c r="P12" i="2"/>
  <c r="N12" i="2"/>
  <c r="K12" i="2"/>
  <c r="G12" i="2"/>
  <c r="F12" i="2"/>
  <c r="E12" i="2"/>
  <c r="D12" i="2"/>
  <c r="C12" i="2"/>
  <c r="P172" i="6"/>
  <c r="L130" i="9"/>
  <c r="J152" i="9"/>
  <c r="P170" i="9"/>
  <c r="H172" i="6"/>
  <c r="H84" i="8"/>
  <c r="B153" i="11"/>
  <c r="J130" i="9"/>
  <c r="K172" i="9"/>
  <c r="P84" i="9"/>
  <c r="G165" i="9"/>
  <c r="D38" i="12"/>
  <c r="D63" i="12"/>
  <c r="H162" i="2"/>
  <c r="I165" i="9"/>
  <c r="F153" i="10"/>
  <c r="N3" i="6"/>
  <c r="C168" i="9"/>
  <c r="L218" i="9"/>
  <c r="J43" i="9"/>
  <c r="H84" i="9"/>
  <c r="D130" i="9"/>
  <c r="K168" i="9"/>
  <c r="H170" i="9"/>
  <c r="M172" i="6"/>
  <c r="O156" i="8"/>
  <c r="I156" i="10"/>
  <c r="O84" i="9"/>
  <c r="B165" i="9"/>
  <c r="B147" i="10"/>
  <c r="K153" i="10"/>
  <c r="L158" i="10"/>
  <c r="H165" i="8"/>
  <c r="G147" i="9"/>
  <c r="O147" i="9"/>
  <c r="C159" i="9"/>
  <c r="I43" i="10"/>
  <c r="L165" i="2"/>
  <c r="L153" i="2"/>
  <c r="G172" i="6"/>
  <c r="O172" i="6"/>
  <c r="H118" i="4"/>
  <c r="G116" i="4"/>
  <c r="N56" i="2"/>
  <c r="P92" i="2"/>
  <c r="M112" i="2"/>
  <c r="H130" i="2"/>
  <c r="F65" i="6"/>
  <c r="P43" i="9"/>
  <c r="S43" i="9"/>
  <c r="H159" i="11"/>
  <c r="E130" i="9"/>
  <c r="J120" i="4"/>
  <c r="C153" i="4"/>
  <c r="N40" i="6"/>
  <c r="N65" i="6"/>
  <c r="C130" i="8"/>
  <c r="I43" i="9"/>
  <c r="M130" i="9"/>
  <c r="E25" i="6"/>
  <c r="L159" i="6"/>
  <c r="M164" i="6"/>
  <c r="F168" i="6"/>
  <c r="K56" i="9"/>
  <c r="B147" i="9"/>
  <c r="K152" i="9"/>
  <c r="P168" i="9"/>
  <c r="K218" i="9"/>
  <c r="N147" i="11"/>
  <c r="O120" i="4"/>
  <c r="N120" i="4"/>
  <c r="F120" i="4"/>
  <c r="M118" i="4"/>
  <c r="E118" i="4"/>
  <c r="L116" i="4"/>
  <c r="D116" i="4"/>
  <c r="J165" i="9"/>
  <c r="J166" i="9"/>
  <c r="K159" i="9"/>
  <c r="H156" i="9"/>
  <c r="M159" i="9"/>
  <c r="N164" i="9"/>
  <c r="K153" i="9"/>
  <c r="E92" i="9"/>
  <c r="C172" i="10"/>
  <c r="H172" i="10"/>
  <c r="K172" i="10"/>
  <c r="F165" i="10"/>
  <c r="I165" i="10"/>
  <c r="N165" i="10"/>
  <c r="C165" i="10"/>
  <c r="C130" i="10"/>
  <c r="D168" i="10"/>
  <c r="R167" i="10"/>
  <c r="B43" i="10"/>
  <c r="E162" i="10"/>
  <c r="E153" i="10"/>
  <c r="L156" i="10"/>
  <c r="D156" i="10"/>
  <c r="H164" i="10"/>
  <c r="M159" i="10"/>
  <c r="P164" i="10"/>
  <c r="N153" i="10"/>
  <c r="H153" i="10"/>
  <c r="I158" i="10"/>
  <c r="C153" i="10"/>
  <c r="F147" i="10"/>
  <c r="G148" i="10"/>
  <c r="G152" i="10"/>
  <c r="K147" i="10"/>
  <c r="O152" i="10"/>
  <c r="C147" i="10"/>
  <c r="C148" i="10"/>
  <c r="G147" i="10"/>
  <c r="N147" i="10"/>
  <c r="G84" i="10"/>
  <c r="O84" i="10"/>
  <c r="O100" i="11"/>
  <c r="G100" i="11"/>
  <c r="G152" i="11"/>
  <c r="H147" i="11"/>
  <c r="F147" i="11"/>
  <c r="G150" i="11"/>
  <c r="K165" i="6"/>
  <c r="M165" i="6"/>
  <c r="O165" i="6"/>
  <c r="E168" i="6"/>
  <c r="N168" i="6"/>
  <c r="H120" i="6"/>
  <c r="F116" i="6"/>
  <c r="C112" i="6"/>
  <c r="K112" i="6"/>
  <c r="B159" i="6"/>
  <c r="J162" i="6"/>
  <c r="O162" i="6"/>
  <c r="C100" i="6"/>
  <c r="D100" i="6"/>
  <c r="K156" i="6"/>
  <c r="L100" i="6"/>
  <c r="S163" i="6"/>
  <c r="D159" i="6"/>
  <c r="G159" i="6"/>
  <c r="D164" i="6"/>
  <c r="K158" i="6"/>
  <c r="G153" i="6"/>
  <c r="H158" i="6"/>
  <c r="O153" i="6"/>
  <c r="L153" i="6"/>
  <c r="B153" i="6"/>
  <c r="C158" i="6"/>
  <c r="D147" i="6"/>
  <c r="P84" i="6"/>
  <c r="H84" i="6"/>
  <c r="K84" i="6"/>
  <c r="M150" i="6"/>
  <c r="O56" i="6"/>
  <c r="D56" i="6"/>
  <c r="D65" i="6"/>
  <c r="G56" i="6"/>
  <c r="I43" i="6"/>
  <c r="J159" i="8"/>
  <c r="C159" i="8"/>
  <c r="L158" i="8"/>
  <c r="M153" i="8"/>
  <c r="M147" i="8"/>
  <c r="O92" i="9"/>
  <c r="N76" i="9"/>
  <c r="R155" i="9"/>
  <c r="G92" i="9"/>
  <c r="F76" i="9"/>
  <c r="P153" i="9"/>
  <c r="B153" i="9"/>
  <c r="M92" i="9"/>
  <c r="C153" i="9"/>
  <c r="F164" i="9"/>
  <c r="F130" i="8"/>
  <c r="B43" i="8"/>
  <c r="P84" i="8"/>
  <c r="C56" i="8"/>
  <c r="I168" i="8"/>
  <c r="M162" i="8"/>
  <c r="P130" i="8"/>
  <c r="O120" i="8"/>
  <c r="G150" i="8"/>
  <c r="D158" i="8"/>
  <c r="E153" i="8"/>
  <c r="K165" i="8"/>
  <c r="I165" i="8"/>
  <c r="G156" i="8"/>
  <c r="E162" i="8"/>
  <c r="H120" i="8"/>
  <c r="N130" i="8"/>
  <c r="O150" i="8"/>
  <c r="B159" i="8"/>
  <c r="C165" i="8"/>
  <c r="H206" i="8"/>
  <c r="O206" i="9"/>
  <c r="G206" i="9"/>
  <c r="P39" i="6"/>
  <c r="C38" i="12"/>
  <c r="O118" i="6"/>
  <c r="N25" i="6"/>
  <c r="M25" i="6"/>
  <c r="N35" i="6"/>
  <c r="O25" i="6"/>
  <c r="F25" i="6"/>
  <c r="G25" i="6"/>
  <c r="G120" i="8"/>
  <c r="G118" i="8"/>
  <c r="R36" i="8"/>
  <c r="F118" i="8"/>
  <c r="R34" i="8"/>
  <c r="R38" i="11"/>
  <c r="S36" i="11"/>
  <c r="J25" i="11"/>
  <c r="M116" i="11"/>
  <c r="O38" i="12"/>
  <c r="O30" i="12"/>
  <c r="G120" i="4"/>
  <c r="N38" i="12"/>
  <c r="N63" i="12"/>
  <c r="P118" i="4"/>
  <c r="O116" i="4"/>
  <c r="C25" i="10"/>
  <c r="E36" i="12"/>
  <c r="E29" i="12"/>
  <c r="M61" i="10"/>
  <c r="M62" i="10"/>
  <c r="R36" i="9"/>
  <c r="M36" i="12"/>
  <c r="M29" i="12"/>
  <c r="K36" i="12"/>
  <c r="K29" i="12"/>
  <c r="N118" i="9"/>
  <c r="M38" i="12"/>
  <c r="K38" i="12"/>
  <c r="K30" i="12"/>
  <c r="L36" i="12"/>
  <c r="L29" i="12"/>
  <c r="G25" i="9"/>
  <c r="J34" i="12"/>
  <c r="J28" i="12"/>
  <c r="K25" i="9"/>
  <c r="I34" i="12"/>
  <c r="I28" i="12"/>
  <c r="O25" i="9"/>
  <c r="P35" i="9"/>
  <c r="C25" i="9"/>
  <c r="F63" i="2"/>
  <c r="F38" i="12"/>
  <c r="L119" i="2"/>
  <c r="L38" i="12"/>
  <c r="D30" i="12"/>
  <c r="E63" i="2"/>
  <c r="E38" i="12"/>
  <c r="J63" i="2"/>
  <c r="J64" i="2"/>
  <c r="J38" i="12"/>
  <c r="B63" i="2"/>
  <c r="B38" i="12"/>
  <c r="I63" i="2"/>
  <c r="I38" i="12"/>
  <c r="P119" i="2"/>
  <c r="P38" i="12"/>
  <c r="H119" i="2"/>
  <c r="H38" i="12"/>
  <c r="G119" i="2"/>
  <c r="G38" i="12"/>
  <c r="C61" i="2"/>
  <c r="C36" i="12"/>
  <c r="D61" i="2"/>
  <c r="D36" i="12"/>
  <c r="J117" i="2"/>
  <c r="J36" i="12"/>
  <c r="I61" i="2"/>
  <c r="I36" i="12"/>
  <c r="B61" i="2"/>
  <c r="B36" i="12"/>
  <c r="P61" i="2"/>
  <c r="P36" i="12"/>
  <c r="H61" i="2"/>
  <c r="H36" i="12"/>
  <c r="O117" i="2"/>
  <c r="O36" i="12"/>
  <c r="G61" i="2"/>
  <c r="G36" i="12"/>
  <c r="N61" i="2"/>
  <c r="N36" i="12"/>
  <c r="F61" i="2"/>
  <c r="F36" i="12"/>
  <c r="L59" i="2"/>
  <c r="L34" i="12"/>
  <c r="D35" i="2"/>
  <c r="D34" i="12"/>
  <c r="K59" i="2"/>
  <c r="K34" i="12"/>
  <c r="C115" i="2"/>
  <c r="C34" i="12"/>
  <c r="P59" i="2"/>
  <c r="P34" i="12"/>
  <c r="H115" i="2"/>
  <c r="H34" i="12"/>
  <c r="M59" i="2"/>
  <c r="M34" i="12"/>
  <c r="E115" i="2"/>
  <c r="E34" i="12"/>
  <c r="B59" i="2"/>
  <c r="B34" i="12"/>
  <c r="O59" i="2"/>
  <c r="O34" i="12"/>
  <c r="G115" i="2"/>
  <c r="G34" i="12"/>
  <c r="N59" i="2"/>
  <c r="O60" i="2"/>
  <c r="N34" i="12"/>
  <c r="F115" i="2"/>
  <c r="F34" i="12"/>
  <c r="G218" i="11"/>
  <c r="O218" i="11"/>
  <c r="H165" i="11"/>
  <c r="E130" i="11"/>
  <c r="M130" i="11"/>
  <c r="C43" i="11"/>
  <c r="K43" i="11"/>
  <c r="B43" i="11"/>
  <c r="C44" i="11"/>
  <c r="J43" i="11"/>
  <c r="E116" i="9"/>
  <c r="F118" i="9"/>
  <c r="C100" i="11"/>
  <c r="M92" i="11"/>
  <c r="C147" i="11"/>
  <c r="O152" i="11"/>
  <c r="K147" i="11"/>
  <c r="K148" i="11"/>
  <c r="I43" i="11"/>
  <c r="E116" i="11"/>
  <c r="M218" i="10"/>
  <c r="M112" i="10"/>
  <c r="E112" i="10"/>
  <c r="D43" i="10"/>
  <c r="L170" i="10"/>
  <c r="D170" i="10"/>
  <c r="H130" i="10"/>
  <c r="E168" i="10"/>
  <c r="M168" i="10"/>
  <c r="H168" i="10"/>
  <c r="J162" i="10"/>
  <c r="I100" i="10"/>
  <c r="F92" i="10"/>
  <c r="N92" i="10"/>
  <c r="C164" i="10"/>
  <c r="K164" i="10"/>
  <c r="H40" i="10"/>
  <c r="H121" i="10"/>
  <c r="J3" i="10"/>
  <c r="I218" i="9"/>
  <c r="O218" i="9"/>
  <c r="G218" i="9"/>
  <c r="G172" i="9"/>
  <c r="O172" i="9"/>
  <c r="E165" i="9"/>
  <c r="F170" i="9"/>
  <c r="D165" i="9"/>
  <c r="E166" i="9"/>
  <c r="N170" i="9"/>
  <c r="H130" i="9"/>
  <c r="F168" i="9"/>
  <c r="N168" i="9"/>
  <c r="C43" i="9"/>
  <c r="C44" i="9"/>
  <c r="J112" i="9"/>
  <c r="F43" i="9"/>
  <c r="N43" i="9"/>
  <c r="G43" i="9"/>
  <c r="O43" i="9"/>
  <c r="C162" i="9"/>
  <c r="H100" i="9"/>
  <c r="P100" i="9"/>
  <c r="E162" i="9"/>
  <c r="M162" i="9"/>
  <c r="K162" i="9"/>
  <c r="K100" i="9"/>
  <c r="E159" i="9"/>
  <c r="J100" i="9"/>
  <c r="C100" i="9"/>
  <c r="J153" i="9"/>
  <c r="P92" i="9"/>
  <c r="D159" i="9"/>
  <c r="L159" i="9"/>
  <c r="M160" i="9"/>
  <c r="H92" i="9"/>
  <c r="L164" i="9"/>
  <c r="F159" i="9"/>
  <c r="N159" i="9"/>
  <c r="N160" i="9"/>
  <c r="G164" i="9"/>
  <c r="O164" i="9"/>
  <c r="D164" i="9"/>
  <c r="F153" i="9"/>
  <c r="H158" i="9"/>
  <c r="P158" i="9"/>
  <c r="N153" i="9"/>
  <c r="R83" i="9"/>
  <c r="H152" i="9"/>
  <c r="H147" i="9"/>
  <c r="H148" i="9"/>
  <c r="E150" i="9"/>
  <c r="M150" i="9"/>
  <c r="R149" i="9"/>
  <c r="C76" i="9"/>
  <c r="H76" i="9"/>
  <c r="K76" i="9"/>
  <c r="K43" i="9"/>
  <c r="N56" i="9"/>
  <c r="E43" i="9"/>
  <c r="R55" i="9"/>
  <c r="M43" i="9"/>
  <c r="N44" i="9"/>
  <c r="H56" i="9"/>
  <c r="S34" i="11"/>
  <c r="I147" i="11"/>
  <c r="I164" i="11"/>
  <c r="B165" i="11"/>
  <c r="J165" i="11"/>
  <c r="L218" i="11"/>
  <c r="K130" i="10"/>
  <c r="H43" i="10"/>
  <c r="P43" i="10"/>
  <c r="D112" i="10"/>
  <c r="D150" i="10"/>
  <c r="L150" i="10"/>
  <c r="G218" i="10"/>
  <c r="O218" i="10"/>
  <c r="H3" i="10"/>
  <c r="P3" i="10"/>
  <c r="I25" i="10"/>
  <c r="J56" i="10"/>
  <c r="P168" i="10"/>
  <c r="S129" i="10"/>
  <c r="E56" i="10"/>
  <c r="M56" i="10"/>
  <c r="R151" i="10"/>
  <c r="C156" i="10"/>
  <c r="J153" i="10"/>
  <c r="D159" i="10"/>
  <c r="L159" i="10"/>
  <c r="F40" i="9"/>
  <c r="F121" i="9"/>
  <c r="J158" i="9"/>
  <c r="E172" i="9"/>
  <c r="K44" i="9"/>
  <c r="C112" i="9"/>
  <c r="K112" i="9"/>
  <c r="H153" i="9"/>
  <c r="C147" i="9"/>
  <c r="C148" i="9"/>
  <c r="K40" i="9"/>
  <c r="K65" i="9"/>
  <c r="J76" i="9"/>
  <c r="C84" i="9"/>
  <c r="K84" i="9"/>
  <c r="E100" i="9"/>
  <c r="M100" i="9"/>
  <c r="G130" i="9"/>
  <c r="O130" i="9"/>
  <c r="D150" i="9"/>
  <c r="L150" i="9"/>
  <c r="E152" i="9"/>
  <c r="M152" i="9"/>
  <c r="C158" i="9"/>
  <c r="K158" i="9"/>
  <c r="H162" i="9"/>
  <c r="P162" i="9"/>
  <c r="I164" i="9"/>
  <c r="C165" i="9"/>
  <c r="M168" i="9"/>
  <c r="E170" i="9"/>
  <c r="M170" i="9"/>
  <c r="F172" i="9"/>
  <c r="N172" i="9"/>
  <c r="F206" i="9"/>
  <c r="N206" i="9"/>
  <c r="F218" i="9"/>
  <c r="N218" i="9"/>
  <c r="N40" i="9"/>
  <c r="N121" i="9"/>
  <c r="I153" i="9"/>
  <c r="G159" i="9"/>
  <c r="L165" i="9"/>
  <c r="M172" i="9"/>
  <c r="M206" i="9"/>
  <c r="D76" i="9"/>
  <c r="L76" i="9"/>
  <c r="E84" i="9"/>
  <c r="M84" i="9"/>
  <c r="G100" i="9"/>
  <c r="O100" i="9"/>
  <c r="H112" i="9"/>
  <c r="P112" i="9"/>
  <c r="F147" i="9"/>
  <c r="N147" i="9"/>
  <c r="O152" i="9"/>
  <c r="D153" i="9"/>
  <c r="E158" i="9"/>
  <c r="M158" i="9"/>
  <c r="K164" i="9"/>
  <c r="K165" i="9"/>
  <c r="G170" i="9"/>
  <c r="O170" i="9"/>
  <c r="H172" i="9"/>
  <c r="S171" i="9"/>
  <c r="M25" i="9"/>
  <c r="I25" i="9"/>
  <c r="H43" i="9"/>
  <c r="P152" i="9"/>
  <c r="M165" i="9"/>
  <c r="E25" i="9"/>
  <c r="K147" i="9"/>
  <c r="K148" i="9"/>
  <c r="O159" i="9"/>
  <c r="C130" i="9"/>
  <c r="K130" i="9"/>
  <c r="J147" i="9"/>
  <c r="J148" i="9"/>
  <c r="I152" i="9"/>
  <c r="N165" i="9"/>
  <c r="R167" i="9"/>
  <c r="J172" i="9"/>
  <c r="E25" i="8"/>
  <c r="M25" i="8"/>
  <c r="F35" i="8"/>
  <c r="N35" i="8"/>
  <c r="L92" i="8"/>
  <c r="H153" i="8"/>
  <c r="S161" i="8"/>
  <c r="O43" i="8"/>
  <c r="F92" i="8"/>
  <c r="N92" i="8"/>
  <c r="B153" i="8"/>
  <c r="C164" i="8"/>
  <c r="K164" i="8"/>
  <c r="J165" i="8"/>
  <c r="J166" i="8"/>
  <c r="L172" i="8"/>
  <c r="H25" i="8"/>
  <c r="S24" i="8"/>
  <c r="C40" i="8"/>
  <c r="C121" i="8"/>
  <c r="G92" i="8"/>
  <c r="O92" i="8"/>
  <c r="S99" i="8"/>
  <c r="N115" i="8"/>
  <c r="H130" i="8"/>
  <c r="B40" i="8"/>
  <c r="B121" i="8"/>
  <c r="D40" i="8"/>
  <c r="D121" i="8"/>
  <c r="F59" i="8"/>
  <c r="G60" i="8"/>
  <c r="O115" i="8"/>
  <c r="B147" i="8"/>
  <c r="J147" i="8"/>
  <c r="D156" i="8"/>
  <c r="E170" i="8"/>
  <c r="M170" i="8"/>
  <c r="F206" i="8"/>
  <c r="O206" i="8"/>
  <c r="C63" i="8"/>
  <c r="D64" i="8"/>
  <c r="C25" i="8"/>
  <c r="K25" i="8"/>
  <c r="F63" i="8"/>
  <c r="F64" i="8"/>
  <c r="C100" i="8"/>
  <c r="L25" i="6"/>
  <c r="F37" i="6"/>
  <c r="G92" i="6"/>
  <c r="O92" i="6"/>
  <c r="S99" i="6"/>
  <c r="K117" i="6"/>
  <c r="L118" i="6"/>
  <c r="I147" i="6"/>
  <c r="I156" i="6"/>
  <c r="R167" i="6"/>
  <c r="M56" i="6"/>
  <c r="I165" i="6"/>
  <c r="E165" i="6"/>
  <c r="P162" i="6"/>
  <c r="D43" i="6"/>
  <c r="N59" i="6"/>
  <c r="O60" i="6"/>
  <c r="M168" i="6"/>
  <c r="K25" i="6"/>
  <c r="F39" i="6"/>
  <c r="P147" i="6"/>
  <c r="P63" i="6"/>
  <c r="S63" i="6"/>
  <c r="O170" i="6"/>
  <c r="O168" i="2"/>
  <c r="M164" i="2"/>
  <c r="K159" i="2"/>
  <c r="K160" i="2"/>
  <c r="N39" i="2"/>
  <c r="L37" i="2"/>
  <c r="J35" i="2"/>
  <c r="L164" i="2"/>
  <c r="D164" i="2"/>
  <c r="H158" i="2"/>
  <c r="L56" i="2"/>
  <c r="F130" i="2"/>
  <c r="B147" i="2"/>
  <c r="G158" i="2"/>
  <c r="M153" i="2"/>
  <c r="J39" i="9"/>
  <c r="H35" i="9"/>
  <c r="O3" i="9"/>
  <c r="H3" i="9"/>
  <c r="D3" i="9"/>
  <c r="E3" i="9"/>
  <c r="F3" i="9"/>
  <c r="N3" i="9"/>
  <c r="M3" i="9"/>
  <c r="G3" i="9"/>
  <c r="I3" i="9"/>
  <c r="L3" i="9"/>
  <c r="J3" i="9"/>
  <c r="G218" i="8"/>
  <c r="L218" i="8"/>
  <c r="O218" i="8"/>
  <c r="I218" i="8"/>
  <c r="G206" i="8"/>
  <c r="S205" i="8"/>
  <c r="N206" i="8"/>
  <c r="K206" i="8"/>
  <c r="G172" i="8"/>
  <c r="J172" i="8"/>
  <c r="C172" i="8"/>
  <c r="J130" i="8"/>
  <c r="K130" i="8"/>
  <c r="F165" i="8"/>
  <c r="N165" i="8"/>
  <c r="O170" i="8"/>
  <c r="O165" i="8"/>
  <c r="R169" i="8"/>
  <c r="E165" i="8"/>
  <c r="B165" i="8"/>
  <c r="G168" i="8"/>
  <c r="M168" i="8"/>
  <c r="E168" i="8"/>
  <c r="O112" i="8"/>
  <c r="C43" i="8"/>
  <c r="K43" i="8"/>
  <c r="D112" i="8"/>
  <c r="L112" i="8"/>
  <c r="E112" i="8"/>
  <c r="E43" i="8"/>
  <c r="M43" i="8"/>
  <c r="F112" i="8"/>
  <c r="N112" i="8"/>
  <c r="G112" i="8"/>
  <c r="D43" i="8"/>
  <c r="M112" i="8"/>
  <c r="J112" i="8"/>
  <c r="E159" i="8"/>
  <c r="O162" i="8"/>
  <c r="M100" i="8"/>
  <c r="E100" i="8"/>
  <c r="F162" i="8"/>
  <c r="F100" i="8"/>
  <c r="N100" i="8"/>
  <c r="G162" i="8"/>
  <c r="J156" i="8"/>
  <c r="K100" i="8"/>
  <c r="H100" i="8"/>
  <c r="J100" i="8"/>
  <c r="G153" i="8"/>
  <c r="I153" i="8"/>
  <c r="R99" i="8"/>
  <c r="L100" i="8"/>
  <c r="C156" i="8"/>
  <c r="K159" i="8"/>
  <c r="H164" i="8"/>
  <c r="N164" i="8"/>
  <c r="N159" i="8"/>
  <c r="F164" i="8"/>
  <c r="I218" i="6"/>
  <c r="K218" i="6"/>
  <c r="L218" i="6"/>
  <c r="K92" i="8"/>
  <c r="D92" i="8"/>
  <c r="E158" i="8"/>
  <c r="C92" i="8"/>
  <c r="R91" i="8"/>
  <c r="R83" i="8"/>
  <c r="H152" i="8"/>
  <c r="P152" i="8"/>
  <c r="D147" i="8"/>
  <c r="L147" i="8"/>
  <c r="E152" i="8"/>
  <c r="M152" i="8"/>
  <c r="K84" i="8"/>
  <c r="E147" i="8"/>
  <c r="G206" i="6"/>
  <c r="F84" i="8"/>
  <c r="N84" i="8"/>
  <c r="I84" i="8"/>
  <c r="O147" i="8"/>
  <c r="H150" i="8"/>
  <c r="P150" i="8"/>
  <c r="C84" i="8"/>
  <c r="P206" i="6"/>
  <c r="L206" i="6"/>
  <c r="O206" i="6"/>
  <c r="H206" i="6"/>
  <c r="P56" i="8"/>
  <c r="N62" i="8"/>
  <c r="L56" i="8"/>
  <c r="D172" i="6"/>
  <c r="G3" i="8"/>
  <c r="O3" i="8"/>
  <c r="L3" i="8"/>
  <c r="D3" i="8"/>
  <c r="J3" i="8"/>
  <c r="C170" i="6"/>
  <c r="K170" i="6"/>
  <c r="C165" i="6"/>
  <c r="D170" i="6"/>
  <c r="F170" i="6"/>
  <c r="N170" i="6"/>
  <c r="G170" i="6"/>
  <c r="G165" i="6"/>
  <c r="D130" i="6"/>
  <c r="L130" i="6"/>
  <c r="J165" i="6"/>
  <c r="F112" i="6"/>
  <c r="I112" i="6"/>
  <c r="D112" i="6"/>
  <c r="L112" i="6"/>
  <c r="R117" i="6"/>
  <c r="C43" i="6"/>
  <c r="K43" i="6"/>
  <c r="L43" i="6"/>
  <c r="R111" i="6"/>
  <c r="H100" i="6"/>
  <c r="H162" i="6"/>
  <c r="O159" i="6"/>
  <c r="F162" i="6"/>
  <c r="F159" i="6"/>
  <c r="J159" i="6"/>
  <c r="I159" i="6"/>
  <c r="C162" i="6"/>
  <c r="K162" i="6"/>
  <c r="N162" i="6"/>
  <c r="N159" i="6"/>
  <c r="G100" i="6"/>
  <c r="O100" i="6"/>
  <c r="G156" i="6"/>
  <c r="O156" i="6"/>
  <c r="P153" i="6"/>
  <c r="P154" i="6"/>
  <c r="I153" i="6"/>
  <c r="I154" i="6"/>
  <c r="J100" i="6"/>
  <c r="J156" i="6"/>
  <c r="C156" i="6"/>
  <c r="D156" i="6"/>
  <c r="E156" i="6"/>
  <c r="E164" i="6"/>
  <c r="G164" i="6"/>
  <c r="R91" i="6"/>
  <c r="H164" i="6"/>
  <c r="R163" i="6"/>
  <c r="O164" i="6"/>
  <c r="L164" i="6"/>
  <c r="P130" i="4"/>
  <c r="H153" i="6"/>
  <c r="D92" i="6"/>
  <c r="J158" i="6"/>
  <c r="N147" i="6"/>
  <c r="G147" i="6"/>
  <c r="O147" i="6"/>
  <c r="P152" i="6"/>
  <c r="F84" i="6"/>
  <c r="C152" i="6"/>
  <c r="C84" i="6"/>
  <c r="R83" i="6"/>
  <c r="R149" i="6"/>
  <c r="L147" i="6"/>
  <c r="D150" i="6"/>
  <c r="L150" i="6"/>
  <c r="H56" i="6"/>
  <c r="O43" i="6"/>
  <c r="M39" i="4"/>
  <c r="E39" i="4"/>
  <c r="N100" i="4"/>
  <c r="F100" i="4"/>
  <c r="F40" i="4"/>
  <c r="F121" i="4"/>
  <c r="P224" i="4"/>
  <c r="H224" i="4"/>
  <c r="J56" i="6"/>
  <c r="F56" i="6"/>
  <c r="C178" i="4"/>
  <c r="J176" i="4"/>
  <c r="L158" i="4"/>
  <c r="D156" i="4"/>
  <c r="H130" i="4"/>
  <c r="P162" i="4"/>
  <c r="I37" i="4"/>
  <c r="N25" i="4"/>
  <c r="I43" i="4"/>
  <c r="K158" i="4"/>
  <c r="F158" i="4"/>
  <c r="B43" i="4"/>
  <c r="G40" i="6"/>
  <c r="G121" i="6"/>
  <c r="F61" i="6"/>
  <c r="F62" i="6"/>
  <c r="M130" i="4"/>
  <c r="J168" i="4"/>
  <c r="F162" i="4"/>
  <c r="I164" i="4"/>
  <c r="K153" i="4"/>
  <c r="H3" i="6"/>
  <c r="P3" i="6"/>
  <c r="I25" i="6"/>
  <c r="O40" i="6"/>
  <c r="O121" i="6"/>
  <c r="G61" i="6"/>
  <c r="J92" i="6"/>
  <c r="F130" i="6"/>
  <c r="N130" i="6"/>
  <c r="H150" i="6"/>
  <c r="P150" i="6"/>
  <c r="F147" i="6"/>
  <c r="N152" i="6"/>
  <c r="E158" i="6"/>
  <c r="M158" i="6"/>
  <c r="E162" i="6"/>
  <c r="M162" i="6"/>
  <c r="J164" i="6"/>
  <c r="N165" i="6"/>
  <c r="H168" i="6"/>
  <c r="P168" i="6"/>
  <c r="I170" i="6"/>
  <c r="J172" i="6"/>
  <c r="S205" i="6"/>
  <c r="F218" i="6"/>
  <c r="N218" i="6"/>
  <c r="M152" i="6"/>
  <c r="D162" i="6"/>
  <c r="I172" i="6"/>
  <c r="S24" i="6"/>
  <c r="M39" i="6"/>
  <c r="L56" i="6"/>
  <c r="N61" i="6"/>
  <c r="N62" i="6"/>
  <c r="K92" i="6"/>
  <c r="K100" i="6"/>
  <c r="J119" i="6"/>
  <c r="G130" i="6"/>
  <c r="O130" i="6"/>
  <c r="K153" i="6"/>
  <c r="F153" i="6"/>
  <c r="N153" i="6"/>
  <c r="K159" i="6"/>
  <c r="C164" i="6"/>
  <c r="K164" i="6"/>
  <c r="I164" i="6"/>
  <c r="I168" i="6"/>
  <c r="J170" i="6"/>
  <c r="C172" i="6"/>
  <c r="K172" i="6"/>
  <c r="K206" i="6"/>
  <c r="G218" i="6"/>
  <c r="O218" i="6"/>
  <c r="I117" i="6"/>
  <c r="H25" i="6"/>
  <c r="L158" i="6"/>
  <c r="H170" i="6"/>
  <c r="I206" i="6"/>
  <c r="C25" i="6"/>
  <c r="O61" i="6"/>
  <c r="L92" i="6"/>
  <c r="P119" i="6"/>
  <c r="P120" i="6"/>
  <c r="H147" i="6"/>
  <c r="H148" i="6"/>
  <c r="H156" i="6"/>
  <c r="P156" i="6"/>
  <c r="C168" i="6"/>
  <c r="G3" i="6"/>
  <c r="I84" i="6"/>
  <c r="I92" i="6"/>
  <c r="M130" i="6"/>
  <c r="P170" i="6"/>
  <c r="M218" i="6"/>
  <c r="D25" i="6"/>
  <c r="G43" i="6"/>
  <c r="N56" i="6"/>
  <c r="E59" i="6"/>
  <c r="E60" i="6"/>
  <c r="G63" i="6"/>
  <c r="E84" i="6"/>
  <c r="M84" i="6"/>
  <c r="E100" i="6"/>
  <c r="M100" i="6"/>
  <c r="I130" i="6"/>
  <c r="O150" i="6"/>
  <c r="I152" i="6"/>
  <c r="S151" i="6"/>
  <c r="S157" i="6"/>
  <c r="F165" i="6"/>
  <c r="L165" i="6"/>
  <c r="M166" i="6"/>
  <c r="E172" i="6"/>
  <c r="J218" i="6"/>
  <c r="O3" i="6"/>
  <c r="E130" i="6"/>
  <c r="O168" i="6"/>
  <c r="H39" i="6"/>
  <c r="F59" i="6"/>
  <c r="H63" i="6"/>
  <c r="N84" i="6"/>
  <c r="F92" i="6"/>
  <c r="N92" i="6"/>
  <c r="J115" i="6"/>
  <c r="R129" i="6"/>
  <c r="J130" i="6"/>
  <c r="R151" i="6"/>
  <c r="C153" i="6"/>
  <c r="I158" i="6"/>
  <c r="I162" i="6"/>
  <c r="G162" i="6"/>
  <c r="F164" i="6"/>
  <c r="N164" i="6"/>
  <c r="P25" i="6"/>
  <c r="E152" i="6"/>
  <c r="L162" i="6"/>
  <c r="G168" i="6"/>
  <c r="H40" i="6"/>
  <c r="H65" i="6"/>
  <c r="P40" i="6"/>
  <c r="P121" i="6"/>
  <c r="I40" i="6"/>
  <c r="I65" i="6"/>
  <c r="F40" i="6"/>
  <c r="H43" i="6"/>
  <c r="P43" i="6"/>
  <c r="M59" i="6"/>
  <c r="M60" i="6"/>
  <c r="O63" i="6"/>
  <c r="F117" i="6"/>
  <c r="E147" i="6"/>
  <c r="M147" i="6"/>
  <c r="C147" i="6"/>
  <c r="K147" i="6"/>
  <c r="D153" i="6"/>
  <c r="C159" i="6"/>
  <c r="I25" i="8"/>
  <c r="L84" i="8"/>
  <c r="P92" i="8"/>
  <c r="D130" i="8"/>
  <c r="L130" i="8"/>
  <c r="C150" i="8"/>
  <c r="K150" i="8"/>
  <c r="I152" i="8"/>
  <c r="K156" i="8"/>
  <c r="O164" i="8"/>
  <c r="C170" i="8"/>
  <c r="K170" i="8"/>
  <c r="K172" i="8"/>
  <c r="I206" i="8"/>
  <c r="M218" i="8"/>
  <c r="J56" i="8"/>
  <c r="I3" i="8"/>
  <c r="J25" i="8"/>
  <c r="K40" i="8"/>
  <c r="K121" i="8"/>
  <c r="D59" i="8"/>
  <c r="R59" i="8"/>
  <c r="H63" i="8"/>
  <c r="E84" i="8"/>
  <c r="M84" i="8"/>
  <c r="I92" i="8"/>
  <c r="S91" i="8"/>
  <c r="M117" i="8"/>
  <c r="E130" i="8"/>
  <c r="M130" i="8"/>
  <c r="G147" i="8"/>
  <c r="D150" i="8"/>
  <c r="L150" i="8"/>
  <c r="J152" i="8"/>
  <c r="C153" i="8"/>
  <c r="D153" i="8"/>
  <c r="L153" i="8"/>
  <c r="C158" i="8"/>
  <c r="K158" i="8"/>
  <c r="J162" i="8"/>
  <c r="S163" i="8"/>
  <c r="D168" i="8"/>
  <c r="L168" i="8"/>
  <c r="D165" i="8"/>
  <c r="L165" i="8"/>
  <c r="R171" i="8"/>
  <c r="F218" i="8"/>
  <c r="N218" i="8"/>
  <c r="J158" i="8"/>
  <c r="L40" i="8"/>
  <c r="L121" i="8"/>
  <c r="J92" i="8"/>
  <c r="N117" i="8"/>
  <c r="H147" i="8"/>
  <c r="C147" i="8"/>
  <c r="K147" i="8"/>
  <c r="R157" i="8"/>
  <c r="C160" i="8"/>
  <c r="I159" i="8"/>
  <c r="C3" i="8"/>
  <c r="K3" i="8"/>
  <c r="D25" i="8"/>
  <c r="L25" i="8"/>
  <c r="E35" i="8"/>
  <c r="M62" i="8"/>
  <c r="G84" i="8"/>
  <c r="O84" i="8"/>
  <c r="G100" i="8"/>
  <c r="O100" i="8"/>
  <c r="C112" i="8"/>
  <c r="K112" i="8"/>
  <c r="D119" i="8"/>
  <c r="D120" i="8"/>
  <c r="G130" i="8"/>
  <c r="O130" i="8"/>
  <c r="F150" i="8"/>
  <c r="N150" i="8"/>
  <c r="D152" i="8"/>
  <c r="L152" i="8"/>
  <c r="J153" i="8"/>
  <c r="F156" i="8"/>
  <c r="N156" i="8"/>
  <c r="M158" i="8"/>
  <c r="D162" i="8"/>
  <c r="L162" i="8"/>
  <c r="J164" i="8"/>
  <c r="F170" i="8"/>
  <c r="N170" i="8"/>
  <c r="F172" i="8"/>
  <c r="N172" i="8"/>
  <c r="L206" i="8"/>
  <c r="H218" i="8"/>
  <c r="P218" i="8"/>
  <c r="K56" i="8"/>
  <c r="G43" i="8"/>
  <c r="B61" i="8"/>
  <c r="L119" i="8"/>
  <c r="K153" i="8"/>
  <c r="F153" i="8"/>
  <c r="N153" i="8"/>
  <c r="F159" i="8"/>
  <c r="G165" i="8"/>
  <c r="O172" i="8"/>
  <c r="P3" i="8"/>
  <c r="D84" i="8"/>
  <c r="I162" i="8"/>
  <c r="E3" i="8"/>
  <c r="M3" i="8"/>
  <c r="F25" i="8"/>
  <c r="N25" i="8"/>
  <c r="J43" i="8"/>
  <c r="G56" i="8"/>
  <c r="O56" i="8"/>
  <c r="E61" i="8"/>
  <c r="E62" i="8"/>
  <c r="J84" i="8"/>
  <c r="E92" i="8"/>
  <c r="M92" i="8"/>
  <c r="I100" i="8"/>
  <c r="M119" i="8"/>
  <c r="I130" i="8"/>
  <c r="S129" i="8"/>
  <c r="P147" i="8"/>
  <c r="S149" i="8"/>
  <c r="F147" i="8"/>
  <c r="N147" i="8"/>
  <c r="N148" i="8"/>
  <c r="O153" i="8"/>
  <c r="S155" i="8"/>
  <c r="G158" i="8"/>
  <c r="O158" i="8"/>
  <c r="N162" i="8"/>
  <c r="D159" i="8"/>
  <c r="L159" i="8"/>
  <c r="M165" i="8"/>
  <c r="N166" i="8"/>
  <c r="H168" i="8"/>
  <c r="P168" i="8"/>
  <c r="H170" i="8"/>
  <c r="P170" i="8"/>
  <c r="H172" i="8"/>
  <c r="S171" i="8"/>
  <c r="J218" i="8"/>
  <c r="H3" i="8"/>
  <c r="H92" i="8"/>
  <c r="F3" i="8"/>
  <c r="N3" i="8"/>
  <c r="G25" i="8"/>
  <c r="O25" i="8"/>
  <c r="S34" i="8"/>
  <c r="P39" i="8"/>
  <c r="L43" i="8"/>
  <c r="H43" i="8"/>
  <c r="G61" i="8"/>
  <c r="S83" i="8"/>
  <c r="D100" i="8"/>
  <c r="F115" i="8"/>
  <c r="R129" i="8"/>
  <c r="I147" i="8"/>
  <c r="R149" i="8"/>
  <c r="G152" i="8"/>
  <c r="O152" i="8"/>
  <c r="I156" i="8"/>
  <c r="H158" i="8"/>
  <c r="P158" i="8"/>
  <c r="M159" i="8"/>
  <c r="E164" i="8"/>
  <c r="M164" i="8"/>
  <c r="P165" i="8"/>
  <c r="I170" i="8"/>
  <c r="J170" i="8"/>
  <c r="I172" i="8"/>
  <c r="K218" i="8"/>
  <c r="C3" i="9"/>
  <c r="K3" i="9"/>
  <c r="D25" i="9"/>
  <c r="L25" i="9"/>
  <c r="E40" i="9"/>
  <c r="E121" i="9"/>
  <c r="M40" i="9"/>
  <c r="M65" i="9"/>
  <c r="L40" i="9"/>
  <c r="L65" i="9"/>
  <c r="E56" i="9"/>
  <c r="M56" i="9"/>
  <c r="O59" i="9"/>
  <c r="G76" i="9"/>
  <c r="O76" i="9"/>
  <c r="F84" i="9"/>
  <c r="N84" i="9"/>
  <c r="F92" i="9"/>
  <c r="N92" i="9"/>
  <c r="F100" i="9"/>
  <c r="N100" i="9"/>
  <c r="F130" i="9"/>
  <c r="N130" i="9"/>
  <c r="G150" i="9"/>
  <c r="O150" i="9"/>
  <c r="F152" i="9"/>
  <c r="N152" i="9"/>
  <c r="G156" i="9"/>
  <c r="O156" i="9"/>
  <c r="F158" i="9"/>
  <c r="N158" i="9"/>
  <c r="P159" i="9"/>
  <c r="I159" i="9"/>
  <c r="B159" i="9"/>
  <c r="J159" i="9"/>
  <c r="I168" i="9"/>
  <c r="I170" i="9"/>
  <c r="S169" i="9"/>
  <c r="I172" i="9"/>
  <c r="R171" i="9"/>
  <c r="H206" i="9"/>
  <c r="S205" i="9"/>
  <c r="M218" i="9"/>
  <c r="M61" i="9"/>
  <c r="M62" i="9"/>
  <c r="S75" i="9"/>
  <c r="G84" i="9"/>
  <c r="M147" i="9"/>
  <c r="G152" i="9"/>
  <c r="M153" i="9"/>
  <c r="N154" i="9"/>
  <c r="S155" i="9"/>
  <c r="G153" i="9"/>
  <c r="O153" i="9"/>
  <c r="J162" i="9"/>
  <c r="C164" i="9"/>
  <c r="F165" i="9"/>
  <c r="R169" i="9"/>
  <c r="J206" i="9"/>
  <c r="F25" i="9"/>
  <c r="N25" i="9"/>
  <c r="G40" i="9"/>
  <c r="G65" i="9"/>
  <c r="O40" i="9"/>
  <c r="O65" i="9"/>
  <c r="P61" i="9"/>
  <c r="R75" i="9"/>
  <c r="S129" i="9"/>
  <c r="H165" i="9"/>
  <c r="L59" i="9"/>
  <c r="M60" i="9"/>
  <c r="H40" i="9"/>
  <c r="H121" i="9"/>
  <c r="P40" i="9"/>
  <c r="P65" i="9"/>
  <c r="S55" i="9"/>
  <c r="I84" i="9"/>
  <c r="I92" i="9"/>
  <c r="S91" i="9"/>
  <c r="I100" i="9"/>
  <c r="R99" i="9"/>
  <c r="M115" i="9"/>
  <c r="M116" i="9"/>
  <c r="I130" i="9"/>
  <c r="J150" i="9"/>
  <c r="H150" i="9"/>
  <c r="R151" i="9"/>
  <c r="J156" i="9"/>
  <c r="C156" i="9"/>
  <c r="I158" i="9"/>
  <c r="D160" i="9"/>
  <c r="E164" i="9"/>
  <c r="M164" i="9"/>
  <c r="E168" i="9"/>
  <c r="D170" i="9"/>
  <c r="L170" i="9"/>
  <c r="K206" i="9"/>
  <c r="H218" i="9"/>
  <c r="P218" i="9"/>
  <c r="H25" i="9"/>
  <c r="S24" i="9"/>
  <c r="R34" i="9"/>
  <c r="R91" i="9"/>
  <c r="S2" i="9"/>
  <c r="R115" i="9"/>
  <c r="C40" i="9"/>
  <c r="C121" i="9"/>
  <c r="C152" i="9"/>
  <c r="H159" i="9"/>
  <c r="J25" i="9"/>
  <c r="D40" i="9"/>
  <c r="D65" i="9"/>
  <c r="D56" i="9"/>
  <c r="E76" i="9"/>
  <c r="M76" i="9"/>
  <c r="D84" i="9"/>
  <c r="L84" i="9"/>
  <c r="D92" i="9"/>
  <c r="L92" i="9"/>
  <c r="D100" i="9"/>
  <c r="L100" i="9"/>
  <c r="E147" i="9"/>
  <c r="D147" i="9"/>
  <c r="L147" i="9"/>
  <c r="E153" i="9"/>
  <c r="E156" i="9"/>
  <c r="M156" i="9"/>
  <c r="D158" i="9"/>
  <c r="L158" i="9"/>
  <c r="P165" i="9"/>
  <c r="H168" i="9"/>
  <c r="O218" i="2"/>
  <c r="D25" i="2"/>
  <c r="E164" i="2"/>
  <c r="P153" i="2"/>
  <c r="I164" i="2"/>
  <c r="O162" i="2"/>
  <c r="G162" i="2"/>
  <c r="K153" i="2"/>
  <c r="L154" i="2"/>
  <c r="I152" i="2"/>
  <c r="O150" i="2"/>
  <c r="G150" i="2"/>
  <c r="L158" i="2"/>
  <c r="D158" i="2"/>
  <c r="N159" i="2"/>
  <c r="M152" i="2"/>
  <c r="D156" i="2"/>
  <c r="L76" i="2"/>
  <c r="C162" i="2"/>
  <c r="E152" i="2"/>
  <c r="K150" i="2"/>
  <c r="P117" i="2"/>
  <c r="F92" i="2"/>
  <c r="J152" i="2"/>
  <c r="E37" i="2"/>
  <c r="J25" i="2"/>
  <c r="D172" i="2"/>
  <c r="J170" i="2"/>
  <c r="P168" i="2"/>
  <c r="H165" i="2"/>
  <c r="N152" i="2"/>
  <c r="F152" i="2"/>
  <c r="L150" i="2"/>
  <c r="D147" i="2"/>
  <c r="G156" i="2"/>
  <c r="M165" i="2"/>
  <c r="I162" i="2"/>
  <c r="K152" i="2"/>
  <c r="N165" i="2"/>
  <c r="P150" i="2"/>
  <c r="C156" i="2"/>
  <c r="J153" i="2"/>
  <c r="P164" i="2"/>
  <c r="M174" i="4"/>
  <c r="O43" i="4"/>
  <c r="J84" i="4"/>
  <c r="P178" i="4"/>
  <c r="F174" i="4"/>
  <c r="I130" i="4"/>
  <c r="P112" i="4"/>
  <c r="H112" i="4"/>
  <c r="E171" i="4"/>
  <c r="N176" i="4"/>
  <c r="O59" i="4"/>
  <c r="P60" i="4"/>
  <c r="E100" i="4"/>
  <c r="N178" i="4"/>
  <c r="E156" i="4"/>
  <c r="O130" i="4"/>
  <c r="G130" i="4"/>
  <c r="D35" i="4"/>
  <c r="G43" i="4"/>
  <c r="R177" i="4"/>
  <c r="R155" i="4"/>
  <c r="E174" i="4"/>
  <c r="L59" i="10"/>
  <c r="M60" i="10"/>
  <c r="I84" i="10"/>
  <c r="R91" i="10"/>
  <c r="L112" i="10"/>
  <c r="J130" i="10"/>
  <c r="I159" i="10"/>
  <c r="I160" i="10"/>
  <c r="J164" i="10"/>
  <c r="H165" i="10"/>
  <c r="G172" i="10"/>
  <c r="O172" i="10"/>
  <c r="F218" i="10"/>
  <c r="N218" i="10"/>
  <c r="L25" i="10"/>
  <c r="C43" i="10"/>
  <c r="C44" i="10"/>
  <c r="K43" i="10"/>
  <c r="C84" i="10"/>
  <c r="K84" i="10"/>
  <c r="E100" i="10"/>
  <c r="M100" i="10"/>
  <c r="J147" i="10"/>
  <c r="G150" i="10"/>
  <c r="O150" i="10"/>
  <c r="H152" i="10"/>
  <c r="P152" i="10"/>
  <c r="E156" i="10"/>
  <c r="M156" i="10"/>
  <c r="E158" i="10"/>
  <c r="M158" i="10"/>
  <c r="C159" i="10"/>
  <c r="K159" i="10"/>
  <c r="P165" i="10"/>
  <c r="H170" i="10"/>
  <c r="P170" i="10"/>
  <c r="H218" i="10"/>
  <c r="P218" i="10"/>
  <c r="D3" i="10"/>
  <c r="L3" i="10"/>
  <c r="E25" i="10"/>
  <c r="M25" i="10"/>
  <c r="F40" i="10"/>
  <c r="F121" i="10"/>
  <c r="R83" i="10"/>
  <c r="E92" i="10"/>
  <c r="M92" i="10"/>
  <c r="N100" i="10"/>
  <c r="G112" i="10"/>
  <c r="O112" i="10"/>
  <c r="M130" i="10"/>
  <c r="H147" i="10"/>
  <c r="H148" i="10"/>
  <c r="P150" i="10"/>
  <c r="B153" i="10"/>
  <c r="E159" i="10"/>
  <c r="O147" i="10"/>
  <c r="F56" i="10"/>
  <c r="H100" i="10"/>
  <c r="P100" i="10"/>
  <c r="G130" i="10"/>
  <c r="O130" i="10"/>
  <c r="C152" i="10"/>
  <c r="K152" i="10"/>
  <c r="I153" i="10"/>
  <c r="S155" i="10"/>
  <c r="F159" i="10"/>
  <c r="N159" i="10"/>
  <c r="O164" i="10"/>
  <c r="B40" i="10"/>
  <c r="B65" i="10"/>
  <c r="J40" i="10"/>
  <c r="J121" i="10"/>
  <c r="G117" i="10"/>
  <c r="D147" i="10"/>
  <c r="L218" i="10"/>
  <c r="R36" i="10"/>
  <c r="C119" i="10"/>
  <c r="L147" i="10"/>
  <c r="D25" i="10"/>
  <c r="I56" i="10"/>
  <c r="F84" i="10"/>
  <c r="N84" i="10"/>
  <c r="D100" i="10"/>
  <c r="L100" i="10"/>
  <c r="E115" i="10"/>
  <c r="E116" i="10"/>
  <c r="F130" i="10"/>
  <c r="N130" i="10"/>
  <c r="L153" i="10"/>
  <c r="M162" i="10"/>
  <c r="D165" i="10"/>
  <c r="L165" i="10"/>
  <c r="L166" i="10"/>
  <c r="F3" i="10"/>
  <c r="N3" i="10"/>
  <c r="F25" i="10"/>
  <c r="N25" i="10"/>
  <c r="E43" i="10"/>
  <c r="H84" i="10"/>
  <c r="P84" i="10"/>
  <c r="G92" i="10"/>
  <c r="O92" i="10"/>
  <c r="F100" i="10"/>
  <c r="E150" i="10"/>
  <c r="M150" i="10"/>
  <c r="E152" i="10"/>
  <c r="M152" i="10"/>
  <c r="F154" i="10"/>
  <c r="F158" i="10"/>
  <c r="N158" i="10"/>
  <c r="G162" i="10"/>
  <c r="O162" i="10"/>
  <c r="E164" i="10"/>
  <c r="M164" i="10"/>
  <c r="E165" i="10"/>
  <c r="M165" i="10"/>
  <c r="E172" i="10"/>
  <c r="M172" i="10"/>
  <c r="I218" i="10"/>
  <c r="G3" i="10"/>
  <c r="O3" i="10"/>
  <c r="G25" i="10"/>
  <c r="O25" i="10"/>
  <c r="R38" i="10"/>
  <c r="N63" i="10"/>
  <c r="D84" i="10"/>
  <c r="H92" i="10"/>
  <c r="P92" i="10"/>
  <c r="G100" i="10"/>
  <c r="O100" i="10"/>
  <c r="I130" i="10"/>
  <c r="M147" i="10"/>
  <c r="N148" i="10"/>
  <c r="F150" i="10"/>
  <c r="N150" i="10"/>
  <c r="F152" i="10"/>
  <c r="N152" i="10"/>
  <c r="G153" i="10"/>
  <c r="O153" i="10"/>
  <c r="O154" i="10"/>
  <c r="P159" i="10"/>
  <c r="H162" i="10"/>
  <c r="S161" i="10"/>
  <c r="F164" i="10"/>
  <c r="N164" i="10"/>
  <c r="G168" i="10"/>
  <c r="O168" i="10"/>
  <c r="F170" i="10"/>
  <c r="N170" i="10"/>
  <c r="F172" i="10"/>
  <c r="H25" i="10"/>
  <c r="P25" i="10"/>
  <c r="J84" i="10"/>
  <c r="I92" i="10"/>
  <c r="M153" i="10"/>
  <c r="N154" i="10"/>
  <c r="S157" i="10"/>
  <c r="R161" i="10"/>
  <c r="G159" i="10"/>
  <c r="O159" i="10"/>
  <c r="G165" i="10"/>
  <c r="G166" i="10"/>
  <c r="O165" i="10"/>
  <c r="K218" i="10"/>
  <c r="I3" i="10"/>
  <c r="R2" i="10"/>
  <c r="J43" i="10"/>
  <c r="F43" i="10"/>
  <c r="N43" i="10"/>
  <c r="J92" i="10"/>
  <c r="P130" i="10"/>
  <c r="G158" i="10"/>
  <c r="F162" i="10"/>
  <c r="R24" i="10"/>
  <c r="R34" i="10"/>
  <c r="D40" i="10"/>
  <c r="D121" i="10"/>
  <c r="L40" i="10"/>
  <c r="L121" i="10"/>
  <c r="M43" i="10"/>
  <c r="G56" i="10"/>
  <c r="O56" i="10"/>
  <c r="L84" i="10"/>
  <c r="C92" i="10"/>
  <c r="K92" i="10"/>
  <c r="J100" i="10"/>
  <c r="J112" i="10"/>
  <c r="D130" i="10"/>
  <c r="L130" i="10"/>
  <c r="I147" i="10"/>
  <c r="J156" i="10"/>
  <c r="J158" i="10"/>
  <c r="I162" i="10"/>
  <c r="I164" i="10"/>
  <c r="S163" i="10"/>
  <c r="I170" i="10"/>
  <c r="E170" i="10"/>
  <c r="I172" i="10"/>
  <c r="N172" i="10"/>
  <c r="S205" i="10"/>
  <c r="C3" i="10"/>
  <c r="K3" i="10"/>
  <c r="E39" i="10"/>
  <c r="N40" i="10"/>
  <c r="N121" i="10"/>
  <c r="H56" i="10"/>
  <c r="S55" i="10"/>
  <c r="E84" i="10"/>
  <c r="M84" i="10"/>
  <c r="D92" i="10"/>
  <c r="L92" i="10"/>
  <c r="C100" i="10"/>
  <c r="K100" i="10"/>
  <c r="C112" i="10"/>
  <c r="K112" i="10"/>
  <c r="E130" i="10"/>
  <c r="E147" i="10"/>
  <c r="J150" i="10"/>
  <c r="D152" i="10"/>
  <c r="C158" i="10"/>
  <c r="K158" i="10"/>
  <c r="O158" i="10"/>
  <c r="D162" i="10"/>
  <c r="L162" i="10"/>
  <c r="B159" i="10"/>
  <c r="C168" i="10"/>
  <c r="K168" i="10"/>
  <c r="B165" i="10"/>
  <c r="C166" i="10"/>
  <c r="S169" i="10"/>
  <c r="J172" i="10"/>
  <c r="B147" i="11"/>
  <c r="E159" i="11"/>
  <c r="G165" i="11"/>
  <c r="H166" i="11"/>
  <c r="I206" i="11"/>
  <c r="I218" i="11"/>
  <c r="G43" i="11"/>
  <c r="H43" i="11"/>
  <c r="I44" i="11"/>
  <c r="P43" i="11"/>
  <c r="C165" i="11"/>
  <c r="K165" i="11"/>
  <c r="E40" i="11"/>
  <c r="E65" i="11"/>
  <c r="M40" i="11"/>
  <c r="M65" i="11"/>
  <c r="G92" i="11"/>
  <c r="O92" i="11"/>
  <c r="R149" i="11"/>
  <c r="E153" i="11"/>
  <c r="M59" i="11"/>
  <c r="R83" i="11"/>
  <c r="E152" i="11"/>
  <c r="M152" i="11"/>
  <c r="G159" i="11"/>
  <c r="O159" i="11"/>
  <c r="P165" i="11"/>
  <c r="E150" i="11"/>
  <c r="H153" i="11"/>
  <c r="P153" i="11"/>
  <c r="H40" i="11"/>
  <c r="H121" i="11"/>
  <c r="P40" i="11"/>
  <c r="P65" i="11"/>
  <c r="S129" i="11"/>
  <c r="O150" i="11"/>
  <c r="J162" i="11"/>
  <c r="C164" i="11"/>
  <c r="K164" i="11"/>
  <c r="M206" i="11"/>
  <c r="D159" i="11"/>
  <c r="I25" i="11"/>
  <c r="R151" i="11"/>
  <c r="J3" i="11"/>
  <c r="C25" i="11"/>
  <c r="K25" i="11"/>
  <c r="E100" i="11"/>
  <c r="N148" i="11"/>
  <c r="S149" i="11"/>
  <c r="H152" i="11"/>
  <c r="P152" i="11"/>
  <c r="C162" i="11"/>
  <c r="K162" i="11"/>
  <c r="I170" i="11"/>
  <c r="J172" i="11"/>
  <c r="C3" i="11"/>
  <c r="K3" i="11"/>
  <c r="G40" i="11"/>
  <c r="G65" i="11"/>
  <c r="O40" i="11"/>
  <c r="O65" i="11"/>
  <c r="F100" i="11"/>
  <c r="N100" i="11"/>
  <c r="G130" i="11"/>
  <c r="O130" i="11"/>
  <c r="O147" i="11"/>
  <c r="O148" i="11"/>
  <c r="F153" i="11"/>
  <c r="N153" i="11"/>
  <c r="L159" i="11"/>
  <c r="I165" i="11"/>
  <c r="C172" i="11"/>
  <c r="K172" i="11"/>
  <c r="K206" i="11"/>
  <c r="O43" i="11"/>
  <c r="J56" i="11"/>
  <c r="E61" i="11"/>
  <c r="H84" i="11"/>
  <c r="P84" i="11"/>
  <c r="H92" i="11"/>
  <c r="P92" i="11"/>
  <c r="H156" i="11"/>
  <c r="F159" i="11"/>
  <c r="N159" i="11"/>
  <c r="D170" i="11"/>
  <c r="L170" i="11"/>
  <c r="E172" i="11"/>
  <c r="M172" i="11"/>
  <c r="C56" i="11"/>
  <c r="H61" i="11"/>
  <c r="I84" i="11"/>
  <c r="E147" i="11"/>
  <c r="I156" i="11"/>
  <c r="J158" i="11"/>
  <c r="H164" i="11"/>
  <c r="P164" i="11"/>
  <c r="D165" i="11"/>
  <c r="D166" i="11"/>
  <c r="L165" i="11"/>
  <c r="G206" i="11"/>
  <c r="O206" i="11"/>
  <c r="D43" i="11"/>
  <c r="L43" i="11"/>
  <c r="R91" i="11"/>
  <c r="S161" i="11"/>
  <c r="P3" i="11"/>
  <c r="C37" i="11"/>
  <c r="L40" i="11"/>
  <c r="L121" i="11"/>
  <c r="E43" i="11"/>
  <c r="M43" i="11"/>
  <c r="C112" i="11"/>
  <c r="K112" i="11"/>
  <c r="D130" i="11"/>
  <c r="L130" i="11"/>
  <c r="G147" i="11"/>
  <c r="F150" i="11"/>
  <c r="N150" i="11"/>
  <c r="F152" i="11"/>
  <c r="N152" i="11"/>
  <c r="P159" i="11"/>
  <c r="I159" i="11"/>
  <c r="S205" i="11"/>
  <c r="H218" i="11"/>
  <c r="P218" i="11"/>
  <c r="L25" i="4"/>
  <c r="H176" i="4"/>
  <c r="L156" i="4"/>
  <c r="D3" i="11"/>
  <c r="J156" i="11"/>
  <c r="N172" i="11"/>
  <c r="M100" i="4"/>
  <c r="F178" i="4"/>
  <c r="K164" i="4"/>
  <c r="C164" i="4"/>
  <c r="I158" i="4"/>
  <c r="E3" i="11"/>
  <c r="M3" i="11"/>
  <c r="E25" i="11"/>
  <c r="M25" i="11"/>
  <c r="F43" i="11"/>
  <c r="N43" i="11"/>
  <c r="C84" i="11"/>
  <c r="K84" i="11"/>
  <c r="I100" i="11"/>
  <c r="I130" i="11"/>
  <c r="J150" i="11"/>
  <c r="J152" i="11"/>
  <c r="C153" i="11"/>
  <c r="C154" i="11"/>
  <c r="K153" i="11"/>
  <c r="D158" i="11"/>
  <c r="L158" i="11"/>
  <c r="E162" i="11"/>
  <c r="M162" i="11"/>
  <c r="E164" i="11"/>
  <c r="M164" i="11"/>
  <c r="F168" i="11"/>
  <c r="N168" i="11"/>
  <c r="F170" i="11"/>
  <c r="N170" i="11"/>
  <c r="G172" i="11"/>
  <c r="O172" i="11"/>
  <c r="L164" i="4"/>
  <c r="L3" i="11"/>
  <c r="L25" i="11"/>
  <c r="D162" i="11"/>
  <c r="L164" i="11"/>
  <c r="M165" i="11"/>
  <c r="K218" i="11"/>
  <c r="F3" i="11"/>
  <c r="N3" i="11"/>
  <c r="F25" i="11"/>
  <c r="N25" i="11"/>
  <c r="F40" i="11"/>
  <c r="F65" i="11"/>
  <c r="N40" i="11"/>
  <c r="N41" i="11"/>
  <c r="M61" i="11"/>
  <c r="D84" i="11"/>
  <c r="L84" i="11"/>
  <c r="C92" i="11"/>
  <c r="K92" i="11"/>
  <c r="J100" i="11"/>
  <c r="K100" i="11"/>
  <c r="J130" i="11"/>
  <c r="C152" i="11"/>
  <c r="K152" i="11"/>
  <c r="D153" i="11"/>
  <c r="L153" i="11"/>
  <c r="E158" i="11"/>
  <c r="M158" i="11"/>
  <c r="K159" i="11"/>
  <c r="F164" i="11"/>
  <c r="N164" i="11"/>
  <c r="N165" i="11"/>
  <c r="G168" i="11"/>
  <c r="O168" i="11"/>
  <c r="G170" i="11"/>
  <c r="O170" i="11"/>
  <c r="H172" i="11"/>
  <c r="P172" i="11"/>
  <c r="H206" i="11"/>
  <c r="M218" i="11"/>
  <c r="P176" i="4"/>
  <c r="D25" i="11"/>
  <c r="I92" i="11"/>
  <c r="H100" i="11"/>
  <c r="C158" i="11"/>
  <c r="D164" i="11"/>
  <c r="E165" i="11"/>
  <c r="M178" i="4"/>
  <c r="E178" i="4"/>
  <c r="M176" i="4"/>
  <c r="E176" i="4"/>
  <c r="J165" i="4"/>
  <c r="G3" i="11"/>
  <c r="O3" i="11"/>
  <c r="G25" i="11"/>
  <c r="O25" i="11"/>
  <c r="H56" i="11"/>
  <c r="S55" i="11"/>
  <c r="F63" i="11"/>
  <c r="E84" i="11"/>
  <c r="M84" i="11"/>
  <c r="D92" i="11"/>
  <c r="L92" i="11"/>
  <c r="J112" i="11"/>
  <c r="C130" i="11"/>
  <c r="K130" i="11"/>
  <c r="D150" i="11"/>
  <c r="L150" i="11"/>
  <c r="D147" i="11"/>
  <c r="L147" i="11"/>
  <c r="E156" i="11"/>
  <c r="M156" i="11"/>
  <c r="F158" i="11"/>
  <c r="N158" i="11"/>
  <c r="G164" i="11"/>
  <c r="O164" i="11"/>
  <c r="O165" i="11"/>
  <c r="H168" i="11"/>
  <c r="P168" i="11"/>
  <c r="H170" i="11"/>
  <c r="P170" i="11"/>
  <c r="I172" i="11"/>
  <c r="F206" i="11"/>
  <c r="F218" i="11"/>
  <c r="N218" i="11"/>
  <c r="I152" i="11"/>
  <c r="K158" i="11"/>
  <c r="E168" i="11"/>
  <c r="H3" i="11"/>
  <c r="P25" i="11"/>
  <c r="D40" i="11"/>
  <c r="D121" i="11"/>
  <c r="I56" i="11"/>
  <c r="D56" i="11"/>
  <c r="I63" i="11"/>
  <c r="F84" i="11"/>
  <c r="N84" i="11"/>
  <c r="E92" i="11"/>
  <c r="M150" i="11"/>
  <c r="I153" i="11"/>
  <c r="G153" i="11"/>
  <c r="O153" i="11"/>
  <c r="M159" i="11"/>
  <c r="H162" i="11"/>
  <c r="R167" i="11"/>
  <c r="K162" i="4"/>
  <c r="M168" i="11"/>
  <c r="I3" i="11"/>
  <c r="R2" i="11"/>
  <c r="R24" i="11"/>
  <c r="R34" i="11"/>
  <c r="B40" i="11"/>
  <c r="B121" i="11"/>
  <c r="J40" i="11"/>
  <c r="J65" i="11"/>
  <c r="F56" i="11"/>
  <c r="N63" i="11"/>
  <c r="G84" i="11"/>
  <c r="O84" i="11"/>
  <c r="M100" i="11"/>
  <c r="J147" i="11"/>
  <c r="J153" i="11"/>
  <c r="G156" i="11"/>
  <c r="O156" i="11"/>
  <c r="H158" i="11"/>
  <c r="S157" i="11"/>
  <c r="R161" i="11"/>
  <c r="R169" i="11"/>
  <c r="N206" i="11"/>
  <c r="D25" i="4"/>
  <c r="C162" i="4"/>
  <c r="J92" i="11"/>
  <c r="P100" i="11"/>
  <c r="H130" i="11"/>
  <c r="L162" i="11"/>
  <c r="F172" i="11"/>
  <c r="K37" i="4"/>
  <c r="C37" i="4"/>
  <c r="O176" i="4"/>
  <c r="L59" i="11"/>
  <c r="M112" i="11"/>
  <c r="F130" i="11"/>
  <c r="N130" i="11"/>
  <c r="M153" i="11"/>
  <c r="S155" i="11"/>
  <c r="I158" i="11"/>
  <c r="C159" i="11"/>
  <c r="B159" i="11"/>
  <c r="J159" i="11"/>
  <c r="F165" i="11"/>
  <c r="C168" i="11"/>
  <c r="K168" i="11"/>
  <c r="C170" i="11"/>
  <c r="K170" i="11"/>
  <c r="D172" i="11"/>
  <c r="L172" i="11"/>
  <c r="L206" i="11"/>
  <c r="J218" i="11"/>
  <c r="G61" i="4"/>
  <c r="K171" i="4"/>
  <c r="C171" i="4"/>
  <c r="K25" i="4"/>
  <c r="C25" i="4"/>
  <c r="P37" i="4"/>
  <c r="K59" i="4"/>
  <c r="K60" i="4"/>
  <c r="J178" i="4"/>
  <c r="C176" i="4"/>
  <c r="J170" i="4"/>
  <c r="S167" i="4"/>
  <c r="I165" i="4"/>
  <c r="I153" i="4"/>
  <c r="O35" i="4"/>
  <c r="G176" i="4"/>
  <c r="S169" i="4"/>
  <c r="I170" i="4"/>
  <c r="P164" i="4"/>
  <c r="B165" i="4"/>
  <c r="H25" i="4"/>
  <c r="J35" i="4"/>
  <c r="O178" i="4"/>
  <c r="G178" i="4"/>
  <c r="G170" i="4"/>
  <c r="O164" i="4"/>
  <c r="G164" i="4"/>
  <c r="H35" i="4"/>
  <c r="E63" i="4"/>
  <c r="N165" i="4"/>
  <c r="F165" i="4"/>
  <c r="D158" i="4"/>
  <c r="O25" i="4"/>
  <c r="N37" i="4"/>
  <c r="O61" i="4"/>
  <c r="N170" i="4"/>
  <c r="F170" i="4"/>
  <c r="N61" i="4"/>
  <c r="L165" i="4"/>
  <c r="D164" i="4"/>
  <c r="C158" i="4"/>
  <c r="D159" i="4"/>
  <c r="R24" i="4"/>
  <c r="J25" i="4"/>
  <c r="O39" i="4"/>
  <c r="H37" i="4"/>
  <c r="G35" i="4"/>
  <c r="M61" i="4"/>
  <c r="G59" i="4"/>
  <c r="H60" i="4"/>
  <c r="R91" i="4"/>
  <c r="S177" i="4"/>
  <c r="S24" i="4"/>
  <c r="E37" i="4"/>
  <c r="H61" i="4"/>
  <c r="O165" i="4"/>
  <c r="G165" i="4"/>
  <c r="I117" i="4"/>
  <c r="I118" i="4"/>
  <c r="P25" i="4"/>
  <c r="J39" i="4"/>
  <c r="D39" i="4"/>
  <c r="J40" i="4"/>
  <c r="J121" i="4"/>
  <c r="B40" i="4"/>
  <c r="B121" i="4"/>
  <c r="C35" i="4"/>
  <c r="M63" i="4"/>
  <c r="F176" i="4"/>
  <c r="S163" i="4"/>
  <c r="F25" i="4"/>
  <c r="G39" i="4"/>
  <c r="S36" i="4"/>
  <c r="P35" i="4"/>
  <c r="S34" i="4"/>
  <c r="I40" i="4"/>
  <c r="I121" i="4"/>
  <c r="I63" i="4"/>
  <c r="E61" i="4"/>
  <c r="C59" i="4"/>
  <c r="C60" i="4"/>
  <c r="H84" i="4"/>
  <c r="O100" i="4"/>
  <c r="K170" i="4"/>
  <c r="C170" i="4"/>
  <c r="S157" i="4"/>
  <c r="D165" i="4"/>
  <c r="L159" i="4"/>
  <c r="I25" i="4"/>
  <c r="M25" i="4"/>
  <c r="E25" i="4"/>
  <c r="S38" i="4"/>
  <c r="H40" i="4"/>
  <c r="H121" i="4"/>
  <c r="M35" i="4"/>
  <c r="G56" i="4"/>
  <c r="P61" i="4"/>
  <c r="N59" i="4"/>
  <c r="N60" i="4"/>
  <c r="F92" i="4"/>
  <c r="K168" i="4"/>
  <c r="O162" i="4"/>
  <c r="G162" i="4"/>
  <c r="N158" i="4"/>
  <c r="C156" i="4"/>
  <c r="N40" i="4"/>
  <c r="N121" i="4"/>
  <c r="I168" i="4"/>
  <c r="M159" i="4"/>
  <c r="E159" i="4"/>
  <c r="M158" i="4"/>
  <c r="E158" i="4"/>
  <c r="L153" i="4"/>
  <c r="P56" i="4"/>
  <c r="S2" i="6"/>
  <c r="I3" i="6"/>
  <c r="R2" i="6"/>
  <c r="D3" i="6"/>
  <c r="L3" i="6"/>
  <c r="C3" i="6"/>
  <c r="K3" i="6"/>
  <c r="E3" i="6"/>
  <c r="M3" i="6"/>
  <c r="F3" i="6"/>
  <c r="S2" i="4"/>
  <c r="K63" i="11"/>
  <c r="K119" i="11"/>
  <c r="K117" i="11"/>
  <c r="K61" i="11"/>
  <c r="S24" i="11"/>
  <c r="C59" i="11"/>
  <c r="C115" i="11"/>
  <c r="D116" i="11"/>
  <c r="K59" i="11"/>
  <c r="K115" i="11"/>
  <c r="L116" i="11"/>
  <c r="C35" i="11"/>
  <c r="K35" i="11"/>
  <c r="D61" i="11"/>
  <c r="D117" i="11"/>
  <c r="E118" i="11"/>
  <c r="L61" i="11"/>
  <c r="L117" i="11"/>
  <c r="D37" i="11"/>
  <c r="L37" i="11"/>
  <c r="E63" i="11"/>
  <c r="E119" i="11"/>
  <c r="M63" i="11"/>
  <c r="M119" i="11"/>
  <c r="E39" i="11"/>
  <c r="M39" i="11"/>
  <c r="K56" i="11"/>
  <c r="O59" i="11"/>
  <c r="F92" i="11"/>
  <c r="N92" i="11"/>
  <c r="H25" i="11"/>
  <c r="B117" i="11"/>
  <c r="B61" i="11"/>
  <c r="C63" i="11"/>
  <c r="C119" i="11"/>
  <c r="S2" i="11"/>
  <c r="D35" i="11"/>
  <c r="L35" i="11"/>
  <c r="E37" i="11"/>
  <c r="M37" i="11"/>
  <c r="F39" i="11"/>
  <c r="N39" i="11"/>
  <c r="E56" i="11"/>
  <c r="M56" i="11"/>
  <c r="L56" i="11"/>
  <c r="P61" i="11"/>
  <c r="J84" i="11"/>
  <c r="D100" i="11"/>
  <c r="L100" i="11"/>
  <c r="B59" i="11"/>
  <c r="B115" i="11"/>
  <c r="C117" i="11"/>
  <c r="C61" i="11"/>
  <c r="L63" i="11"/>
  <c r="L119" i="11"/>
  <c r="M121" i="11"/>
  <c r="E35" i="11"/>
  <c r="M35" i="11"/>
  <c r="F117" i="11"/>
  <c r="F118" i="11"/>
  <c r="F61" i="11"/>
  <c r="N117" i="11"/>
  <c r="N118" i="11"/>
  <c r="N61" i="11"/>
  <c r="F37" i="11"/>
  <c r="N37" i="11"/>
  <c r="G119" i="11"/>
  <c r="G120" i="11"/>
  <c r="G63" i="11"/>
  <c r="O119" i="11"/>
  <c r="O120" i="11"/>
  <c r="O63" i="11"/>
  <c r="G39" i="11"/>
  <c r="O39" i="11"/>
  <c r="N56" i="11"/>
  <c r="R111" i="11"/>
  <c r="D112" i="11"/>
  <c r="J117" i="11"/>
  <c r="J61" i="11"/>
  <c r="C39" i="11"/>
  <c r="J59" i="11"/>
  <c r="J115" i="11"/>
  <c r="K37" i="11"/>
  <c r="D39" i="11"/>
  <c r="F59" i="11"/>
  <c r="F115" i="11"/>
  <c r="F116" i="11"/>
  <c r="N59" i="11"/>
  <c r="N115" i="11"/>
  <c r="N116" i="11"/>
  <c r="F35" i="11"/>
  <c r="N35" i="11"/>
  <c r="G117" i="11"/>
  <c r="G61" i="11"/>
  <c r="O117" i="11"/>
  <c r="O61" i="11"/>
  <c r="G37" i="11"/>
  <c r="O37" i="11"/>
  <c r="H119" i="11"/>
  <c r="H63" i="11"/>
  <c r="P119" i="11"/>
  <c r="P63" i="11"/>
  <c r="H39" i="11"/>
  <c r="P39" i="11"/>
  <c r="I40" i="11"/>
  <c r="I65" i="11"/>
  <c r="G56" i="11"/>
  <c r="O56" i="11"/>
  <c r="D59" i="11"/>
  <c r="S91" i="11"/>
  <c r="E112" i="11"/>
  <c r="G35" i="11"/>
  <c r="O35" i="11"/>
  <c r="H37" i="11"/>
  <c r="P37" i="11"/>
  <c r="I39" i="11"/>
  <c r="E59" i="11"/>
  <c r="I59" i="11"/>
  <c r="I115" i="11"/>
  <c r="I35" i="11"/>
  <c r="J37" i="11"/>
  <c r="K39" i="11"/>
  <c r="J35" i="11"/>
  <c r="D63" i="11"/>
  <c r="D119" i="11"/>
  <c r="L39" i="11"/>
  <c r="H59" i="11"/>
  <c r="H115" i="11"/>
  <c r="H116" i="11"/>
  <c r="P59" i="11"/>
  <c r="P115" i="11"/>
  <c r="P116" i="11"/>
  <c r="H35" i="11"/>
  <c r="P35" i="11"/>
  <c r="I117" i="11"/>
  <c r="I118" i="11"/>
  <c r="I61" i="11"/>
  <c r="R36" i="11"/>
  <c r="I37" i="11"/>
  <c r="B119" i="11"/>
  <c r="B63" i="11"/>
  <c r="J119" i="11"/>
  <c r="J63" i="11"/>
  <c r="S38" i="11"/>
  <c r="J39" i="11"/>
  <c r="C40" i="11"/>
  <c r="C65" i="11"/>
  <c r="K40" i="11"/>
  <c r="K65" i="11"/>
  <c r="G59" i="11"/>
  <c r="L112" i="11"/>
  <c r="H150" i="11"/>
  <c r="P150" i="11"/>
  <c r="C156" i="11"/>
  <c r="K156" i="11"/>
  <c r="F162" i="11"/>
  <c r="N162" i="11"/>
  <c r="I168" i="11"/>
  <c r="S169" i="11"/>
  <c r="J170" i="11"/>
  <c r="S83" i="11"/>
  <c r="P147" i="11"/>
  <c r="I150" i="11"/>
  <c r="S151" i="11"/>
  <c r="D156" i="11"/>
  <c r="L156" i="11"/>
  <c r="G162" i="11"/>
  <c r="O162" i="11"/>
  <c r="S167" i="11"/>
  <c r="J168" i="11"/>
  <c r="F112" i="11"/>
  <c r="N112" i="11"/>
  <c r="P162" i="11"/>
  <c r="R163" i="11"/>
  <c r="P206" i="11"/>
  <c r="G112" i="11"/>
  <c r="O112" i="11"/>
  <c r="P130" i="11"/>
  <c r="C150" i="11"/>
  <c r="K150" i="11"/>
  <c r="D152" i="11"/>
  <c r="L152" i="11"/>
  <c r="F156" i="11"/>
  <c r="N156" i="11"/>
  <c r="G158" i="11"/>
  <c r="O158" i="11"/>
  <c r="I162" i="11"/>
  <c r="S163" i="11"/>
  <c r="J164" i="11"/>
  <c r="D168" i="11"/>
  <c r="L168" i="11"/>
  <c r="E170" i="11"/>
  <c r="M170" i="11"/>
  <c r="H112" i="11"/>
  <c r="P112" i="11"/>
  <c r="R129" i="11"/>
  <c r="P158" i="11"/>
  <c r="J206" i="11"/>
  <c r="S217" i="11"/>
  <c r="P56" i="11"/>
  <c r="I112" i="11"/>
  <c r="P156" i="11"/>
  <c r="R157" i="11"/>
  <c r="R55" i="11"/>
  <c r="R99" i="11"/>
  <c r="S111" i="11"/>
  <c r="R155" i="11"/>
  <c r="R171" i="11"/>
  <c r="S99" i="11"/>
  <c r="S171" i="11"/>
  <c r="C59" i="10"/>
  <c r="C115" i="10"/>
  <c r="K59" i="10"/>
  <c r="K115" i="10"/>
  <c r="L116" i="10"/>
  <c r="C35" i="10"/>
  <c r="K35" i="10"/>
  <c r="D37" i="10"/>
  <c r="M63" i="10"/>
  <c r="N64" i="10"/>
  <c r="M119" i="10"/>
  <c r="M39" i="10"/>
  <c r="S2" i="10"/>
  <c r="D35" i="10"/>
  <c r="L35" i="10"/>
  <c r="E37" i="10"/>
  <c r="M37" i="10"/>
  <c r="F39" i="10"/>
  <c r="N39" i="10"/>
  <c r="G40" i="10"/>
  <c r="P40" i="10"/>
  <c r="P121" i="10"/>
  <c r="O59" i="10"/>
  <c r="P60" i="10"/>
  <c r="P61" i="10"/>
  <c r="J152" i="10"/>
  <c r="J168" i="10"/>
  <c r="D172" i="10"/>
  <c r="L172" i="10"/>
  <c r="L37" i="10"/>
  <c r="E35" i="10"/>
  <c r="M35" i="10"/>
  <c r="F117" i="10"/>
  <c r="F118" i="10"/>
  <c r="F61" i="10"/>
  <c r="N117" i="10"/>
  <c r="N118" i="10"/>
  <c r="N61" i="10"/>
  <c r="F37" i="10"/>
  <c r="N37" i="10"/>
  <c r="G119" i="10"/>
  <c r="G63" i="10"/>
  <c r="O40" i="10"/>
  <c r="O65" i="10"/>
  <c r="O119" i="10"/>
  <c r="O120" i="10"/>
  <c r="O63" i="10"/>
  <c r="G39" i="10"/>
  <c r="O39" i="10"/>
  <c r="C56" i="10"/>
  <c r="S91" i="10"/>
  <c r="L117" i="10"/>
  <c r="M118" i="10"/>
  <c r="I152" i="10"/>
  <c r="G156" i="10"/>
  <c r="O156" i="10"/>
  <c r="R157" i="10"/>
  <c r="D153" i="10"/>
  <c r="I168" i="10"/>
  <c r="J25" i="10"/>
  <c r="E63" i="10"/>
  <c r="F64" i="10"/>
  <c r="E119" i="10"/>
  <c r="D117" i="10"/>
  <c r="F59" i="10"/>
  <c r="F60" i="10"/>
  <c r="F115" i="10"/>
  <c r="N59" i="10"/>
  <c r="N60" i="10"/>
  <c r="N115" i="10"/>
  <c r="O116" i="10"/>
  <c r="F35" i="10"/>
  <c r="N35" i="10"/>
  <c r="G37" i="10"/>
  <c r="O37" i="10"/>
  <c r="H119" i="10"/>
  <c r="H63" i="10"/>
  <c r="P119" i="10"/>
  <c r="P63" i="10"/>
  <c r="H39" i="10"/>
  <c r="P39" i="10"/>
  <c r="I40" i="10"/>
  <c r="I41" i="10"/>
  <c r="L43" i="10"/>
  <c r="O117" i="10"/>
  <c r="L152" i="10"/>
  <c r="L168" i="10"/>
  <c r="G35" i="10"/>
  <c r="O35" i="10"/>
  <c r="H37" i="10"/>
  <c r="P37" i="10"/>
  <c r="I39" i="10"/>
  <c r="K56" i="10"/>
  <c r="S149" i="10"/>
  <c r="P147" i="10"/>
  <c r="R169" i="10"/>
  <c r="J165" i="10"/>
  <c r="K166" i="10"/>
  <c r="H35" i="10"/>
  <c r="P35" i="10"/>
  <c r="I117" i="10"/>
  <c r="I118" i="10"/>
  <c r="I61" i="10"/>
  <c r="I37" i="10"/>
  <c r="B119" i="10"/>
  <c r="B63" i="10"/>
  <c r="C64" i="10"/>
  <c r="J119" i="10"/>
  <c r="J120" i="10"/>
  <c r="J63" i="10"/>
  <c r="K64" i="10"/>
  <c r="S38" i="10"/>
  <c r="J39" i="10"/>
  <c r="C40" i="10"/>
  <c r="C65" i="10"/>
  <c r="K40" i="10"/>
  <c r="K65" i="10"/>
  <c r="D56" i="10"/>
  <c r="L56" i="10"/>
  <c r="N56" i="10"/>
  <c r="H115" i="10"/>
  <c r="H116" i="10"/>
  <c r="F119" i="10"/>
  <c r="F120" i="10"/>
  <c r="I150" i="10"/>
  <c r="C150" i="10"/>
  <c r="F156" i="10"/>
  <c r="N162" i="10"/>
  <c r="C170" i="10"/>
  <c r="K170" i="10"/>
  <c r="J170" i="10"/>
  <c r="I59" i="10"/>
  <c r="I60" i="10"/>
  <c r="I115" i="10"/>
  <c r="I35" i="10"/>
  <c r="B117" i="10"/>
  <c r="B61" i="10"/>
  <c r="J117" i="10"/>
  <c r="J61" i="10"/>
  <c r="S36" i="10"/>
  <c r="J37" i="10"/>
  <c r="C39" i="10"/>
  <c r="K39" i="10"/>
  <c r="D59" i="10"/>
  <c r="E61" i="10"/>
  <c r="E62" i="10"/>
  <c r="G43" i="10"/>
  <c r="O43" i="10"/>
  <c r="M115" i="10"/>
  <c r="M116" i="10"/>
  <c r="K119" i="10"/>
  <c r="H150" i="10"/>
  <c r="K156" i="10"/>
  <c r="H158" i="10"/>
  <c r="J159" i="10"/>
  <c r="R163" i="10"/>
  <c r="G164" i="10"/>
  <c r="M170" i="10"/>
  <c r="J218" i="10"/>
  <c r="B59" i="10"/>
  <c r="B115" i="10"/>
  <c r="J59" i="10"/>
  <c r="J115" i="10"/>
  <c r="S34" i="10"/>
  <c r="J35" i="10"/>
  <c r="C117" i="10"/>
  <c r="C61" i="10"/>
  <c r="K117" i="10"/>
  <c r="K61" i="10"/>
  <c r="C37" i="10"/>
  <c r="K37" i="10"/>
  <c r="D63" i="10"/>
  <c r="D119" i="10"/>
  <c r="L63" i="10"/>
  <c r="L119" i="10"/>
  <c r="D39" i="10"/>
  <c r="L39" i="10"/>
  <c r="E40" i="10"/>
  <c r="E65" i="10"/>
  <c r="M40" i="10"/>
  <c r="M65" i="10"/>
  <c r="G59" i="10"/>
  <c r="H61" i="10"/>
  <c r="H62" i="10"/>
  <c r="I63" i="10"/>
  <c r="P115" i="10"/>
  <c r="P116" i="10"/>
  <c r="K150" i="10"/>
  <c r="N156" i="10"/>
  <c r="D158" i="10"/>
  <c r="S83" i="10"/>
  <c r="R149" i="10"/>
  <c r="S151" i="10"/>
  <c r="S167" i="10"/>
  <c r="F112" i="10"/>
  <c r="N112" i="10"/>
  <c r="P162" i="10"/>
  <c r="H112" i="10"/>
  <c r="P112" i="10"/>
  <c r="R129" i="10"/>
  <c r="P158" i="10"/>
  <c r="S217" i="10"/>
  <c r="P56" i="10"/>
  <c r="R111" i="10"/>
  <c r="I112" i="10"/>
  <c r="H156" i="10"/>
  <c r="P156" i="10"/>
  <c r="C162" i="10"/>
  <c r="K162" i="10"/>
  <c r="D164" i="10"/>
  <c r="L164" i="10"/>
  <c r="F168" i="10"/>
  <c r="N168" i="10"/>
  <c r="G170" i="10"/>
  <c r="O170" i="10"/>
  <c r="P172" i="10"/>
  <c r="R55" i="10"/>
  <c r="R99" i="10"/>
  <c r="S111" i="10"/>
  <c r="P153" i="10"/>
  <c r="R155" i="10"/>
  <c r="R171" i="10"/>
  <c r="S99" i="10"/>
  <c r="P25" i="9"/>
  <c r="I59" i="9"/>
  <c r="I115" i="9"/>
  <c r="I35" i="9"/>
  <c r="B117" i="9"/>
  <c r="C118" i="9"/>
  <c r="B61" i="9"/>
  <c r="J117" i="9"/>
  <c r="J61" i="9"/>
  <c r="S36" i="9"/>
  <c r="J37" i="9"/>
  <c r="C39" i="9"/>
  <c r="K39" i="9"/>
  <c r="B59" i="9"/>
  <c r="C61" i="9"/>
  <c r="D62" i="9"/>
  <c r="D63" i="9"/>
  <c r="P76" i="9"/>
  <c r="D117" i="9"/>
  <c r="D118" i="9"/>
  <c r="J170" i="9"/>
  <c r="P3" i="9"/>
  <c r="R24" i="9"/>
  <c r="S34" i="9"/>
  <c r="J35" i="9"/>
  <c r="C37" i="9"/>
  <c r="K37" i="9"/>
  <c r="D39" i="9"/>
  <c r="L39" i="9"/>
  <c r="J56" i="9"/>
  <c r="C56" i="9"/>
  <c r="D59" i="9"/>
  <c r="E61" i="9"/>
  <c r="E62" i="9"/>
  <c r="F63" i="9"/>
  <c r="J84" i="9"/>
  <c r="L117" i="9"/>
  <c r="L118" i="9"/>
  <c r="K156" i="9"/>
  <c r="C170" i="9"/>
  <c r="K170" i="9"/>
  <c r="I117" i="9"/>
  <c r="I118" i="9"/>
  <c r="I61" i="9"/>
  <c r="I37" i="9"/>
  <c r="R2" i="9"/>
  <c r="C59" i="9"/>
  <c r="C115" i="9"/>
  <c r="C116" i="9"/>
  <c r="K59" i="9"/>
  <c r="K115" i="9"/>
  <c r="L116" i="9"/>
  <c r="C35" i="9"/>
  <c r="K35" i="9"/>
  <c r="D37" i="9"/>
  <c r="L37" i="9"/>
  <c r="E63" i="9"/>
  <c r="E119" i="9"/>
  <c r="E120" i="9"/>
  <c r="M63" i="9"/>
  <c r="M119" i="9"/>
  <c r="M120" i="9"/>
  <c r="E39" i="9"/>
  <c r="M39" i="9"/>
  <c r="E59" i="9"/>
  <c r="F61" i="9"/>
  <c r="I63" i="9"/>
  <c r="J92" i="9"/>
  <c r="C119" i="9"/>
  <c r="L153" i="9"/>
  <c r="F162" i="9"/>
  <c r="H164" i="9"/>
  <c r="P164" i="9"/>
  <c r="J119" i="9"/>
  <c r="J63" i="9"/>
  <c r="K64" i="9"/>
  <c r="D35" i="9"/>
  <c r="L35" i="9"/>
  <c r="E37" i="9"/>
  <c r="M37" i="9"/>
  <c r="F39" i="9"/>
  <c r="N39" i="9"/>
  <c r="D43" i="9"/>
  <c r="L43" i="9"/>
  <c r="F56" i="9"/>
  <c r="G59" i="9"/>
  <c r="H61" i="9"/>
  <c r="L63" i="9"/>
  <c r="C92" i="9"/>
  <c r="K92" i="9"/>
  <c r="K119" i="9"/>
  <c r="L120" i="9"/>
  <c r="S149" i="9"/>
  <c r="P147" i="9"/>
  <c r="N162" i="9"/>
  <c r="D172" i="9"/>
  <c r="L172" i="9"/>
  <c r="B119" i="9"/>
  <c r="B63" i="9"/>
  <c r="C64" i="9"/>
  <c r="E35" i="9"/>
  <c r="M35" i="9"/>
  <c r="F37" i="9"/>
  <c r="N37" i="9"/>
  <c r="G119" i="9"/>
  <c r="G120" i="9"/>
  <c r="G63" i="9"/>
  <c r="O119" i="9"/>
  <c r="O120" i="9"/>
  <c r="O63" i="9"/>
  <c r="G39" i="9"/>
  <c r="O39" i="9"/>
  <c r="I56" i="9"/>
  <c r="J59" i="9"/>
  <c r="K61" i="9"/>
  <c r="N63" i="9"/>
  <c r="D112" i="9"/>
  <c r="I148" i="9"/>
  <c r="P59" i="9"/>
  <c r="P115" i="9"/>
  <c r="S38" i="9"/>
  <c r="F59" i="9"/>
  <c r="F115" i="9"/>
  <c r="F116" i="9"/>
  <c r="N59" i="9"/>
  <c r="N60" i="9"/>
  <c r="N115" i="9"/>
  <c r="F35" i="9"/>
  <c r="N35" i="9"/>
  <c r="G117" i="9"/>
  <c r="G118" i="9"/>
  <c r="G61" i="9"/>
  <c r="O117" i="9"/>
  <c r="O118" i="9"/>
  <c r="O61" i="9"/>
  <c r="G37" i="9"/>
  <c r="O37" i="9"/>
  <c r="H119" i="9"/>
  <c r="I120" i="9"/>
  <c r="H63" i="9"/>
  <c r="P119" i="9"/>
  <c r="P63" i="9"/>
  <c r="H39" i="9"/>
  <c r="P39" i="9"/>
  <c r="I40" i="9"/>
  <c r="I65" i="9"/>
  <c r="L112" i="9"/>
  <c r="C166" i="9"/>
  <c r="H59" i="9"/>
  <c r="H115" i="9"/>
  <c r="H116" i="9"/>
  <c r="G35" i="9"/>
  <c r="O35" i="9"/>
  <c r="H37" i="9"/>
  <c r="P37" i="9"/>
  <c r="R38" i="9"/>
  <c r="I39" i="9"/>
  <c r="B40" i="9"/>
  <c r="J40" i="9"/>
  <c r="G56" i="9"/>
  <c r="O56" i="9"/>
  <c r="L56" i="9"/>
  <c r="N61" i="9"/>
  <c r="N62" i="9"/>
  <c r="I76" i="9"/>
  <c r="P150" i="9"/>
  <c r="P166" i="9"/>
  <c r="L206" i="9"/>
  <c r="S83" i="9"/>
  <c r="E112" i="9"/>
  <c r="M112" i="9"/>
  <c r="I150" i="9"/>
  <c r="S151" i="9"/>
  <c r="D156" i="9"/>
  <c r="L156" i="9"/>
  <c r="G162" i="9"/>
  <c r="O162" i="9"/>
  <c r="S167" i="9"/>
  <c r="J168" i="9"/>
  <c r="J218" i="9"/>
  <c r="F112" i="9"/>
  <c r="N112" i="9"/>
  <c r="R147" i="9"/>
  <c r="R163" i="9"/>
  <c r="P206" i="9"/>
  <c r="G112" i="9"/>
  <c r="O112" i="9"/>
  <c r="P130" i="9"/>
  <c r="C150" i="9"/>
  <c r="K150" i="9"/>
  <c r="D152" i="9"/>
  <c r="L152" i="9"/>
  <c r="F156" i="9"/>
  <c r="N156" i="9"/>
  <c r="G158" i="9"/>
  <c r="O158" i="9"/>
  <c r="R161" i="9"/>
  <c r="I162" i="9"/>
  <c r="S163" i="9"/>
  <c r="J164" i="9"/>
  <c r="D168" i="9"/>
  <c r="L168" i="9"/>
  <c r="I206" i="9"/>
  <c r="R129" i="9"/>
  <c r="S161" i="9"/>
  <c r="S217" i="9"/>
  <c r="P56" i="9"/>
  <c r="R111" i="9"/>
  <c r="I112" i="9"/>
  <c r="P156" i="9"/>
  <c r="R157" i="9"/>
  <c r="P172" i="9"/>
  <c r="S111" i="9"/>
  <c r="F150" i="9"/>
  <c r="N150" i="9"/>
  <c r="I156" i="9"/>
  <c r="S157" i="9"/>
  <c r="D162" i="9"/>
  <c r="L162" i="9"/>
  <c r="G168" i="9"/>
  <c r="O168" i="9"/>
  <c r="S99" i="9"/>
  <c r="P35" i="8"/>
  <c r="J119" i="8"/>
  <c r="J63" i="8"/>
  <c r="K64" i="8"/>
  <c r="J37" i="8"/>
  <c r="K39" i="8"/>
  <c r="E172" i="8"/>
  <c r="G35" i="8"/>
  <c r="O35" i="8"/>
  <c r="H117" i="8"/>
  <c r="H118" i="8"/>
  <c r="H61" i="8"/>
  <c r="P117" i="8"/>
  <c r="P61" i="8"/>
  <c r="H37" i="8"/>
  <c r="P37" i="8"/>
  <c r="I119" i="8"/>
  <c r="I120" i="8"/>
  <c r="I63" i="8"/>
  <c r="R38" i="8"/>
  <c r="I39" i="8"/>
  <c r="J40" i="8"/>
  <c r="J65" i="8"/>
  <c r="M56" i="8"/>
  <c r="N59" i="8"/>
  <c r="N60" i="8"/>
  <c r="O61" i="8"/>
  <c r="O62" i="8"/>
  <c r="P63" i="8"/>
  <c r="F43" i="8"/>
  <c r="N43" i="8"/>
  <c r="M115" i="8"/>
  <c r="M116" i="8"/>
  <c r="L117" i="8"/>
  <c r="K119" i="8"/>
  <c r="K120" i="8"/>
  <c r="H159" i="8"/>
  <c r="R167" i="8"/>
  <c r="S167" i="8"/>
  <c r="I35" i="8"/>
  <c r="M172" i="8"/>
  <c r="R24" i="8"/>
  <c r="J35" i="8"/>
  <c r="C117" i="8"/>
  <c r="C118" i="8"/>
  <c r="C61" i="8"/>
  <c r="K117" i="8"/>
  <c r="K118" i="8"/>
  <c r="K61" i="8"/>
  <c r="L62" i="8"/>
  <c r="C37" i="8"/>
  <c r="K37" i="8"/>
  <c r="L64" i="8"/>
  <c r="D39" i="8"/>
  <c r="L39" i="8"/>
  <c r="E40" i="8"/>
  <c r="E65" i="8"/>
  <c r="M40" i="8"/>
  <c r="M121" i="8"/>
  <c r="D56" i="8"/>
  <c r="E59" i="8"/>
  <c r="F61" i="8"/>
  <c r="G63" i="8"/>
  <c r="P100" i="8"/>
  <c r="I43" i="8"/>
  <c r="R111" i="8"/>
  <c r="B115" i="8"/>
  <c r="P119" i="8"/>
  <c r="P120" i="8"/>
  <c r="I150" i="8"/>
  <c r="J168" i="8"/>
  <c r="S169" i="8"/>
  <c r="H59" i="8"/>
  <c r="H60" i="8"/>
  <c r="H115" i="8"/>
  <c r="B119" i="8"/>
  <c r="C120" i="8"/>
  <c r="B63" i="8"/>
  <c r="P25" i="8"/>
  <c r="S36" i="8"/>
  <c r="C39" i="8"/>
  <c r="I56" i="8"/>
  <c r="R2" i="8"/>
  <c r="C59" i="8"/>
  <c r="C60" i="8"/>
  <c r="C115" i="8"/>
  <c r="K59" i="8"/>
  <c r="K60" i="8"/>
  <c r="K115" i="8"/>
  <c r="C35" i="8"/>
  <c r="K35" i="8"/>
  <c r="D37" i="8"/>
  <c r="L37" i="8"/>
  <c r="E64" i="8"/>
  <c r="M64" i="8"/>
  <c r="E39" i="8"/>
  <c r="M39" i="8"/>
  <c r="F40" i="8"/>
  <c r="F121" i="8"/>
  <c r="N40" i="8"/>
  <c r="N65" i="8"/>
  <c r="E56" i="8"/>
  <c r="E115" i="8"/>
  <c r="E116" i="8"/>
  <c r="D117" i="8"/>
  <c r="R151" i="8"/>
  <c r="L156" i="8"/>
  <c r="G164" i="8"/>
  <c r="H35" i="8"/>
  <c r="S2" i="8"/>
  <c r="D35" i="8"/>
  <c r="L35" i="8"/>
  <c r="E37" i="8"/>
  <c r="M37" i="8"/>
  <c r="F39" i="8"/>
  <c r="N39" i="8"/>
  <c r="G40" i="8"/>
  <c r="G65" i="8"/>
  <c r="O40" i="8"/>
  <c r="O65" i="8"/>
  <c r="H56" i="8"/>
  <c r="I59" i="8"/>
  <c r="J61" i="8"/>
  <c r="S151" i="8"/>
  <c r="P59" i="8"/>
  <c r="P115" i="8"/>
  <c r="S38" i="8"/>
  <c r="M35" i="8"/>
  <c r="F37" i="8"/>
  <c r="N37" i="8"/>
  <c r="G39" i="8"/>
  <c r="O39" i="8"/>
  <c r="H40" i="8"/>
  <c r="H65" i="8"/>
  <c r="P40" i="8"/>
  <c r="P121" i="8"/>
  <c r="L59" i="8"/>
  <c r="N63" i="8"/>
  <c r="G115" i="8"/>
  <c r="E119" i="8"/>
  <c r="F120" i="8"/>
  <c r="D166" i="8"/>
  <c r="M206" i="8"/>
  <c r="I37" i="8"/>
  <c r="J39" i="8"/>
  <c r="S55" i="8"/>
  <c r="G37" i="8"/>
  <c r="O37" i="8"/>
  <c r="H39" i="8"/>
  <c r="I40" i="8"/>
  <c r="I65" i="8"/>
  <c r="F56" i="8"/>
  <c r="N56" i="8"/>
  <c r="O63" i="8"/>
  <c r="I112" i="8"/>
  <c r="J115" i="8"/>
  <c r="I117" i="8"/>
  <c r="G159" i="8"/>
  <c r="O159" i="8"/>
  <c r="P164" i="8"/>
  <c r="D172" i="8"/>
  <c r="J150" i="8"/>
  <c r="C152" i="8"/>
  <c r="K152" i="8"/>
  <c r="E156" i="8"/>
  <c r="M156" i="8"/>
  <c r="F158" i="8"/>
  <c r="N158" i="8"/>
  <c r="H162" i="8"/>
  <c r="P162" i="8"/>
  <c r="R163" i="8"/>
  <c r="I164" i="8"/>
  <c r="C168" i="8"/>
  <c r="K168" i="8"/>
  <c r="D170" i="8"/>
  <c r="L170" i="8"/>
  <c r="P206" i="8"/>
  <c r="P159" i="8"/>
  <c r="R161" i="8"/>
  <c r="H112" i="8"/>
  <c r="P112" i="8"/>
  <c r="J206" i="8"/>
  <c r="S217" i="8"/>
  <c r="E150" i="8"/>
  <c r="M150" i="8"/>
  <c r="F152" i="8"/>
  <c r="N152" i="8"/>
  <c r="H156" i="8"/>
  <c r="P156" i="8"/>
  <c r="I158" i="8"/>
  <c r="C162" i="8"/>
  <c r="K162" i="8"/>
  <c r="D164" i="8"/>
  <c r="L164" i="8"/>
  <c r="F168" i="8"/>
  <c r="N168" i="8"/>
  <c r="G170" i="8"/>
  <c r="P172" i="8"/>
  <c r="R55" i="8"/>
  <c r="S111" i="8"/>
  <c r="P153" i="8"/>
  <c r="R155" i="8"/>
  <c r="S157" i="8"/>
  <c r="O168" i="8"/>
  <c r="E64" i="6"/>
  <c r="D35" i="6"/>
  <c r="E37" i="6"/>
  <c r="N121" i="6"/>
  <c r="N43" i="6"/>
  <c r="J168" i="6"/>
  <c r="R24" i="6"/>
  <c r="S34" i="6"/>
  <c r="J35" i="6"/>
  <c r="C37" i="6"/>
  <c r="K37" i="6"/>
  <c r="D39" i="6"/>
  <c r="L39" i="6"/>
  <c r="E40" i="6"/>
  <c r="E121" i="6"/>
  <c r="M40" i="6"/>
  <c r="M121" i="6"/>
  <c r="E43" i="6"/>
  <c r="M43" i="6"/>
  <c r="K59" i="6"/>
  <c r="K60" i="6"/>
  <c r="L61" i="6"/>
  <c r="L62" i="6"/>
  <c r="M63" i="6"/>
  <c r="S83" i="6"/>
  <c r="C92" i="6"/>
  <c r="G115" i="6"/>
  <c r="G116" i="6"/>
  <c r="E119" i="6"/>
  <c r="R155" i="6"/>
  <c r="J153" i="6"/>
  <c r="S167" i="6"/>
  <c r="L172" i="6"/>
  <c r="D37" i="6"/>
  <c r="E39" i="6"/>
  <c r="J3" i="6"/>
  <c r="M37" i="6"/>
  <c r="E35" i="6"/>
  <c r="M35" i="6"/>
  <c r="N37" i="6"/>
  <c r="G39" i="6"/>
  <c r="O39" i="6"/>
  <c r="P56" i="6"/>
  <c r="R59" i="6"/>
  <c r="B61" i="6"/>
  <c r="C62" i="6"/>
  <c r="C63" i="6"/>
  <c r="D64" i="6"/>
  <c r="D84" i="6"/>
  <c r="L84" i="6"/>
  <c r="E92" i="6"/>
  <c r="M92" i="6"/>
  <c r="F100" i="6"/>
  <c r="N100" i="6"/>
  <c r="G112" i="6"/>
  <c r="O112" i="6"/>
  <c r="M112" i="6"/>
  <c r="N115" i="6"/>
  <c r="N116" i="6"/>
  <c r="M117" i="6"/>
  <c r="M118" i="6"/>
  <c r="L119" i="6"/>
  <c r="L120" i="6"/>
  <c r="H130" i="6"/>
  <c r="P130" i="6"/>
  <c r="B147" i="6"/>
  <c r="J147" i="6"/>
  <c r="S149" i="6"/>
  <c r="F152" i="6"/>
  <c r="E153" i="6"/>
  <c r="M153" i="6"/>
  <c r="L156" i="6"/>
  <c r="P164" i="6"/>
  <c r="D168" i="6"/>
  <c r="L168" i="6"/>
  <c r="K168" i="6"/>
  <c r="F172" i="6"/>
  <c r="N172" i="6"/>
  <c r="J25" i="6"/>
  <c r="C35" i="6"/>
  <c r="L37" i="6"/>
  <c r="N119" i="6"/>
  <c r="N63" i="6"/>
  <c r="F43" i="6"/>
  <c r="O158" i="6"/>
  <c r="F35" i="6"/>
  <c r="G37" i="6"/>
  <c r="O37" i="6"/>
  <c r="I56" i="6"/>
  <c r="S55" i="6"/>
  <c r="C59" i="6"/>
  <c r="C60" i="6"/>
  <c r="D61" i="6"/>
  <c r="D62" i="6"/>
  <c r="J84" i="6"/>
  <c r="N112" i="6"/>
  <c r="O115" i="6"/>
  <c r="M119" i="6"/>
  <c r="M120" i="6"/>
  <c r="S129" i="6"/>
  <c r="C150" i="6"/>
  <c r="K150" i="6"/>
  <c r="E150" i="6"/>
  <c r="D152" i="6"/>
  <c r="L152" i="6"/>
  <c r="H152" i="6"/>
  <c r="F156" i="6"/>
  <c r="N156" i="6"/>
  <c r="M156" i="6"/>
  <c r="H159" i="6"/>
  <c r="S161" i="6"/>
  <c r="P159" i="6"/>
  <c r="B165" i="6"/>
  <c r="K35" i="6"/>
  <c r="G35" i="6"/>
  <c r="O35" i="6"/>
  <c r="H117" i="6"/>
  <c r="H118" i="6"/>
  <c r="H61" i="6"/>
  <c r="I62" i="6"/>
  <c r="P117" i="6"/>
  <c r="P61" i="6"/>
  <c r="H37" i="6"/>
  <c r="P37" i="6"/>
  <c r="I119" i="6"/>
  <c r="I120" i="6"/>
  <c r="I63" i="6"/>
  <c r="R38" i="6"/>
  <c r="I39" i="6"/>
  <c r="B40" i="6"/>
  <c r="B65" i="6"/>
  <c r="J40" i="6"/>
  <c r="J65" i="6"/>
  <c r="B43" i="6"/>
  <c r="R55" i="6"/>
  <c r="J43" i="6"/>
  <c r="P100" i="6"/>
  <c r="B115" i="6"/>
  <c r="C116" i="6"/>
  <c r="G150" i="6"/>
  <c r="J152" i="6"/>
  <c r="F158" i="6"/>
  <c r="H218" i="6"/>
  <c r="P218" i="6"/>
  <c r="S217" i="6"/>
  <c r="L35" i="6"/>
  <c r="F119" i="6"/>
  <c r="F63" i="6"/>
  <c r="N39" i="6"/>
  <c r="L115" i="6"/>
  <c r="L116" i="6"/>
  <c r="H59" i="6"/>
  <c r="H60" i="6"/>
  <c r="H115" i="6"/>
  <c r="P59" i="6"/>
  <c r="P115" i="6"/>
  <c r="H35" i="6"/>
  <c r="P35" i="6"/>
  <c r="R36" i="6"/>
  <c r="I37" i="6"/>
  <c r="R63" i="6"/>
  <c r="S38" i="6"/>
  <c r="J39" i="6"/>
  <c r="C40" i="6"/>
  <c r="C65" i="6"/>
  <c r="K40" i="6"/>
  <c r="K121" i="6"/>
  <c r="C56" i="6"/>
  <c r="K56" i="6"/>
  <c r="E56" i="6"/>
  <c r="G84" i="6"/>
  <c r="O84" i="6"/>
  <c r="H92" i="6"/>
  <c r="P92" i="6"/>
  <c r="I100" i="6"/>
  <c r="J112" i="6"/>
  <c r="D115" i="6"/>
  <c r="E116" i="6"/>
  <c r="C117" i="6"/>
  <c r="C118" i="6"/>
  <c r="B119" i="6"/>
  <c r="C120" i="6"/>
  <c r="C130" i="6"/>
  <c r="K130" i="6"/>
  <c r="I150" i="6"/>
  <c r="K152" i="6"/>
  <c r="R169" i="6"/>
  <c r="D165" i="6"/>
  <c r="L170" i="6"/>
  <c r="M206" i="6"/>
  <c r="O41" i="6"/>
  <c r="G158" i="6"/>
  <c r="R34" i="6"/>
  <c r="I35" i="6"/>
  <c r="S36" i="6"/>
  <c r="J37" i="6"/>
  <c r="C39" i="6"/>
  <c r="K39" i="6"/>
  <c r="D40" i="6"/>
  <c r="L40" i="6"/>
  <c r="L65" i="6"/>
  <c r="I59" i="6"/>
  <c r="J61" i="6"/>
  <c r="K63" i="6"/>
  <c r="R99" i="6"/>
  <c r="E112" i="6"/>
  <c r="E117" i="6"/>
  <c r="E118" i="6"/>
  <c r="D119" i="6"/>
  <c r="D120" i="6"/>
  <c r="F150" i="6"/>
  <c r="N150" i="6"/>
  <c r="J150" i="6"/>
  <c r="G152" i="6"/>
  <c r="O152" i="6"/>
  <c r="S155" i="6"/>
  <c r="D158" i="6"/>
  <c r="N158" i="6"/>
  <c r="E170" i="6"/>
  <c r="M170" i="6"/>
  <c r="F206" i="6"/>
  <c r="N206" i="6"/>
  <c r="S91" i="6"/>
  <c r="E159" i="6"/>
  <c r="M159" i="6"/>
  <c r="H165" i="6"/>
  <c r="P165" i="6"/>
  <c r="S169" i="6"/>
  <c r="R161" i="6"/>
  <c r="H112" i="6"/>
  <c r="P112" i="6"/>
  <c r="P158" i="6"/>
  <c r="J206" i="6"/>
  <c r="R157" i="6"/>
  <c r="S111" i="6"/>
  <c r="R171" i="6"/>
  <c r="S171" i="6"/>
  <c r="I224" i="4"/>
  <c r="J224" i="4"/>
  <c r="K224" i="4"/>
  <c r="S223" i="4"/>
  <c r="N224" i="4"/>
  <c r="F224" i="4"/>
  <c r="O212" i="4"/>
  <c r="G212" i="4"/>
  <c r="N212" i="4"/>
  <c r="F212" i="4"/>
  <c r="K212" i="4"/>
  <c r="M212" i="4"/>
  <c r="I212" i="4"/>
  <c r="H212" i="4"/>
  <c r="L178" i="4"/>
  <c r="D178" i="4"/>
  <c r="I178" i="4"/>
  <c r="K178" i="4"/>
  <c r="H178" i="4"/>
  <c r="L176" i="4"/>
  <c r="D176" i="4"/>
  <c r="F130" i="4"/>
  <c r="R175" i="4"/>
  <c r="L171" i="4"/>
  <c r="D171" i="4"/>
  <c r="E172" i="4"/>
  <c r="E130" i="4"/>
  <c r="I176" i="4"/>
  <c r="J171" i="4"/>
  <c r="B171" i="4"/>
  <c r="I171" i="4"/>
  <c r="M171" i="4"/>
  <c r="O171" i="4"/>
  <c r="G171" i="4"/>
  <c r="D174" i="4"/>
  <c r="L130" i="4"/>
  <c r="D130" i="4"/>
  <c r="R173" i="4"/>
  <c r="J130" i="4"/>
  <c r="C130" i="4"/>
  <c r="S173" i="4"/>
  <c r="P171" i="4"/>
  <c r="L174" i="4"/>
  <c r="I174" i="4"/>
  <c r="N130" i="4"/>
  <c r="N112" i="4"/>
  <c r="F112" i="4"/>
  <c r="K112" i="4"/>
  <c r="C112" i="4"/>
  <c r="H43" i="4"/>
  <c r="N43" i="4"/>
  <c r="F43" i="4"/>
  <c r="O112" i="4"/>
  <c r="G112" i="4"/>
  <c r="M112" i="4"/>
  <c r="E112" i="4"/>
  <c r="J43" i="4"/>
  <c r="D112" i="4"/>
  <c r="R111" i="4"/>
  <c r="S111" i="4"/>
  <c r="L112" i="4"/>
  <c r="M43" i="4"/>
  <c r="E43" i="4"/>
  <c r="H100" i="4"/>
  <c r="N168" i="4"/>
  <c r="F168" i="4"/>
  <c r="G100" i="4"/>
  <c r="L100" i="4"/>
  <c r="D100" i="4"/>
  <c r="J100" i="4"/>
  <c r="C100" i="4"/>
  <c r="R161" i="4"/>
  <c r="S99" i="4"/>
  <c r="P100" i="4"/>
  <c r="I100" i="4"/>
  <c r="N162" i="4"/>
  <c r="L92" i="4"/>
  <c r="D92" i="4"/>
  <c r="P170" i="4"/>
  <c r="H170" i="4"/>
  <c r="H92" i="4"/>
  <c r="O170" i="4"/>
  <c r="L170" i="4"/>
  <c r="O92" i="4"/>
  <c r="G92" i="4"/>
  <c r="M170" i="4"/>
  <c r="P165" i="4"/>
  <c r="H165" i="4"/>
  <c r="N92" i="4"/>
  <c r="R163" i="4"/>
  <c r="J164" i="4"/>
  <c r="G159" i="4"/>
  <c r="O159" i="4"/>
  <c r="M92" i="4"/>
  <c r="E92" i="4"/>
  <c r="N159" i="4"/>
  <c r="F159" i="4"/>
  <c r="C92" i="4"/>
  <c r="J92" i="4"/>
  <c r="H164" i="4"/>
  <c r="N164" i="4"/>
  <c r="F164" i="4"/>
  <c r="K159" i="4"/>
  <c r="C159" i="4"/>
  <c r="S91" i="4"/>
  <c r="M164" i="4"/>
  <c r="E164" i="4"/>
  <c r="C84" i="4"/>
  <c r="P153" i="4"/>
  <c r="H153" i="4"/>
  <c r="D153" i="4"/>
  <c r="K84" i="4"/>
  <c r="S83" i="4"/>
  <c r="O84" i="4"/>
  <c r="G84" i="4"/>
  <c r="R157" i="4"/>
  <c r="J158" i="4"/>
  <c r="P158" i="4"/>
  <c r="H158" i="4"/>
  <c r="M84" i="4"/>
  <c r="E84" i="4"/>
  <c r="O158" i="4"/>
  <c r="G158" i="4"/>
  <c r="J153" i="4"/>
  <c r="B153" i="4"/>
  <c r="N84" i="4"/>
  <c r="F84" i="4"/>
  <c r="K156" i="4"/>
  <c r="P156" i="4"/>
  <c r="H156" i="4"/>
  <c r="P84" i="4"/>
  <c r="I84" i="4"/>
  <c r="L56" i="4"/>
  <c r="C56" i="4"/>
  <c r="J56" i="4"/>
  <c r="D56" i="4"/>
  <c r="F56" i="4"/>
  <c r="K56" i="4"/>
  <c r="R55" i="4"/>
  <c r="O56" i="4"/>
  <c r="S55" i="4"/>
  <c r="N56" i="4"/>
  <c r="R2" i="4"/>
  <c r="C3" i="4"/>
  <c r="I3" i="4"/>
  <c r="P3" i="4"/>
  <c r="G3" i="4"/>
  <c r="M3" i="4"/>
  <c r="E3" i="4"/>
  <c r="L3" i="4"/>
  <c r="D3" i="4"/>
  <c r="H3" i="4"/>
  <c r="O3" i="4"/>
  <c r="N3" i="4"/>
  <c r="J3" i="4"/>
  <c r="K119" i="4"/>
  <c r="K120" i="4"/>
  <c r="K63" i="4"/>
  <c r="P63" i="4"/>
  <c r="M40" i="4"/>
  <c r="M65" i="4"/>
  <c r="E40" i="4"/>
  <c r="E65" i="4"/>
  <c r="L39" i="4"/>
  <c r="N117" i="4"/>
  <c r="N118" i="4"/>
  <c r="O37" i="4"/>
  <c r="F117" i="4"/>
  <c r="F118" i="4"/>
  <c r="G37" i="4"/>
  <c r="L35" i="4"/>
  <c r="I56" i="4"/>
  <c r="C43" i="4"/>
  <c r="O63" i="4"/>
  <c r="K92" i="4"/>
  <c r="O224" i="4"/>
  <c r="S211" i="4"/>
  <c r="P212" i="4"/>
  <c r="N171" i="4"/>
  <c r="O174" i="4"/>
  <c r="F171" i="4"/>
  <c r="F172" i="4"/>
  <c r="G174" i="4"/>
  <c r="N153" i="4"/>
  <c r="F153" i="4"/>
  <c r="C119" i="4"/>
  <c r="C120" i="4"/>
  <c r="C63" i="4"/>
  <c r="H119" i="4"/>
  <c r="H120" i="4"/>
  <c r="J112" i="4"/>
  <c r="F3" i="4"/>
  <c r="G25" i="4"/>
  <c r="L40" i="4"/>
  <c r="L121" i="4"/>
  <c r="D40" i="4"/>
  <c r="D121" i="4"/>
  <c r="K39" i="4"/>
  <c r="C39" i="4"/>
  <c r="F37" i="4"/>
  <c r="K35" i="4"/>
  <c r="H56" i="4"/>
  <c r="P43" i="4"/>
  <c r="N63" i="4"/>
  <c r="F61" i="4"/>
  <c r="L59" i="4"/>
  <c r="I92" i="4"/>
  <c r="I159" i="4"/>
  <c r="M153" i="4"/>
  <c r="N156" i="4"/>
  <c r="E153" i="4"/>
  <c r="F156" i="4"/>
  <c r="I112" i="4"/>
  <c r="R34" i="4"/>
  <c r="P159" i="4"/>
  <c r="S161" i="4"/>
  <c r="K130" i="4"/>
  <c r="R129" i="4"/>
  <c r="I39" i="4"/>
  <c r="M37" i="4"/>
  <c r="D37" i="4"/>
  <c r="K117" i="4"/>
  <c r="K61" i="4"/>
  <c r="C117" i="4"/>
  <c r="C61" i="4"/>
  <c r="I35" i="4"/>
  <c r="S59" i="4"/>
  <c r="K43" i="4"/>
  <c r="D61" i="4"/>
  <c r="D84" i="4"/>
  <c r="M224" i="4"/>
  <c r="L212" i="4"/>
  <c r="K165" i="4"/>
  <c r="L168" i="4"/>
  <c r="C165" i="4"/>
  <c r="D168" i="4"/>
  <c r="S129" i="4"/>
  <c r="J115" i="4"/>
  <c r="H159" i="4"/>
  <c r="I162" i="4"/>
  <c r="K3" i="4"/>
  <c r="P39" i="4"/>
  <c r="H39" i="4"/>
  <c r="L37" i="4"/>
  <c r="J117" i="4"/>
  <c r="J61" i="4"/>
  <c r="R36" i="4"/>
  <c r="B61" i="4"/>
  <c r="L43" i="4"/>
  <c r="M56" i="4"/>
  <c r="D43" i="4"/>
  <c r="E56" i="4"/>
  <c r="H63" i="4"/>
  <c r="L224" i="4"/>
  <c r="E170" i="4"/>
  <c r="R169" i="4"/>
  <c r="C168" i="4"/>
  <c r="B115" i="4"/>
  <c r="C116" i="4"/>
  <c r="P40" i="4"/>
  <c r="P65" i="4"/>
  <c r="G63" i="4"/>
  <c r="R83" i="4"/>
  <c r="P92" i="4"/>
  <c r="G224" i="4"/>
  <c r="H162" i="4"/>
  <c r="K40" i="4"/>
  <c r="K65" i="4"/>
  <c r="C40" i="4"/>
  <c r="C65" i="4"/>
  <c r="I59" i="4"/>
  <c r="I60" i="4"/>
  <c r="I115" i="4"/>
  <c r="O40" i="4"/>
  <c r="O65" i="4"/>
  <c r="G40" i="4"/>
  <c r="G65" i="4"/>
  <c r="N39" i="4"/>
  <c r="F39" i="4"/>
  <c r="L119" i="4"/>
  <c r="M120" i="4"/>
  <c r="L63" i="4"/>
  <c r="D119" i="4"/>
  <c r="E120" i="4"/>
  <c r="R38" i="4"/>
  <c r="D63" i="4"/>
  <c r="J37" i="4"/>
  <c r="E35" i="4"/>
  <c r="M115" i="4"/>
  <c r="M116" i="4"/>
  <c r="N35" i="4"/>
  <c r="E115" i="4"/>
  <c r="E116" i="4"/>
  <c r="F35" i="4"/>
  <c r="F63" i="4"/>
  <c r="L61" i="4"/>
  <c r="D59" i="4"/>
  <c r="L84" i="4"/>
  <c r="R99" i="4"/>
  <c r="K100" i="4"/>
  <c r="J212" i="4"/>
  <c r="N174" i="4"/>
  <c r="D170" i="4"/>
  <c r="M156" i="4"/>
  <c r="P119" i="4"/>
  <c r="R167" i="4"/>
  <c r="P115" i="4"/>
  <c r="P116" i="4"/>
  <c r="H115" i="4"/>
  <c r="H116" i="4"/>
  <c r="J63" i="4"/>
  <c r="B63" i="4"/>
  <c r="K174" i="4"/>
  <c r="C174" i="4"/>
  <c r="P168" i="4"/>
  <c r="H168" i="4"/>
  <c r="M162" i="4"/>
  <c r="E162" i="4"/>
  <c r="J156" i="4"/>
  <c r="S155" i="4"/>
  <c r="K176" i="4"/>
  <c r="J174" i="4"/>
  <c r="O168" i="4"/>
  <c r="G168" i="4"/>
  <c r="L162" i="4"/>
  <c r="D162" i="4"/>
  <c r="I156" i="4"/>
  <c r="S175" i="4"/>
  <c r="H171" i="4"/>
  <c r="M165" i="4"/>
  <c r="E165" i="4"/>
  <c r="J159" i="4"/>
  <c r="B159" i="4"/>
  <c r="O153" i="4"/>
  <c r="G153" i="4"/>
  <c r="P174" i="4"/>
  <c r="H174" i="4"/>
  <c r="M168" i="4"/>
  <c r="E168" i="4"/>
  <c r="J162" i="4"/>
  <c r="O156" i="4"/>
  <c r="G156" i="4"/>
  <c r="J156" i="2"/>
  <c r="O172" i="2"/>
  <c r="G172" i="2"/>
  <c r="M170" i="2"/>
  <c r="E170" i="2"/>
  <c r="K168" i="2"/>
  <c r="P165" i="2"/>
  <c r="J159" i="2"/>
  <c r="P159" i="2"/>
  <c r="K158" i="2"/>
  <c r="I156" i="2"/>
  <c r="C168" i="2"/>
  <c r="K76" i="2"/>
  <c r="K218" i="2"/>
  <c r="M39" i="2"/>
  <c r="K37" i="2"/>
  <c r="I35" i="2"/>
  <c r="B159" i="2"/>
  <c r="E172" i="2"/>
  <c r="C170" i="2"/>
  <c r="O165" i="2"/>
  <c r="K164" i="2"/>
  <c r="C164" i="2"/>
  <c r="I159" i="2"/>
  <c r="J158" i="2"/>
  <c r="P156" i="2"/>
  <c r="H156" i="2"/>
  <c r="O152" i="2"/>
  <c r="G147" i="2"/>
  <c r="M150" i="2"/>
  <c r="E147" i="2"/>
  <c r="D56" i="2"/>
  <c r="H159" i="2"/>
  <c r="I158" i="2"/>
  <c r="C172" i="2"/>
  <c r="G165" i="2"/>
  <c r="C147" i="2"/>
  <c r="C148" i="2"/>
  <c r="C56" i="2"/>
  <c r="J172" i="2"/>
  <c r="P170" i="2"/>
  <c r="H170" i="2"/>
  <c r="N168" i="2"/>
  <c r="G153" i="2"/>
  <c r="E156" i="2"/>
  <c r="L152" i="2"/>
  <c r="D152" i="2"/>
  <c r="J150" i="2"/>
  <c r="M166" i="2"/>
  <c r="P152" i="2"/>
  <c r="F158" i="2"/>
  <c r="I165" i="2"/>
  <c r="C158" i="2"/>
  <c r="N147" i="2"/>
  <c r="N150" i="2"/>
  <c r="L170" i="2"/>
  <c r="M84" i="2"/>
  <c r="L92" i="2"/>
  <c r="P25" i="2"/>
  <c r="F165" i="2"/>
  <c r="O159" i="2"/>
  <c r="G159" i="2"/>
  <c r="I153" i="2"/>
  <c r="C152" i="2"/>
  <c r="M147" i="2"/>
  <c r="J162" i="2"/>
  <c r="J218" i="2"/>
  <c r="G25" i="2"/>
  <c r="I172" i="2"/>
  <c r="O170" i="2"/>
  <c r="G170" i="2"/>
  <c r="M168" i="2"/>
  <c r="E165" i="2"/>
  <c r="H164" i="2"/>
  <c r="F162" i="2"/>
  <c r="F159" i="2"/>
  <c r="O153" i="2"/>
  <c r="P154" i="2"/>
  <c r="H153" i="2"/>
  <c r="H147" i="2"/>
  <c r="K147" i="2"/>
  <c r="F156" i="2"/>
  <c r="F168" i="2"/>
  <c r="D170" i="2"/>
  <c r="N100" i="2"/>
  <c r="O112" i="2"/>
  <c r="J130" i="2"/>
  <c r="K39" i="2"/>
  <c r="O35" i="2"/>
  <c r="P172" i="2"/>
  <c r="H172" i="2"/>
  <c r="N170" i="2"/>
  <c r="F170" i="2"/>
  <c r="L168" i="2"/>
  <c r="D165" i="2"/>
  <c r="G164" i="2"/>
  <c r="M159" i="2"/>
  <c r="E159" i="2"/>
  <c r="P158" i="2"/>
  <c r="N153" i="2"/>
  <c r="N154" i="2"/>
  <c r="O147" i="2"/>
  <c r="J147" i="2"/>
  <c r="J168" i="2"/>
  <c r="D115" i="2"/>
  <c r="M172" i="2"/>
  <c r="M76" i="2"/>
  <c r="H218" i="2"/>
  <c r="M25" i="2"/>
  <c r="E25" i="2"/>
  <c r="M115" i="2"/>
  <c r="M116" i="2"/>
  <c r="B153" i="2"/>
  <c r="K165" i="2"/>
  <c r="L166" i="2"/>
  <c r="C165" i="2"/>
  <c r="C166" i="2"/>
  <c r="F164" i="2"/>
  <c r="L159" i="2"/>
  <c r="D159" i="2"/>
  <c r="O158" i="2"/>
  <c r="E153" i="2"/>
  <c r="F172" i="2"/>
  <c r="N172" i="2"/>
  <c r="N164" i="2"/>
  <c r="M162" i="2"/>
  <c r="O164" i="2"/>
  <c r="G218" i="2"/>
  <c r="C25" i="2"/>
  <c r="F117" i="2"/>
  <c r="D153" i="2"/>
  <c r="P147" i="2"/>
  <c r="L147" i="2"/>
  <c r="N162" i="2"/>
  <c r="D168" i="2"/>
  <c r="L115" i="2"/>
  <c r="K162" i="2"/>
  <c r="O37" i="2"/>
  <c r="E168" i="2"/>
  <c r="B119" i="2"/>
  <c r="D150" i="2"/>
  <c r="E150" i="2"/>
  <c r="K156" i="2"/>
  <c r="I170" i="2"/>
  <c r="L156" i="2"/>
  <c r="K170" i="2"/>
  <c r="N156" i="2"/>
  <c r="D162" i="2"/>
  <c r="G100" i="2"/>
  <c r="C159" i="2"/>
  <c r="F153" i="2"/>
  <c r="I147" i="2"/>
  <c r="I150" i="2"/>
  <c r="O156" i="2"/>
  <c r="E162" i="2"/>
  <c r="C153" i="2"/>
  <c r="C150" i="2"/>
  <c r="F150" i="2"/>
  <c r="L172" i="2"/>
  <c r="M156" i="2"/>
  <c r="N218" i="2"/>
  <c r="D39" i="2"/>
  <c r="P35" i="2"/>
  <c r="K25" i="2"/>
  <c r="E158" i="2"/>
  <c r="G152" i="2"/>
  <c r="M158" i="2"/>
  <c r="G168" i="2"/>
  <c r="H168" i="2"/>
  <c r="C39" i="2"/>
  <c r="J165" i="2"/>
  <c r="L162" i="2"/>
  <c r="P37" i="2"/>
  <c r="H152" i="2"/>
  <c r="I168" i="2"/>
  <c r="J84" i="2"/>
  <c r="I92" i="2"/>
  <c r="N35" i="2"/>
  <c r="N115" i="2"/>
  <c r="F147" i="2"/>
  <c r="M100" i="2"/>
  <c r="I117" i="2"/>
  <c r="L63" i="2"/>
  <c r="I37" i="2"/>
  <c r="H117" i="2"/>
  <c r="K63" i="2"/>
  <c r="I218" i="2"/>
  <c r="H25" i="2"/>
  <c r="I119" i="2"/>
  <c r="G39" i="2"/>
  <c r="G117" i="2"/>
  <c r="O40" i="2"/>
  <c r="O121" i="2"/>
  <c r="N37" i="2"/>
  <c r="B115" i="2"/>
  <c r="J119" i="2"/>
  <c r="B117" i="2"/>
  <c r="F218" i="2"/>
  <c r="H35" i="2"/>
  <c r="C117" i="2"/>
  <c r="M35" i="2"/>
  <c r="P63" i="2"/>
  <c r="P115" i="2"/>
  <c r="D117" i="2"/>
  <c r="E119" i="2"/>
  <c r="C119" i="2"/>
  <c r="M63" i="2"/>
  <c r="D119" i="2"/>
  <c r="P112" i="2"/>
  <c r="K130" i="2"/>
  <c r="I25" i="2"/>
  <c r="O115" i="2"/>
  <c r="E117" i="2"/>
  <c r="F119" i="2"/>
  <c r="I59" i="2"/>
  <c r="K119" i="2"/>
  <c r="P40" i="2"/>
  <c r="P65" i="2"/>
  <c r="H59" i="2"/>
  <c r="I115" i="2"/>
  <c r="K117" i="2"/>
  <c r="E35" i="2"/>
  <c r="F40" i="2"/>
  <c r="F121" i="2"/>
  <c r="G59" i="2"/>
  <c r="L117" i="2"/>
  <c r="M119" i="2"/>
  <c r="H40" i="2"/>
  <c r="H121" i="2"/>
  <c r="F59" i="2"/>
  <c r="M117" i="2"/>
  <c r="N119" i="2"/>
  <c r="C35" i="2"/>
  <c r="E39" i="2"/>
  <c r="O61" i="2"/>
  <c r="N117" i="2"/>
  <c r="O119" i="2"/>
  <c r="K115" i="2"/>
  <c r="J115" i="2"/>
  <c r="F56" i="2"/>
  <c r="O25" i="2"/>
  <c r="F39" i="2"/>
  <c r="P76" i="2"/>
  <c r="D92" i="2"/>
  <c r="O100" i="2"/>
  <c r="D112" i="2"/>
  <c r="L40" i="2"/>
  <c r="L121" i="2"/>
  <c r="J37" i="2"/>
  <c r="C63" i="2"/>
  <c r="O76" i="2"/>
  <c r="C92" i="2"/>
  <c r="N130" i="2"/>
  <c r="P218" i="2"/>
  <c r="K40" i="2"/>
  <c r="K121" i="2"/>
  <c r="G35" i="2"/>
  <c r="F37" i="2"/>
  <c r="D63" i="2"/>
  <c r="N76" i="2"/>
  <c r="C84" i="2"/>
  <c r="M130" i="2"/>
  <c r="F35" i="2"/>
  <c r="G37" i="2"/>
  <c r="J59" i="2"/>
  <c r="E40" i="2"/>
  <c r="E65" i="2"/>
  <c r="M218" i="2"/>
  <c r="D40" i="2"/>
  <c r="D121" i="2"/>
  <c r="C37" i="2"/>
  <c r="C59" i="2"/>
  <c r="K84" i="2"/>
  <c r="J92" i="2"/>
  <c r="E100" i="2"/>
  <c r="J112" i="2"/>
  <c r="E130" i="2"/>
  <c r="N25" i="2"/>
  <c r="J61" i="2"/>
  <c r="J62" i="2"/>
  <c r="H37" i="2"/>
  <c r="K61" i="2"/>
  <c r="G40" i="2"/>
  <c r="G65" i="2"/>
  <c r="C40" i="2"/>
  <c r="C121" i="2"/>
  <c r="D59" i="2"/>
  <c r="D76" i="2"/>
  <c r="I84" i="2"/>
  <c r="H92" i="2"/>
  <c r="L25" i="2"/>
  <c r="E56" i="2"/>
  <c r="F25" i="2"/>
  <c r="H39" i="2"/>
  <c r="L35" i="2"/>
  <c r="O63" i="2"/>
  <c r="P56" i="2"/>
  <c r="P100" i="2"/>
  <c r="F112" i="2"/>
  <c r="B40" i="2"/>
  <c r="B121" i="2"/>
  <c r="I39" i="2"/>
  <c r="E59" i="2"/>
  <c r="N63" i="2"/>
  <c r="C112" i="2"/>
  <c r="L218" i="2"/>
  <c r="J39" i="2"/>
  <c r="N40" i="2"/>
  <c r="N121" i="2"/>
  <c r="J43" i="2"/>
  <c r="O39" i="2"/>
  <c r="J40" i="2"/>
  <c r="J121" i="2"/>
  <c r="P39" i="2"/>
  <c r="G63" i="2"/>
  <c r="N84" i="2"/>
  <c r="M92" i="2"/>
  <c r="H100" i="2"/>
  <c r="N112" i="2"/>
  <c r="I130" i="2"/>
  <c r="I40" i="2"/>
  <c r="I65" i="2"/>
  <c r="H63" i="2"/>
  <c r="M61" i="2"/>
  <c r="D37" i="2"/>
  <c r="L61" i="2"/>
  <c r="K35" i="2"/>
  <c r="B43" i="2"/>
  <c r="M37" i="2"/>
  <c r="L39" i="2"/>
  <c r="K43" i="2"/>
  <c r="M40" i="2"/>
  <c r="M121" i="2"/>
  <c r="I43" i="2"/>
  <c r="E61" i="2"/>
  <c r="H43" i="2"/>
  <c r="G76" i="2"/>
  <c r="L84" i="2"/>
  <c r="F100" i="2"/>
  <c r="L112" i="2"/>
  <c r="G130" i="2"/>
  <c r="E92" i="2"/>
  <c r="C100" i="2"/>
  <c r="K112" i="2"/>
  <c r="I76" i="2"/>
  <c r="P84" i="2"/>
  <c r="O92" i="2"/>
  <c r="E112" i="2"/>
  <c r="P130" i="2"/>
  <c r="D130" i="2"/>
  <c r="G43" i="2"/>
  <c r="K56" i="2"/>
  <c r="H76" i="2"/>
  <c r="O84" i="2"/>
  <c r="N92" i="2"/>
  <c r="O130" i="2"/>
  <c r="J56" i="2"/>
  <c r="I56" i="2"/>
  <c r="M56" i="2"/>
  <c r="H56" i="2"/>
  <c r="K92" i="2"/>
  <c r="I100" i="2"/>
  <c r="L130" i="2"/>
  <c r="D100" i="2"/>
  <c r="C130" i="2"/>
  <c r="G92" i="2"/>
  <c r="E43" i="2"/>
  <c r="C43" i="2"/>
  <c r="J100" i="2"/>
  <c r="D43" i="2"/>
  <c r="N43" i="2"/>
  <c r="O56" i="2"/>
  <c r="L100" i="2"/>
  <c r="H84" i="2"/>
  <c r="I112" i="2"/>
  <c r="G112" i="2"/>
  <c r="F76" i="2"/>
  <c r="K100" i="2"/>
  <c r="H112" i="2"/>
  <c r="O43" i="2"/>
  <c r="F43" i="2"/>
  <c r="G56" i="2"/>
  <c r="F84" i="2"/>
  <c r="J76" i="2"/>
  <c r="D84" i="2"/>
  <c r="P43" i="2"/>
  <c r="M43" i="2"/>
  <c r="L43" i="2"/>
  <c r="E84" i="2"/>
  <c r="G84" i="2"/>
  <c r="E76" i="2"/>
  <c r="P121" i="11"/>
  <c r="F166" i="9"/>
  <c r="L44" i="8"/>
  <c r="K160" i="8"/>
  <c r="N166" i="9"/>
  <c r="G148" i="9"/>
  <c r="S165" i="11"/>
  <c r="I166" i="11"/>
  <c r="K41" i="9"/>
  <c r="D119" i="12"/>
  <c r="C160" i="9"/>
  <c r="I44" i="10"/>
  <c r="I166" i="8"/>
  <c r="G41" i="10"/>
  <c r="N62" i="11"/>
  <c r="J44" i="9"/>
  <c r="O166" i="11"/>
  <c r="H166" i="9"/>
  <c r="C166" i="8"/>
  <c r="O148" i="9"/>
  <c r="M160" i="6"/>
  <c r="C166" i="6"/>
  <c r="D44" i="9"/>
  <c r="L154" i="9"/>
  <c r="P44" i="9"/>
  <c r="I154" i="11"/>
  <c r="F148" i="11"/>
  <c r="E160" i="11"/>
  <c r="L154" i="10"/>
  <c r="N166" i="2"/>
  <c r="N154" i="8"/>
  <c r="C160" i="6"/>
  <c r="C154" i="6"/>
  <c r="N166" i="6"/>
  <c r="K166" i="6"/>
  <c r="L160" i="2"/>
  <c r="K121" i="9"/>
  <c r="I62" i="2"/>
  <c r="D39" i="12"/>
  <c r="H148" i="11"/>
  <c r="L44" i="11"/>
  <c r="D148" i="10"/>
  <c r="P148" i="8"/>
  <c r="I148" i="11"/>
  <c r="D44" i="11"/>
  <c r="I166" i="10"/>
  <c r="G154" i="6"/>
  <c r="K154" i="10"/>
  <c r="G44" i="9"/>
  <c r="F44" i="9"/>
  <c r="K166" i="9"/>
  <c r="F160" i="8"/>
  <c r="M160" i="10"/>
  <c r="E62" i="2"/>
  <c r="O62" i="2"/>
  <c r="E148" i="9"/>
  <c r="F65" i="4"/>
  <c r="M65" i="2"/>
  <c r="R165" i="9"/>
  <c r="S165" i="9"/>
  <c r="L166" i="8"/>
  <c r="S153" i="9"/>
  <c r="N62" i="2"/>
  <c r="J65" i="2"/>
  <c r="N65" i="2"/>
  <c r="G62" i="9"/>
  <c r="J166" i="11"/>
  <c r="N65" i="11"/>
  <c r="K145" i="9"/>
  <c r="K146" i="9"/>
  <c r="H145" i="11"/>
  <c r="L148" i="10"/>
  <c r="D166" i="9"/>
  <c r="E160" i="8"/>
  <c r="C65" i="2"/>
  <c r="D65" i="2"/>
  <c r="E65" i="6"/>
  <c r="H65" i="4"/>
  <c r="C116" i="8"/>
  <c r="E44" i="6"/>
  <c r="N160" i="10"/>
  <c r="P65" i="8"/>
  <c r="O65" i="6"/>
  <c r="N65" i="4"/>
  <c r="N66" i="4"/>
  <c r="H65" i="11"/>
  <c r="D65" i="10"/>
  <c r="N65" i="10"/>
  <c r="M65" i="6"/>
  <c r="J148" i="8"/>
  <c r="O121" i="9"/>
  <c r="I160" i="11"/>
  <c r="I154" i="8"/>
  <c r="E166" i="8"/>
  <c r="M145" i="2"/>
  <c r="P148" i="6"/>
  <c r="H44" i="9"/>
  <c r="J44" i="11"/>
  <c r="G62" i="2"/>
  <c r="C44" i="8"/>
  <c r="C154" i="10"/>
  <c r="L65" i="2"/>
  <c r="L65" i="10"/>
  <c r="P65" i="10"/>
  <c r="F65" i="10"/>
  <c r="O65" i="2"/>
  <c r="P66" i="2"/>
  <c r="N62" i="10"/>
  <c r="G154" i="8"/>
  <c r="L166" i="9"/>
  <c r="L65" i="8"/>
  <c r="N65" i="9"/>
  <c r="H65" i="10"/>
  <c r="L65" i="11"/>
  <c r="I65" i="10"/>
  <c r="O145" i="2"/>
  <c r="O146" i="2"/>
  <c r="L148" i="9"/>
  <c r="D116" i="2"/>
  <c r="L120" i="11"/>
  <c r="P154" i="11"/>
  <c r="H160" i="11"/>
  <c r="K148" i="10"/>
  <c r="S61" i="9"/>
  <c r="E148" i="6"/>
  <c r="O148" i="8"/>
  <c r="E65" i="9"/>
  <c r="I65" i="4"/>
  <c r="D65" i="4"/>
  <c r="K65" i="2"/>
  <c r="J65" i="9"/>
  <c r="D65" i="11"/>
  <c r="F65" i="9"/>
  <c r="L160" i="8"/>
  <c r="J65" i="10"/>
  <c r="D120" i="11"/>
  <c r="G166" i="11"/>
  <c r="P41" i="9"/>
  <c r="G166" i="8"/>
  <c r="M148" i="8"/>
  <c r="G65" i="6"/>
  <c r="K65" i="6"/>
  <c r="J65" i="4"/>
  <c r="L65" i="4"/>
  <c r="C65" i="9"/>
  <c r="P65" i="6"/>
  <c r="G65" i="10"/>
  <c r="G66" i="10"/>
  <c r="H65" i="2"/>
  <c r="H65" i="9"/>
  <c r="F65" i="2"/>
  <c r="L160" i="9"/>
  <c r="O154" i="9"/>
  <c r="J145" i="9"/>
  <c r="R153" i="9"/>
  <c r="B145" i="9"/>
  <c r="P160" i="9"/>
  <c r="E160" i="9"/>
  <c r="C154" i="9"/>
  <c r="K154" i="9"/>
  <c r="D154" i="9"/>
  <c r="J154" i="9"/>
  <c r="M166" i="10"/>
  <c r="D166" i="10"/>
  <c r="E166" i="10"/>
  <c r="F166" i="10"/>
  <c r="D120" i="10"/>
  <c r="C145" i="10"/>
  <c r="H154" i="10"/>
  <c r="D160" i="10"/>
  <c r="L160" i="10"/>
  <c r="C160" i="10"/>
  <c r="K160" i="10"/>
  <c r="K145" i="10"/>
  <c r="E160" i="10"/>
  <c r="B145" i="10"/>
  <c r="F160" i="10"/>
  <c r="J154" i="10"/>
  <c r="G154" i="10"/>
  <c r="O148" i="10"/>
  <c r="H145" i="10"/>
  <c r="I148" i="10"/>
  <c r="J148" i="10"/>
  <c r="J44" i="4"/>
  <c r="M145" i="11"/>
  <c r="C148" i="11"/>
  <c r="G148" i="11"/>
  <c r="E148" i="11"/>
  <c r="M60" i="11"/>
  <c r="D60" i="11"/>
  <c r="K44" i="11"/>
  <c r="L166" i="6"/>
  <c r="J166" i="6"/>
  <c r="H166" i="6"/>
  <c r="F166" i="6"/>
  <c r="D44" i="6"/>
  <c r="F118" i="6"/>
  <c r="H116" i="6"/>
  <c r="H160" i="6"/>
  <c r="R159" i="6"/>
  <c r="G160" i="6"/>
  <c r="O160" i="6"/>
  <c r="H154" i="6"/>
  <c r="S153" i="6"/>
  <c r="K160" i="6"/>
  <c r="O145" i="6"/>
  <c r="L154" i="6"/>
  <c r="L145" i="6"/>
  <c r="O148" i="6"/>
  <c r="L148" i="6"/>
  <c r="N145" i="6"/>
  <c r="M148" i="6"/>
  <c r="I145" i="6"/>
  <c r="O160" i="8"/>
  <c r="M154" i="8"/>
  <c r="B145" i="8"/>
  <c r="H154" i="8"/>
  <c r="E154" i="8"/>
  <c r="F154" i="8"/>
  <c r="D145" i="8"/>
  <c r="L148" i="8"/>
  <c r="D148" i="8"/>
  <c r="J44" i="8"/>
  <c r="P154" i="9"/>
  <c r="G160" i="9"/>
  <c r="M154" i="9"/>
  <c r="R159" i="9"/>
  <c r="O145" i="9"/>
  <c r="E145" i="8"/>
  <c r="K65" i="8"/>
  <c r="R165" i="8"/>
  <c r="C65" i="8"/>
  <c r="S165" i="8"/>
  <c r="C154" i="8"/>
  <c r="R147" i="8"/>
  <c r="K166" i="8"/>
  <c r="C119" i="12"/>
  <c r="H62" i="8"/>
  <c r="F166" i="8"/>
  <c r="C63" i="12"/>
  <c r="D64" i="12"/>
  <c r="K44" i="8"/>
  <c r="J154" i="8"/>
  <c r="J120" i="8"/>
  <c r="D65" i="8"/>
  <c r="F65" i="8"/>
  <c r="M65" i="8"/>
  <c r="N66" i="8"/>
  <c r="M117" i="12"/>
  <c r="M61" i="12"/>
  <c r="G62" i="6"/>
  <c r="P116" i="6"/>
  <c r="N120" i="6"/>
  <c r="F120" i="6"/>
  <c r="C30" i="12"/>
  <c r="O120" i="6"/>
  <c r="P64" i="6"/>
  <c r="K118" i="6"/>
  <c r="I41" i="6"/>
  <c r="S117" i="6"/>
  <c r="P118" i="6"/>
  <c r="N118" i="6"/>
  <c r="H41" i="6"/>
  <c r="G41" i="6"/>
  <c r="I121" i="6"/>
  <c r="F60" i="6"/>
  <c r="M116" i="6"/>
  <c r="S40" i="6"/>
  <c r="O116" i="6"/>
  <c r="N41" i="6"/>
  <c r="H121" i="6"/>
  <c r="H116" i="8"/>
  <c r="L60" i="8"/>
  <c r="C62" i="8"/>
  <c r="M120" i="8"/>
  <c r="O116" i="8"/>
  <c r="N118" i="8"/>
  <c r="C64" i="8"/>
  <c r="O39" i="12"/>
  <c r="L120" i="8"/>
  <c r="N119" i="12"/>
  <c r="N30" i="12"/>
  <c r="E120" i="8"/>
  <c r="N120" i="8"/>
  <c r="S117" i="8"/>
  <c r="P118" i="8"/>
  <c r="D62" i="8"/>
  <c r="L118" i="8"/>
  <c r="E41" i="8"/>
  <c r="O118" i="8"/>
  <c r="I118" i="8"/>
  <c r="B65" i="8"/>
  <c r="J118" i="8"/>
  <c r="M118" i="8"/>
  <c r="C122" i="8"/>
  <c r="R117" i="8"/>
  <c r="D118" i="8"/>
  <c r="E118" i="8"/>
  <c r="G116" i="8"/>
  <c r="P116" i="8"/>
  <c r="F116" i="8"/>
  <c r="R115" i="8"/>
  <c r="J116" i="8"/>
  <c r="D41" i="8"/>
  <c r="L41" i="8"/>
  <c r="C41" i="8"/>
  <c r="I116" i="8"/>
  <c r="N116" i="8"/>
  <c r="D116" i="8"/>
  <c r="K116" i="8"/>
  <c r="L116" i="8"/>
  <c r="F64" i="11"/>
  <c r="P120" i="11"/>
  <c r="H120" i="11"/>
  <c r="P41" i="11"/>
  <c r="D41" i="11"/>
  <c r="K37" i="12"/>
  <c r="N121" i="11"/>
  <c r="N122" i="11"/>
  <c r="M41" i="11"/>
  <c r="N60" i="11"/>
  <c r="E41" i="11"/>
  <c r="O63" i="12"/>
  <c r="O64" i="12"/>
  <c r="G118" i="4"/>
  <c r="O119" i="12"/>
  <c r="C118" i="4"/>
  <c r="S119" i="4"/>
  <c r="P120" i="4"/>
  <c r="R119" i="4"/>
  <c r="D120" i="4"/>
  <c r="L120" i="4"/>
  <c r="N39" i="12"/>
  <c r="I120" i="4"/>
  <c r="R117" i="4"/>
  <c r="J118" i="4"/>
  <c r="D118" i="4"/>
  <c r="H62" i="4"/>
  <c r="L62" i="4"/>
  <c r="K118" i="4"/>
  <c r="L118" i="4"/>
  <c r="O118" i="4"/>
  <c r="F116" i="4"/>
  <c r="R115" i="4"/>
  <c r="J116" i="4"/>
  <c r="I116" i="4"/>
  <c r="K116" i="4"/>
  <c r="N116" i="4"/>
  <c r="K63" i="12"/>
  <c r="M119" i="12"/>
  <c r="O41" i="10"/>
  <c r="K61" i="12"/>
  <c r="C118" i="10"/>
  <c r="K120" i="10"/>
  <c r="P120" i="10"/>
  <c r="K117" i="12"/>
  <c r="J118" i="10"/>
  <c r="N41" i="10"/>
  <c r="M63" i="12"/>
  <c r="N64" i="12"/>
  <c r="M30" i="12"/>
  <c r="H120" i="10"/>
  <c r="K39" i="12"/>
  <c r="K119" i="12"/>
  <c r="O62" i="10"/>
  <c r="E61" i="12"/>
  <c r="E117" i="12"/>
  <c r="O118" i="10"/>
  <c r="G60" i="10"/>
  <c r="R34" i="12"/>
  <c r="I35" i="12"/>
  <c r="P62" i="9"/>
  <c r="C120" i="9"/>
  <c r="M37" i="12"/>
  <c r="K62" i="9"/>
  <c r="J115" i="12"/>
  <c r="J59" i="12"/>
  <c r="L37" i="12"/>
  <c r="J35" i="12"/>
  <c r="L61" i="12"/>
  <c r="L117" i="12"/>
  <c r="K116" i="9"/>
  <c r="P120" i="9"/>
  <c r="F120" i="9"/>
  <c r="N120" i="9"/>
  <c r="P118" i="9"/>
  <c r="M118" i="9"/>
  <c r="N116" i="9"/>
  <c r="O116" i="9"/>
  <c r="O41" i="9"/>
  <c r="F60" i="9"/>
  <c r="G41" i="9"/>
  <c r="I115" i="12"/>
  <c r="I41" i="9"/>
  <c r="D41" i="9"/>
  <c r="I59" i="12"/>
  <c r="P121" i="9"/>
  <c r="S115" i="9"/>
  <c r="P116" i="9"/>
  <c r="L41" i="9"/>
  <c r="O116" i="2"/>
  <c r="M120" i="2"/>
  <c r="D62" i="2"/>
  <c r="L60" i="2"/>
  <c r="I120" i="2"/>
  <c r="K64" i="2"/>
  <c r="C62" i="2"/>
  <c r="N118" i="2"/>
  <c r="H118" i="2"/>
  <c r="E118" i="2"/>
  <c r="I116" i="2"/>
  <c r="P60" i="2"/>
  <c r="L118" i="2"/>
  <c r="K120" i="2"/>
  <c r="F120" i="2"/>
  <c r="C120" i="2"/>
  <c r="F64" i="2"/>
  <c r="M118" i="2"/>
  <c r="C118" i="2"/>
  <c r="F116" i="2"/>
  <c r="I40" i="12"/>
  <c r="N120" i="2"/>
  <c r="E120" i="2"/>
  <c r="H120" i="2"/>
  <c r="G118" i="2"/>
  <c r="H62" i="2"/>
  <c r="I118" i="2"/>
  <c r="P118" i="2"/>
  <c r="K118" i="2"/>
  <c r="C60" i="2"/>
  <c r="J116" i="2"/>
  <c r="G116" i="2"/>
  <c r="M60" i="2"/>
  <c r="N116" i="2"/>
  <c r="P116" i="2"/>
  <c r="I30" i="12"/>
  <c r="I119" i="12"/>
  <c r="I39" i="12"/>
  <c r="I63" i="12"/>
  <c r="B30" i="12"/>
  <c r="B119" i="12"/>
  <c r="B63" i="12"/>
  <c r="C39" i="12"/>
  <c r="F30" i="12"/>
  <c r="F63" i="12"/>
  <c r="F39" i="12"/>
  <c r="F119" i="12"/>
  <c r="J120" i="2"/>
  <c r="O120" i="2"/>
  <c r="H30" i="12"/>
  <c r="H119" i="12"/>
  <c r="H63" i="12"/>
  <c r="H39" i="12"/>
  <c r="J30" i="12"/>
  <c r="R38" i="12"/>
  <c r="J119" i="12"/>
  <c r="J63" i="12"/>
  <c r="J39" i="12"/>
  <c r="L63" i="12"/>
  <c r="L119" i="12"/>
  <c r="L39" i="12"/>
  <c r="L30" i="12"/>
  <c r="L120" i="2"/>
  <c r="G30" i="12"/>
  <c r="G119" i="12"/>
  <c r="G63" i="12"/>
  <c r="G39" i="12"/>
  <c r="P30" i="12"/>
  <c r="P39" i="12"/>
  <c r="S38" i="12"/>
  <c r="P119" i="12"/>
  <c r="P63" i="12"/>
  <c r="E30" i="12"/>
  <c r="E39" i="12"/>
  <c r="E63" i="12"/>
  <c r="E64" i="12"/>
  <c r="E119" i="12"/>
  <c r="D120" i="2"/>
  <c r="J40" i="12"/>
  <c r="G120" i="2"/>
  <c r="P120" i="2"/>
  <c r="M39" i="12"/>
  <c r="O118" i="2"/>
  <c r="D29" i="12"/>
  <c r="D37" i="12"/>
  <c r="D61" i="12"/>
  <c r="D117" i="12"/>
  <c r="E37" i="12"/>
  <c r="F29" i="12"/>
  <c r="F117" i="12"/>
  <c r="F61" i="12"/>
  <c r="F37" i="12"/>
  <c r="H29" i="12"/>
  <c r="H117" i="12"/>
  <c r="H61" i="12"/>
  <c r="H37" i="12"/>
  <c r="C29" i="12"/>
  <c r="C61" i="12"/>
  <c r="C37" i="12"/>
  <c r="C117" i="12"/>
  <c r="O29" i="12"/>
  <c r="O61" i="12"/>
  <c r="O37" i="12"/>
  <c r="O117" i="12"/>
  <c r="D118" i="2"/>
  <c r="F118" i="2"/>
  <c r="N29" i="12"/>
  <c r="N37" i="12"/>
  <c r="N61" i="12"/>
  <c r="N117" i="12"/>
  <c r="P29" i="12"/>
  <c r="S36" i="12"/>
  <c r="P117" i="12"/>
  <c r="P61" i="12"/>
  <c r="P37" i="12"/>
  <c r="I29" i="12"/>
  <c r="I37" i="12"/>
  <c r="I117" i="12"/>
  <c r="I61" i="12"/>
  <c r="G29" i="12"/>
  <c r="G37" i="12"/>
  <c r="G117" i="12"/>
  <c r="G61" i="12"/>
  <c r="B29" i="12"/>
  <c r="B61" i="12"/>
  <c r="B117" i="12"/>
  <c r="J29" i="12"/>
  <c r="J117" i="12"/>
  <c r="J61" i="12"/>
  <c r="J37" i="12"/>
  <c r="R36" i="12"/>
  <c r="J118" i="2"/>
  <c r="C28" i="12"/>
  <c r="C59" i="12"/>
  <c r="C115" i="12"/>
  <c r="C40" i="12"/>
  <c r="C65" i="12"/>
  <c r="C35" i="12"/>
  <c r="K116" i="2"/>
  <c r="O28" i="12"/>
  <c r="O35" i="12"/>
  <c r="O40" i="12"/>
  <c r="O65" i="12"/>
  <c r="O59" i="12"/>
  <c r="O115" i="12"/>
  <c r="H28" i="12"/>
  <c r="H35" i="12"/>
  <c r="H115" i="12"/>
  <c r="H40" i="12"/>
  <c r="H65" i="12"/>
  <c r="H59" i="12"/>
  <c r="C116" i="2"/>
  <c r="N60" i="2"/>
  <c r="H116" i="2"/>
  <c r="K28" i="12"/>
  <c r="K40" i="12"/>
  <c r="K65" i="12"/>
  <c r="K115" i="12"/>
  <c r="K35" i="12"/>
  <c r="K59" i="12"/>
  <c r="F28" i="12"/>
  <c r="F59" i="12"/>
  <c r="F115" i="12"/>
  <c r="F35" i="12"/>
  <c r="F40" i="12"/>
  <c r="F65" i="12"/>
  <c r="B28" i="12"/>
  <c r="B40" i="12"/>
  <c r="B59" i="12"/>
  <c r="B115" i="12"/>
  <c r="P28" i="12"/>
  <c r="P59" i="12"/>
  <c r="S34" i="12"/>
  <c r="P115" i="12"/>
  <c r="P35" i="12"/>
  <c r="P40" i="12"/>
  <c r="P65" i="12"/>
  <c r="L116" i="2"/>
  <c r="D28" i="12"/>
  <c r="D115" i="12"/>
  <c r="D35" i="12"/>
  <c r="D40" i="12"/>
  <c r="D65" i="12"/>
  <c r="D59" i="12"/>
  <c r="N59" i="12"/>
  <c r="N28" i="12"/>
  <c r="N35" i="12"/>
  <c r="N115" i="12"/>
  <c r="N40" i="12"/>
  <c r="N65" i="12"/>
  <c r="E28" i="12"/>
  <c r="E59" i="12"/>
  <c r="E115" i="12"/>
  <c r="E40" i="12"/>
  <c r="E65" i="12"/>
  <c r="E35" i="12"/>
  <c r="E116" i="2"/>
  <c r="L28" i="12"/>
  <c r="L115" i="12"/>
  <c r="L35" i="12"/>
  <c r="L59" i="12"/>
  <c r="L40" i="12"/>
  <c r="L65" i="12"/>
  <c r="G28" i="12"/>
  <c r="G59" i="12"/>
  <c r="G35" i="12"/>
  <c r="G115" i="12"/>
  <c r="G40" i="12"/>
  <c r="M28" i="12"/>
  <c r="M59" i="12"/>
  <c r="M115" i="12"/>
  <c r="M35" i="12"/>
  <c r="M40" i="12"/>
  <c r="M65" i="12"/>
  <c r="K166" i="11"/>
  <c r="C166" i="11"/>
  <c r="M120" i="11"/>
  <c r="N120" i="11"/>
  <c r="O118" i="11"/>
  <c r="G118" i="11"/>
  <c r="P118" i="11"/>
  <c r="L118" i="11"/>
  <c r="M118" i="11"/>
  <c r="O116" i="11"/>
  <c r="R43" i="11"/>
  <c r="H44" i="11"/>
  <c r="G44" i="11"/>
  <c r="H118" i="11"/>
  <c r="C118" i="11"/>
  <c r="R40" i="11"/>
  <c r="E121" i="11"/>
  <c r="E122" i="11"/>
  <c r="E120" i="11"/>
  <c r="I41" i="11"/>
  <c r="F41" i="11"/>
  <c r="C120" i="11"/>
  <c r="B121" i="10"/>
  <c r="C41" i="10"/>
  <c r="F116" i="10"/>
  <c r="C116" i="10"/>
  <c r="H118" i="9"/>
  <c r="H120" i="9"/>
  <c r="S117" i="9"/>
  <c r="K118" i="9"/>
  <c r="J118" i="9"/>
  <c r="G116" i="9"/>
  <c r="D120" i="9"/>
  <c r="I116" i="9"/>
  <c r="E118" i="9"/>
  <c r="R119" i="9"/>
  <c r="K120" i="9"/>
  <c r="J120" i="9"/>
  <c r="D116" i="9"/>
  <c r="J116" i="9"/>
  <c r="E120" i="6"/>
  <c r="I118" i="6"/>
  <c r="D118" i="6"/>
  <c r="K120" i="6"/>
  <c r="J120" i="6"/>
  <c r="R115" i="6"/>
  <c r="D116" i="6"/>
  <c r="H64" i="6"/>
  <c r="J118" i="6"/>
  <c r="K116" i="6"/>
  <c r="J116" i="6"/>
  <c r="G64" i="6"/>
  <c r="I116" i="6"/>
  <c r="G120" i="6"/>
  <c r="G118" i="6"/>
  <c r="O160" i="11"/>
  <c r="P160" i="11"/>
  <c r="D154" i="11"/>
  <c r="M154" i="11"/>
  <c r="F154" i="11"/>
  <c r="J148" i="11"/>
  <c r="N44" i="11"/>
  <c r="I64" i="11"/>
  <c r="R115" i="11"/>
  <c r="K116" i="11"/>
  <c r="J116" i="11"/>
  <c r="K120" i="11"/>
  <c r="J120" i="11"/>
  <c r="G116" i="11"/>
  <c r="S115" i="11"/>
  <c r="J121" i="11"/>
  <c r="S40" i="11"/>
  <c r="K118" i="11"/>
  <c r="J118" i="11"/>
  <c r="C116" i="11"/>
  <c r="I120" i="11"/>
  <c r="I116" i="11"/>
  <c r="D118" i="11"/>
  <c r="F120" i="11"/>
  <c r="G120" i="10"/>
  <c r="L120" i="10"/>
  <c r="C120" i="10"/>
  <c r="M120" i="10"/>
  <c r="E120" i="10"/>
  <c r="N120" i="10"/>
  <c r="I120" i="10"/>
  <c r="D118" i="10"/>
  <c r="G44" i="10"/>
  <c r="L118" i="10"/>
  <c r="E118" i="10"/>
  <c r="G118" i="10"/>
  <c r="H118" i="10"/>
  <c r="K118" i="10"/>
  <c r="P118" i="10"/>
  <c r="D44" i="10"/>
  <c r="D116" i="10"/>
  <c r="E44" i="10"/>
  <c r="R115" i="10"/>
  <c r="J116" i="10"/>
  <c r="N116" i="10"/>
  <c r="K116" i="10"/>
  <c r="I116" i="10"/>
  <c r="G116" i="10"/>
  <c r="N166" i="10"/>
  <c r="S165" i="10"/>
  <c r="E145" i="10"/>
  <c r="F145" i="10"/>
  <c r="R153" i="10"/>
  <c r="N145" i="10"/>
  <c r="O160" i="10"/>
  <c r="M148" i="10"/>
  <c r="L44" i="10"/>
  <c r="K62" i="10"/>
  <c r="D60" i="10"/>
  <c r="K41" i="10"/>
  <c r="R40" i="10"/>
  <c r="O166" i="9"/>
  <c r="G166" i="9"/>
  <c r="N145" i="9"/>
  <c r="I44" i="9"/>
  <c r="O44" i="9"/>
  <c r="K160" i="9"/>
  <c r="O160" i="9"/>
  <c r="F160" i="9"/>
  <c r="E154" i="9"/>
  <c r="G154" i="9"/>
  <c r="I160" i="9"/>
  <c r="S159" i="9"/>
  <c r="G145" i="9"/>
  <c r="H154" i="9"/>
  <c r="C145" i="9"/>
  <c r="N148" i="9"/>
  <c r="D148" i="9"/>
  <c r="D148" i="11"/>
  <c r="G154" i="11"/>
  <c r="F44" i="11"/>
  <c r="R153" i="11"/>
  <c r="I62" i="11"/>
  <c r="R165" i="11"/>
  <c r="E154" i="11"/>
  <c r="P44" i="11"/>
  <c r="S159" i="11"/>
  <c r="L154" i="11"/>
  <c r="R147" i="11"/>
  <c r="L166" i="11"/>
  <c r="R117" i="10"/>
  <c r="C62" i="10"/>
  <c r="G145" i="10"/>
  <c r="N44" i="10"/>
  <c r="D145" i="9"/>
  <c r="M145" i="9"/>
  <c r="L121" i="9"/>
  <c r="L122" i="9"/>
  <c r="H160" i="9"/>
  <c r="F145" i="9"/>
  <c r="I154" i="9"/>
  <c r="H60" i="9"/>
  <c r="M166" i="9"/>
  <c r="M41" i="9"/>
  <c r="M148" i="9"/>
  <c r="C60" i="9"/>
  <c r="I145" i="8"/>
  <c r="M166" i="8"/>
  <c r="O166" i="8"/>
  <c r="E60" i="8"/>
  <c r="H148" i="8"/>
  <c r="P41" i="6"/>
  <c r="G145" i="6"/>
  <c r="D166" i="6"/>
  <c r="O64" i="6"/>
  <c r="N160" i="2"/>
  <c r="M154" i="2"/>
  <c r="K154" i="2"/>
  <c r="I121" i="9"/>
  <c r="I122" i="9"/>
  <c r="F62" i="9"/>
  <c r="E60" i="9"/>
  <c r="C62" i="9"/>
  <c r="P166" i="8"/>
  <c r="H166" i="8"/>
  <c r="F44" i="8"/>
  <c r="R119" i="8"/>
  <c r="N44" i="8"/>
  <c r="E44" i="8"/>
  <c r="D122" i="8"/>
  <c r="D44" i="8"/>
  <c r="L145" i="8"/>
  <c r="L154" i="8"/>
  <c r="I160" i="8"/>
  <c r="J160" i="8"/>
  <c r="M160" i="8"/>
  <c r="R159" i="8"/>
  <c r="D160" i="8"/>
  <c r="M145" i="8"/>
  <c r="F145" i="8"/>
  <c r="J145" i="8"/>
  <c r="K154" i="8"/>
  <c r="O154" i="8"/>
  <c r="R153" i="8"/>
  <c r="E148" i="8"/>
  <c r="F148" i="8"/>
  <c r="K148" i="8"/>
  <c r="I148" i="8"/>
  <c r="K145" i="8"/>
  <c r="C148" i="8"/>
  <c r="R43" i="8"/>
  <c r="H44" i="8"/>
  <c r="M44" i="8"/>
  <c r="I62" i="8"/>
  <c r="F62" i="8"/>
  <c r="I44" i="8"/>
  <c r="L44" i="6"/>
  <c r="P122" i="6"/>
  <c r="P44" i="6"/>
  <c r="R119" i="6"/>
  <c r="O122" i="6"/>
  <c r="C44" i="6"/>
  <c r="M44" i="6"/>
  <c r="S115" i="6"/>
  <c r="J160" i="6"/>
  <c r="E154" i="6"/>
  <c r="D160" i="6"/>
  <c r="D154" i="4"/>
  <c r="N154" i="6"/>
  <c r="O154" i="6"/>
  <c r="K148" i="6"/>
  <c r="F148" i="6"/>
  <c r="I148" i="6"/>
  <c r="N148" i="6"/>
  <c r="C148" i="6"/>
  <c r="S43" i="6"/>
  <c r="L172" i="4"/>
  <c r="E166" i="4"/>
  <c r="K172" i="4"/>
  <c r="L160" i="4"/>
  <c r="C172" i="4"/>
  <c r="H172" i="4"/>
  <c r="G44" i="6"/>
  <c r="N60" i="6"/>
  <c r="H44" i="6"/>
  <c r="D60" i="6"/>
  <c r="L60" i="6"/>
  <c r="L60" i="4"/>
  <c r="P166" i="4"/>
  <c r="I41" i="4"/>
  <c r="G44" i="4"/>
  <c r="D172" i="4"/>
  <c r="H41" i="4"/>
  <c r="R171" i="4"/>
  <c r="I44" i="4"/>
  <c r="N172" i="4"/>
  <c r="O60" i="4"/>
  <c r="L154" i="4"/>
  <c r="I166" i="4"/>
  <c r="P154" i="4"/>
  <c r="F62" i="4"/>
  <c r="F41" i="6"/>
  <c r="I60" i="6"/>
  <c r="O44" i="4"/>
  <c r="R165" i="4"/>
  <c r="H166" i="4"/>
  <c r="D160" i="4"/>
  <c r="E160" i="4"/>
  <c r="B121" i="6"/>
  <c r="C145" i="6"/>
  <c r="N44" i="6"/>
  <c r="F145" i="6"/>
  <c r="K145" i="6"/>
  <c r="O62" i="6"/>
  <c r="I44" i="6"/>
  <c r="D148" i="6"/>
  <c r="F121" i="6"/>
  <c r="O44" i="6"/>
  <c r="O166" i="6"/>
  <c r="I160" i="6"/>
  <c r="G60" i="6"/>
  <c r="G166" i="6"/>
  <c r="C41" i="6"/>
  <c r="K154" i="6"/>
  <c r="D154" i="6"/>
  <c r="L160" i="6"/>
  <c r="G148" i="6"/>
  <c r="J60" i="6"/>
  <c r="S119" i="6"/>
  <c r="M122" i="8"/>
  <c r="C145" i="8"/>
  <c r="S119" i="8"/>
  <c r="D154" i="8"/>
  <c r="N145" i="8"/>
  <c r="O145" i="8"/>
  <c r="M41" i="8"/>
  <c r="P145" i="8"/>
  <c r="F60" i="8"/>
  <c r="G148" i="8"/>
  <c r="S147" i="8"/>
  <c r="D60" i="8"/>
  <c r="I41" i="8"/>
  <c r="N41" i="8"/>
  <c r="N160" i="8"/>
  <c r="I145" i="9"/>
  <c r="R43" i="9"/>
  <c r="E41" i="9"/>
  <c r="I166" i="9"/>
  <c r="S119" i="9"/>
  <c r="L62" i="9"/>
  <c r="F122" i="9"/>
  <c r="R117" i="9"/>
  <c r="F154" i="9"/>
  <c r="G121" i="9"/>
  <c r="H122" i="9"/>
  <c r="H41" i="9"/>
  <c r="E145" i="9"/>
  <c r="F148" i="9"/>
  <c r="N41" i="9"/>
  <c r="F41" i="9"/>
  <c r="J160" i="9"/>
  <c r="H145" i="9"/>
  <c r="M121" i="9"/>
  <c r="D121" i="9"/>
  <c r="D122" i="9"/>
  <c r="H44" i="2"/>
  <c r="N122" i="2"/>
  <c r="O148" i="2"/>
  <c r="P160" i="2"/>
  <c r="H166" i="2"/>
  <c r="O160" i="2"/>
  <c r="B145" i="2"/>
  <c r="D166" i="2"/>
  <c r="J154" i="2"/>
  <c r="E148" i="2"/>
  <c r="I166" i="2"/>
  <c r="F41" i="2"/>
  <c r="D148" i="2"/>
  <c r="L64" i="2"/>
  <c r="H148" i="2"/>
  <c r="H160" i="2"/>
  <c r="H154" i="2"/>
  <c r="N145" i="2"/>
  <c r="C160" i="2"/>
  <c r="H145" i="2"/>
  <c r="P166" i="2"/>
  <c r="O166" i="2"/>
  <c r="K148" i="2"/>
  <c r="G145" i="2"/>
  <c r="C166" i="4"/>
  <c r="D60" i="4"/>
  <c r="C154" i="4"/>
  <c r="S153" i="4"/>
  <c r="J166" i="4"/>
  <c r="G60" i="4"/>
  <c r="S61" i="4"/>
  <c r="M160" i="4"/>
  <c r="K121" i="10"/>
  <c r="K122" i="10"/>
  <c r="R147" i="10"/>
  <c r="I145" i="10"/>
  <c r="M154" i="10"/>
  <c r="P160" i="10"/>
  <c r="G160" i="10"/>
  <c r="O44" i="10"/>
  <c r="D145" i="10"/>
  <c r="L145" i="10"/>
  <c r="I154" i="10"/>
  <c r="E148" i="10"/>
  <c r="O145" i="10"/>
  <c r="M145" i="10"/>
  <c r="S115" i="10"/>
  <c r="F44" i="10"/>
  <c r="S43" i="10"/>
  <c r="J44" i="10"/>
  <c r="K44" i="10"/>
  <c r="R43" i="10"/>
  <c r="F148" i="10"/>
  <c r="M44" i="10"/>
  <c r="G62" i="10"/>
  <c r="O166" i="10"/>
  <c r="P166" i="10"/>
  <c r="H166" i="10"/>
  <c r="H160" i="10"/>
  <c r="G121" i="10"/>
  <c r="G122" i="10"/>
  <c r="I62" i="10"/>
  <c r="H44" i="10"/>
  <c r="D145" i="11"/>
  <c r="B65" i="11"/>
  <c r="S43" i="11"/>
  <c r="O121" i="11"/>
  <c r="O41" i="11"/>
  <c r="E166" i="11"/>
  <c r="L41" i="11"/>
  <c r="F121" i="11"/>
  <c r="D160" i="11"/>
  <c r="M160" i="11"/>
  <c r="L160" i="11"/>
  <c r="M44" i="11"/>
  <c r="G62" i="11"/>
  <c r="M122" i="11"/>
  <c r="H154" i="11"/>
  <c r="G160" i="11"/>
  <c r="N154" i="11"/>
  <c r="G41" i="11"/>
  <c r="I145" i="11"/>
  <c r="F160" i="11"/>
  <c r="C145" i="11"/>
  <c r="E62" i="11"/>
  <c r="N64" i="11"/>
  <c r="G121" i="11"/>
  <c r="H122" i="11"/>
  <c r="N145" i="11"/>
  <c r="H41" i="11"/>
  <c r="L145" i="11"/>
  <c r="M166" i="11"/>
  <c r="F166" i="11"/>
  <c r="F62" i="11"/>
  <c r="F145" i="11"/>
  <c r="E44" i="11"/>
  <c r="C62" i="11"/>
  <c r="N166" i="11"/>
  <c r="I154" i="4"/>
  <c r="K166" i="4"/>
  <c r="J154" i="11"/>
  <c r="K145" i="11"/>
  <c r="E60" i="11"/>
  <c r="R159" i="11"/>
  <c r="C160" i="11"/>
  <c r="J145" i="11"/>
  <c r="S115" i="4"/>
  <c r="S153" i="11"/>
  <c r="R119" i="11"/>
  <c r="I121" i="11"/>
  <c r="I122" i="11"/>
  <c r="J160" i="11"/>
  <c r="R117" i="11"/>
  <c r="G145" i="11"/>
  <c r="H146" i="11"/>
  <c r="M172" i="4"/>
  <c r="I62" i="4"/>
  <c r="L148" i="11"/>
  <c r="O62" i="4"/>
  <c r="F160" i="4"/>
  <c r="P166" i="11"/>
  <c r="G60" i="11"/>
  <c r="M148" i="11"/>
  <c r="O154" i="11"/>
  <c r="K60" i="11"/>
  <c r="O44" i="11"/>
  <c r="N160" i="4"/>
  <c r="E145" i="11"/>
  <c r="K154" i="11"/>
  <c r="O145" i="11"/>
  <c r="K160" i="11"/>
  <c r="H154" i="4"/>
  <c r="H60" i="11"/>
  <c r="O62" i="11"/>
  <c r="L62" i="11"/>
  <c r="N160" i="11"/>
  <c r="J41" i="4"/>
  <c r="J172" i="4"/>
  <c r="R40" i="4"/>
  <c r="O166" i="4"/>
  <c r="N62" i="4"/>
  <c r="F60" i="4"/>
  <c r="S165" i="4"/>
  <c r="I151" i="4"/>
  <c r="P62" i="4"/>
  <c r="B65" i="4"/>
  <c r="M166" i="4"/>
  <c r="R153" i="4"/>
  <c r="G160" i="4"/>
  <c r="L151" i="4"/>
  <c r="G166" i="4"/>
  <c r="C62" i="4"/>
  <c r="H44" i="4"/>
  <c r="S117" i="11"/>
  <c r="C60" i="11"/>
  <c r="L60" i="11"/>
  <c r="M62" i="11"/>
  <c r="J41" i="11"/>
  <c r="D64" i="11"/>
  <c r="G64" i="11"/>
  <c r="L64" i="11"/>
  <c r="J64" i="11"/>
  <c r="R63" i="11"/>
  <c r="F60" i="11"/>
  <c r="J60" i="11"/>
  <c r="R59" i="11"/>
  <c r="M64" i="11"/>
  <c r="D62" i="11"/>
  <c r="K62" i="11"/>
  <c r="S63" i="11"/>
  <c r="P64" i="11"/>
  <c r="O60" i="11"/>
  <c r="K41" i="11"/>
  <c r="K121" i="11"/>
  <c r="C64" i="11"/>
  <c r="S147" i="11"/>
  <c r="P145" i="11"/>
  <c r="P148" i="11"/>
  <c r="C41" i="11"/>
  <c r="C121" i="11"/>
  <c r="C122" i="11"/>
  <c r="S61" i="11"/>
  <c r="P62" i="11"/>
  <c r="S119" i="11"/>
  <c r="O64" i="11"/>
  <c r="E64" i="11"/>
  <c r="H62" i="11"/>
  <c r="S59" i="11"/>
  <c r="P60" i="11"/>
  <c r="I60" i="11"/>
  <c r="H64" i="11"/>
  <c r="J62" i="11"/>
  <c r="R61" i="11"/>
  <c r="K64" i="11"/>
  <c r="L64" i="10"/>
  <c r="O121" i="10"/>
  <c r="O122" i="10"/>
  <c r="G64" i="10"/>
  <c r="P41" i="10"/>
  <c r="S40" i="10"/>
  <c r="S117" i="10"/>
  <c r="D154" i="10"/>
  <c r="E154" i="10"/>
  <c r="I121" i="10"/>
  <c r="K60" i="10"/>
  <c r="D64" i="10"/>
  <c r="S63" i="10"/>
  <c r="P64" i="10"/>
  <c r="P154" i="10"/>
  <c r="S153" i="10"/>
  <c r="C66" i="10"/>
  <c r="M41" i="10"/>
  <c r="M121" i="10"/>
  <c r="M122" i="10"/>
  <c r="J160" i="10"/>
  <c r="R159" i="10"/>
  <c r="R119" i="10"/>
  <c r="P145" i="10"/>
  <c r="P148" i="10"/>
  <c r="S147" i="10"/>
  <c r="J41" i="10"/>
  <c r="S119" i="10"/>
  <c r="E64" i="10"/>
  <c r="E60" i="10"/>
  <c r="C60" i="10"/>
  <c r="J64" i="10"/>
  <c r="R63" i="10"/>
  <c r="E41" i="10"/>
  <c r="E121" i="10"/>
  <c r="E122" i="10"/>
  <c r="J60" i="10"/>
  <c r="R59" i="10"/>
  <c r="S159" i="10"/>
  <c r="J145" i="10"/>
  <c r="R145" i="10"/>
  <c r="S59" i="10"/>
  <c r="H64" i="10"/>
  <c r="L62" i="10"/>
  <c r="M64" i="10"/>
  <c r="L41" i="10"/>
  <c r="C121" i="10"/>
  <c r="I64" i="10"/>
  <c r="P44" i="10"/>
  <c r="H60" i="10"/>
  <c r="O64" i="10"/>
  <c r="D62" i="10"/>
  <c r="S61" i="10"/>
  <c r="P62" i="10"/>
  <c r="H41" i="10"/>
  <c r="D41" i="10"/>
  <c r="J62" i="10"/>
  <c r="R61" i="10"/>
  <c r="J166" i="10"/>
  <c r="R165" i="10"/>
  <c r="F62" i="10"/>
  <c r="O60" i="10"/>
  <c r="L60" i="10"/>
  <c r="F41" i="10"/>
  <c r="B121" i="9"/>
  <c r="C122" i="9"/>
  <c r="B65" i="9"/>
  <c r="D64" i="9"/>
  <c r="O64" i="9"/>
  <c r="C41" i="9"/>
  <c r="S147" i="9"/>
  <c r="P145" i="9"/>
  <c r="P148" i="9"/>
  <c r="L64" i="9"/>
  <c r="O122" i="9"/>
  <c r="H64" i="9"/>
  <c r="N64" i="9"/>
  <c r="H62" i="9"/>
  <c r="I62" i="9"/>
  <c r="L145" i="9"/>
  <c r="L146" i="9"/>
  <c r="I60" i="9"/>
  <c r="P60" i="9"/>
  <c r="S59" i="9"/>
  <c r="G64" i="9"/>
  <c r="G60" i="9"/>
  <c r="M64" i="9"/>
  <c r="M66" i="9"/>
  <c r="F64" i="9"/>
  <c r="O62" i="9"/>
  <c r="R59" i="9"/>
  <c r="J60" i="9"/>
  <c r="I64" i="9"/>
  <c r="J62" i="9"/>
  <c r="R61" i="9"/>
  <c r="O60" i="9"/>
  <c r="L44" i="9"/>
  <c r="M44" i="9"/>
  <c r="E64" i="9"/>
  <c r="K60" i="9"/>
  <c r="D60" i="9"/>
  <c r="E44" i="9"/>
  <c r="L60" i="9"/>
  <c r="J121" i="9"/>
  <c r="R40" i="9"/>
  <c r="J41" i="9"/>
  <c r="S63" i="9"/>
  <c r="P64" i="9"/>
  <c r="J64" i="9"/>
  <c r="R63" i="9"/>
  <c r="S40" i="9"/>
  <c r="I60" i="8"/>
  <c r="F41" i="8"/>
  <c r="H160" i="8"/>
  <c r="N121" i="8"/>
  <c r="N122" i="8"/>
  <c r="R40" i="8"/>
  <c r="J41" i="8"/>
  <c r="J121" i="8"/>
  <c r="G62" i="8"/>
  <c r="S159" i="8"/>
  <c r="P160" i="8"/>
  <c r="N64" i="8"/>
  <c r="G64" i="8"/>
  <c r="H145" i="8"/>
  <c r="H64" i="8"/>
  <c r="P44" i="8"/>
  <c r="S43" i="8"/>
  <c r="O41" i="8"/>
  <c r="O121" i="8"/>
  <c r="I64" i="8"/>
  <c r="K41" i="8"/>
  <c r="S59" i="8"/>
  <c r="P60" i="8"/>
  <c r="S63" i="8"/>
  <c r="P64" i="8"/>
  <c r="G44" i="8"/>
  <c r="S115" i="8"/>
  <c r="G121" i="8"/>
  <c r="G122" i="8"/>
  <c r="G41" i="8"/>
  <c r="J60" i="8"/>
  <c r="E121" i="8"/>
  <c r="E122" i="8"/>
  <c r="P41" i="8"/>
  <c r="S40" i="8"/>
  <c r="L122" i="8"/>
  <c r="O60" i="8"/>
  <c r="M60" i="8"/>
  <c r="O64" i="8"/>
  <c r="O66" i="8"/>
  <c r="H41" i="8"/>
  <c r="H121" i="8"/>
  <c r="I121" i="8"/>
  <c r="K62" i="8"/>
  <c r="P154" i="8"/>
  <c r="S153" i="8"/>
  <c r="G160" i="8"/>
  <c r="G145" i="8"/>
  <c r="R61" i="8"/>
  <c r="J62" i="8"/>
  <c r="P62" i="8"/>
  <c r="S61" i="8"/>
  <c r="J64" i="8"/>
  <c r="R63" i="8"/>
  <c r="O44" i="8"/>
  <c r="E160" i="6"/>
  <c r="F160" i="6"/>
  <c r="L41" i="6"/>
  <c r="L121" i="6"/>
  <c r="L122" i="6"/>
  <c r="K41" i="6"/>
  <c r="E166" i="6"/>
  <c r="H62" i="6"/>
  <c r="E62" i="6"/>
  <c r="M62" i="6"/>
  <c r="N160" i="6"/>
  <c r="K44" i="6"/>
  <c r="K66" i="6"/>
  <c r="K64" i="6"/>
  <c r="I64" i="6"/>
  <c r="R61" i="6"/>
  <c r="J62" i="6"/>
  <c r="F154" i="6"/>
  <c r="D145" i="6"/>
  <c r="J145" i="6"/>
  <c r="J148" i="6"/>
  <c r="R147" i="6"/>
  <c r="S147" i="6"/>
  <c r="P166" i="6"/>
  <c r="S165" i="6"/>
  <c r="F64" i="6"/>
  <c r="J44" i="6"/>
  <c r="R43" i="6"/>
  <c r="L64" i="6"/>
  <c r="F44" i="6"/>
  <c r="M154" i="6"/>
  <c r="M145" i="6"/>
  <c r="B145" i="6"/>
  <c r="M64" i="6"/>
  <c r="S159" i="6"/>
  <c r="P160" i="6"/>
  <c r="D41" i="6"/>
  <c r="D121" i="6"/>
  <c r="E122" i="6"/>
  <c r="J64" i="6"/>
  <c r="R40" i="6"/>
  <c r="J41" i="6"/>
  <c r="P62" i="6"/>
  <c r="S61" i="6"/>
  <c r="N64" i="6"/>
  <c r="R65" i="6"/>
  <c r="J154" i="6"/>
  <c r="R153" i="6"/>
  <c r="M41" i="6"/>
  <c r="K62" i="6"/>
  <c r="C121" i="6"/>
  <c r="R165" i="6"/>
  <c r="S59" i="6"/>
  <c r="P60" i="6"/>
  <c r="E145" i="6"/>
  <c r="P145" i="6"/>
  <c r="J121" i="6"/>
  <c r="C66" i="6"/>
  <c r="C64" i="6"/>
  <c r="E41" i="6"/>
  <c r="N122" i="6"/>
  <c r="I166" i="6"/>
  <c r="H145" i="6"/>
  <c r="B151" i="4"/>
  <c r="D151" i="4"/>
  <c r="P172" i="4"/>
  <c r="S171" i="4"/>
  <c r="P151" i="4"/>
  <c r="F44" i="4"/>
  <c r="N44" i="4"/>
  <c r="C44" i="4"/>
  <c r="K44" i="4"/>
  <c r="S117" i="4"/>
  <c r="L44" i="4"/>
  <c r="I122" i="4"/>
  <c r="C151" i="4"/>
  <c r="D166" i="4"/>
  <c r="N166" i="4"/>
  <c r="O160" i="4"/>
  <c r="H160" i="4"/>
  <c r="I160" i="4"/>
  <c r="K154" i="4"/>
  <c r="J154" i="4"/>
  <c r="D44" i="4"/>
  <c r="M44" i="4"/>
  <c r="M60" i="4"/>
  <c r="R43" i="4"/>
  <c r="E60" i="4"/>
  <c r="C64" i="4"/>
  <c r="C160" i="4"/>
  <c r="R159" i="4"/>
  <c r="J160" i="4"/>
  <c r="F64" i="4"/>
  <c r="D64" i="4"/>
  <c r="O41" i="4"/>
  <c r="O121" i="4"/>
  <c r="O122" i="4"/>
  <c r="E64" i="4"/>
  <c r="H64" i="4"/>
  <c r="R61" i="4"/>
  <c r="J62" i="4"/>
  <c r="P121" i="4"/>
  <c r="P41" i="4"/>
  <c r="S40" i="4"/>
  <c r="O64" i="4"/>
  <c r="G172" i="4"/>
  <c r="J122" i="4"/>
  <c r="C121" i="4"/>
  <c r="C122" i="4"/>
  <c r="C41" i="4"/>
  <c r="K151" i="4"/>
  <c r="S43" i="4"/>
  <c r="P44" i="4"/>
  <c r="G154" i="4"/>
  <c r="G151" i="4"/>
  <c r="H151" i="4"/>
  <c r="K121" i="4"/>
  <c r="K122" i="4"/>
  <c r="K41" i="4"/>
  <c r="D62" i="4"/>
  <c r="M154" i="4"/>
  <c r="M151" i="4"/>
  <c r="L41" i="4"/>
  <c r="O172" i="4"/>
  <c r="F154" i="4"/>
  <c r="F151" i="4"/>
  <c r="E62" i="4"/>
  <c r="L64" i="4"/>
  <c r="I172" i="4"/>
  <c r="N64" i="4"/>
  <c r="S63" i="4"/>
  <c r="P64" i="4"/>
  <c r="D41" i="4"/>
  <c r="O154" i="4"/>
  <c r="O151" i="4"/>
  <c r="J151" i="4"/>
  <c r="K62" i="4"/>
  <c r="P160" i="4"/>
  <c r="S159" i="4"/>
  <c r="J60" i="4"/>
  <c r="N154" i="4"/>
  <c r="N151" i="4"/>
  <c r="E121" i="4"/>
  <c r="F41" i="4"/>
  <c r="E41" i="4"/>
  <c r="G62" i="4"/>
  <c r="E154" i="4"/>
  <c r="E151" i="4"/>
  <c r="K160" i="4"/>
  <c r="M64" i="4"/>
  <c r="K64" i="4"/>
  <c r="J64" i="4"/>
  <c r="R63" i="4"/>
  <c r="G41" i="4"/>
  <c r="G121" i="4"/>
  <c r="G122" i="4"/>
  <c r="G64" i="4"/>
  <c r="E44" i="4"/>
  <c r="L166" i="4"/>
  <c r="R59" i="4"/>
  <c r="F166" i="4"/>
  <c r="M121" i="4"/>
  <c r="M41" i="4"/>
  <c r="N41" i="4"/>
  <c r="M62" i="4"/>
  <c r="I64" i="4"/>
  <c r="F148" i="2"/>
  <c r="N148" i="2"/>
  <c r="C154" i="2"/>
  <c r="E145" i="2"/>
  <c r="J145" i="2"/>
  <c r="O154" i="2"/>
  <c r="K122" i="2"/>
  <c r="I160" i="2"/>
  <c r="J160" i="2"/>
  <c r="D145" i="2"/>
  <c r="I154" i="2"/>
  <c r="K145" i="2"/>
  <c r="F160" i="2"/>
  <c r="G160" i="2"/>
  <c r="J148" i="2"/>
  <c r="F154" i="2"/>
  <c r="E160" i="2"/>
  <c r="F166" i="2"/>
  <c r="G166" i="2"/>
  <c r="I44" i="2"/>
  <c r="M160" i="2"/>
  <c r="E166" i="2"/>
  <c r="P41" i="2"/>
  <c r="P121" i="2"/>
  <c r="P122" i="2"/>
  <c r="F60" i="2"/>
  <c r="M148" i="2"/>
  <c r="L148" i="2"/>
  <c r="D154" i="2"/>
  <c r="E154" i="2"/>
  <c r="G44" i="2"/>
  <c r="G148" i="2"/>
  <c r="P145" i="2"/>
  <c r="P146" i="2"/>
  <c r="P148" i="2"/>
  <c r="C145" i="2"/>
  <c r="G154" i="2"/>
  <c r="K166" i="2"/>
  <c r="J166" i="2"/>
  <c r="O122" i="2"/>
  <c r="L145" i="2"/>
  <c r="L122" i="2"/>
  <c r="I145" i="2"/>
  <c r="I148" i="2"/>
  <c r="I41" i="2"/>
  <c r="I121" i="2"/>
  <c r="I122" i="2"/>
  <c r="C122" i="2"/>
  <c r="D122" i="2"/>
  <c r="M122" i="2"/>
  <c r="M64" i="2"/>
  <c r="D160" i="2"/>
  <c r="G41" i="2"/>
  <c r="G121" i="2"/>
  <c r="G122" i="2"/>
  <c r="K62" i="2"/>
  <c r="F145" i="2"/>
  <c r="E121" i="2"/>
  <c r="E122" i="2"/>
  <c r="E60" i="2"/>
  <c r="C41" i="2"/>
  <c r="H41" i="2"/>
  <c r="L41" i="2"/>
  <c r="H60" i="2"/>
  <c r="D41" i="2"/>
  <c r="B65" i="2"/>
  <c r="H64" i="2"/>
  <c r="N64" i="2"/>
  <c r="P62" i="2"/>
  <c r="G64" i="2"/>
  <c r="G66" i="2"/>
  <c r="P64" i="2"/>
  <c r="C64" i="2"/>
  <c r="D44" i="2"/>
  <c r="I60" i="2"/>
  <c r="J60" i="2"/>
  <c r="G60" i="2"/>
  <c r="P44" i="2"/>
  <c r="E44" i="2"/>
  <c r="M41" i="2"/>
  <c r="D64" i="2"/>
  <c r="J41" i="2"/>
  <c r="D60" i="2"/>
  <c r="K44" i="2"/>
  <c r="E64" i="2"/>
  <c r="L44" i="2"/>
  <c r="L62" i="2"/>
  <c r="N41" i="2"/>
  <c r="E41" i="2"/>
  <c r="K60" i="2"/>
  <c r="K41" i="2"/>
  <c r="J44" i="2"/>
  <c r="M62" i="2"/>
  <c r="I64" i="2"/>
  <c r="C44" i="2"/>
  <c r="F44" i="2"/>
  <c r="O44" i="2"/>
  <c r="F62" i="2"/>
  <c r="O41" i="2"/>
  <c r="O64" i="2"/>
  <c r="N44" i="2"/>
  <c r="M44" i="2"/>
  <c r="P9" i="2"/>
  <c r="O9" i="2"/>
  <c r="N9" i="2"/>
  <c r="M9" i="2"/>
  <c r="L9" i="2"/>
  <c r="K9" i="2"/>
  <c r="J9" i="2"/>
  <c r="I9" i="2"/>
  <c r="H9" i="2"/>
  <c r="G9" i="2"/>
  <c r="F9" i="2"/>
  <c r="E9" i="2"/>
  <c r="D9" i="2"/>
  <c r="C9" i="2"/>
  <c r="P7" i="2"/>
  <c r="O7" i="2"/>
  <c r="N7" i="2"/>
  <c r="M7" i="2"/>
  <c r="L7" i="2"/>
  <c r="K7" i="2"/>
  <c r="J7" i="2"/>
  <c r="I7" i="2"/>
  <c r="H7" i="2"/>
  <c r="G7" i="2"/>
  <c r="F7" i="2"/>
  <c r="E7" i="2"/>
  <c r="D7" i="2"/>
  <c r="C7" i="2"/>
  <c r="C5" i="2"/>
  <c r="D5" i="2"/>
  <c r="E5" i="2"/>
  <c r="F5" i="2"/>
  <c r="G5" i="2"/>
  <c r="H5" i="2"/>
  <c r="I5" i="2"/>
  <c r="J5" i="2"/>
  <c r="K5" i="2"/>
  <c r="L5" i="2"/>
  <c r="M5" i="2"/>
  <c r="N5" i="2"/>
  <c r="O5" i="2"/>
  <c r="P5" i="2"/>
  <c r="C2" i="2"/>
  <c r="D2" i="2"/>
  <c r="E2" i="2"/>
  <c r="F2" i="2"/>
  <c r="G2" i="2"/>
  <c r="H2" i="2"/>
  <c r="I2" i="2"/>
  <c r="J2" i="2"/>
  <c r="K2" i="2"/>
  <c r="L2" i="2"/>
  <c r="M2" i="2"/>
  <c r="N2" i="2"/>
  <c r="O2" i="2"/>
  <c r="P2" i="2"/>
  <c r="B2" i="2"/>
  <c r="S217" i="2"/>
  <c r="S215" i="2"/>
  <c r="S213" i="2"/>
  <c r="S211" i="2"/>
  <c r="S209" i="2"/>
  <c r="S197" i="2"/>
  <c r="S195" i="2"/>
  <c r="S191" i="2"/>
  <c r="S187" i="2"/>
  <c r="S183" i="2"/>
  <c r="S179" i="2"/>
  <c r="S175" i="2"/>
  <c r="S171" i="2"/>
  <c r="R171" i="2"/>
  <c r="S169" i="2"/>
  <c r="R169" i="2"/>
  <c r="S167" i="2"/>
  <c r="R167" i="2"/>
  <c r="S165" i="2"/>
  <c r="R165" i="2"/>
  <c r="S163" i="2"/>
  <c r="R163" i="2"/>
  <c r="S161" i="2"/>
  <c r="R161" i="2"/>
  <c r="S159" i="2"/>
  <c r="R159" i="2"/>
  <c r="S157" i="2"/>
  <c r="R157" i="2"/>
  <c r="S155" i="2"/>
  <c r="R155" i="2"/>
  <c r="S153" i="2"/>
  <c r="R153" i="2"/>
  <c r="S151" i="2"/>
  <c r="R151" i="2"/>
  <c r="S149" i="2"/>
  <c r="R149" i="2"/>
  <c r="S147" i="2"/>
  <c r="R147" i="2"/>
  <c r="S141" i="2"/>
  <c r="R141" i="2"/>
  <c r="S139" i="2"/>
  <c r="R139" i="2"/>
  <c r="S137" i="2"/>
  <c r="R137" i="2"/>
  <c r="S135" i="2"/>
  <c r="R135" i="2"/>
  <c r="S133" i="2"/>
  <c r="R133" i="2"/>
  <c r="S129" i="2"/>
  <c r="R129" i="2"/>
  <c r="S127" i="2"/>
  <c r="R127" i="2"/>
  <c r="S125" i="2"/>
  <c r="R125" i="2"/>
  <c r="S119" i="2"/>
  <c r="R119" i="2"/>
  <c r="S117" i="2"/>
  <c r="R117" i="2"/>
  <c r="S115" i="2"/>
  <c r="R115" i="2"/>
  <c r="S111" i="2"/>
  <c r="R111" i="2"/>
  <c r="S109" i="2"/>
  <c r="R109" i="2"/>
  <c r="S107" i="2"/>
  <c r="R107" i="2"/>
  <c r="S105" i="2"/>
  <c r="R105" i="2"/>
  <c r="S103" i="2"/>
  <c r="R103" i="2"/>
  <c r="S99" i="2"/>
  <c r="R99" i="2"/>
  <c r="S97" i="2"/>
  <c r="R97" i="2"/>
  <c r="S95" i="2"/>
  <c r="R95" i="2"/>
  <c r="S91" i="2"/>
  <c r="R91" i="2"/>
  <c r="S89" i="2"/>
  <c r="R89" i="2"/>
  <c r="S87" i="2"/>
  <c r="R87" i="2"/>
  <c r="S83" i="2"/>
  <c r="R83" i="2"/>
  <c r="S81" i="2"/>
  <c r="R81" i="2"/>
  <c r="S79" i="2"/>
  <c r="R79" i="2"/>
  <c r="S75" i="2"/>
  <c r="R75" i="2"/>
  <c r="S73" i="2"/>
  <c r="R73" i="2"/>
  <c r="S71" i="2"/>
  <c r="R71" i="2"/>
  <c r="S69" i="2"/>
  <c r="R69" i="2"/>
  <c r="S63" i="2"/>
  <c r="R63" i="2"/>
  <c r="S61" i="2"/>
  <c r="R61" i="2"/>
  <c r="S59" i="2"/>
  <c r="R59" i="2"/>
  <c r="S55" i="2"/>
  <c r="R55" i="2"/>
  <c r="S53" i="2"/>
  <c r="R53" i="2"/>
  <c r="S51" i="2"/>
  <c r="R51" i="2"/>
  <c r="S49" i="2"/>
  <c r="R49" i="2"/>
  <c r="S47" i="2"/>
  <c r="R47" i="2"/>
  <c r="S43" i="2"/>
  <c r="R43" i="2"/>
  <c r="S40" i="2"/>
  <c r="R40" i="2"/>
  <c r="S38" i="2"/>
  <c r="R38" i="2"/>
  <c r="S36" i="2"/>
  <c r="R36" i="2"/>
  <c r="S34" i="2"/>
  <c r="R34" i="2"/>
  <c r="S24" i="2"/>
  <c r="R24" i="2"/>
  <c r="S22" i="2"/>
  <c r="R22" i="2"/>
  <c r="S20" i="2"/>
  <c r="R20" i="2"/>
  <c r="S18" i="2"/>
  <c r="R18" i="2"/>
  <c r="S14" i="2"/>
  <c r="R14" i="2"/>
  <c r="S11" i="2"/>
  <c r="R11" i="2"/>
  <c r="S8" i="2"/>
  <c r="R8" i="2"/>
  <c r="S6" i="2"/>
  <c r="R6" i="2"/>
  <c r="S4" i="2"/>
  <c r="R4" i="2"/>
  <c r="G65" i="12"/>
  <c r="G31" i="12"/>
  <c r="P122" i="9"/>
  <c r="I146" i="11"/>
  <c r="N146" i="2"/>
  <c r="J146" i="9"/>
  <c r="R119" i="12"/>
  <c r="C146" i="10"/>
  <c r="O122" i="11"/>
  <c r="H146" i="2"/>
  <c r="I146" i="2"/>
  <c r="E146" i="8"/>
  <c r="N146" i="11"/>
  <c r="C146" i="2"/>
  <c r="M146" i="11"/>
  <c r="D146" i="10"/>
  <c r="C146" i="9"/>
  <c r="R145" i="9"/>
  <c r="O146" i="9"/>
  <c r="K146" i="10"/>
  <c r="L146" i="10"/>
  <c r="I146" i="10"/>
  <c r="F146" i="10"/>
  <c r="N146" i="10"/>
  <c r="O146" i="10"/>
  <c r="G146" i="10"/>
  <c r="L146" i="6"/>
  <c r="O146" i="6"/>
  <c r="H146" i="6"/>
  <c r="G146" i="6"/>
  <c r="R145" i="8"/>
  <c r="C146" i="8"/>
  <c r="F146" i="8"/>
  <c r="K146" i="8"/>
  <c r="N62" i="12"/>
  <c r="C64" i="12"/>
  <c r="J121" i="12"/>
  <c r="J65" i="12"/>
  <c r="I31" i="12"/>
  <c r="I65" i="12"/>
  <c r="F66" i="6"/>
  <c r="M66" i="6"/>
  <c r="I66" i="6"/>
  <c r="I122" i="6"/>
  <c r="J122" i="6"/>
  <c r="H122" i="6"/>
  <c r="H66" i="6"/>
  <c r="G66" i="8"/>
  <c r="E66" i="8"/>
  <c r="F122" i="8"/>
  <c r="L62" i="12"/>
  <c r="K62" i="12"/>
  <c r="E62" i="12"/>
  <c r="F62" i="12"/>
  <c r="L64" i="12"/>
  <c r="C122" i="10"/>
  <c r="M62" i="12"/>
  <c r="S115" i="12"/>
  <c r="J60" i="12"/>
  <c r="R59" i="12"/>
  <c r="R115" i="12"/>
  <c r="E66" i="9"/>
  <c r="H64" i="12"/>
  <c r="I66" i="9"/>
  <c r="G62" i="12"/>
  <c r="R117" i="12"/>
  <c r="I121" i="12"/>
  <c r="M66" i="2"/>
  <c r="M64" i="12"/>
  <c r="L66" i="2"/>
  <c r="C62" i="12"/>
  <c r="S119" i="12"/>
  <c r="I64" i="12"/>
  <c r="H62" i="12"/>
  <c r="S63" i="12"/>
  <c r="P64" i="12"/>
  <c r="R40" i="12"/>
  <c r="J31" i="12"/>
  <c r="J41" i="12"/>
  <c r="F64" i="12"/>
  <c r="G64" i="12"/>
  <c r="K64" i="12"/>
  <c r="R63" i="12"/>
  <c r="J64" i="12"/>
  <c r="S117" i="12"/>
  <c r="I62" i="12"/>
  <c r="O62" i="12"/>
  <c r="D62" i="12"/>
  <c r="J62" i="12"/>
  <c r="R61" i="12"/>
  <c r="S61" i="12"/>
  <c r="P62" i="12"/>
  <c r="G121" i="12"/>
  <c r="G41" i="12"/>
  <c r="H31" i="12"/>
  <c r="H41" i="12"/>
  <c r="H121" i="12"/>
  <c r="F31" i="12"/>
  <c r="F41" i="12"/>
  <c r="F121" i="12"/>
  <c r="K121" i="12"/>
  <c r="K41" i="12"/>
  <c r="K31" i="12"/>
  <c r="H60" i="12"/>
  <c r="I60" i="12"/>
  <c r="M31" i="12"/>
  <c r="M121" i="12"/>
  <c r="M41" i="12"/>
  <c r="G60" i="12"/>
  <c r="I41" i="12"/>
  <c r="E31" i="12"/>
  <c r="E121" i="12"/>
  <c r="E41" i="12"/>
  <c r="N60" i="12"/>
  <c r="S59" i="12"/>
  <c r="P60" i="12"/>
  <c r="C31" i="12"/>
  <c r="C41" i="12"/>
  <c r="C121" i="12"/>
  <c r="B31" i="12"/>
  <c r="B65" i="12"/>
  <c r="B121" i="12"/>
  <c r="E60" i="12"/>
  <c r="D60" i="12"/>
  <c r="F60" i="12"/>
  <c r="N41" i="12"/>
  <c r="N31" i="12"/>
  <c r="N121" i="12"/>
  <c r="P31" i="12"/>
  <c r="S40" i="12"/>
  <c r="P121" i="12"/>
  <c r="P41" i="12"/>
  <c r="L31" i="12"/>
  <c r="L41" i="12"/>
  <c r="L121" i="12"/>
  <c r="D41" i="12"/>
  <c r="D31" i="12"/>
  <c r="D121" i="12"/>
  <c r="O60" i="12"/>
  <c r="C60" i="12"/>
  <c r="M60" i="12"/>
  <c r="L60" i="12"/>
  <c r="K60" i="12"/>
  <c r="O121" i="12"/>
  <c r="O31" i="12"/>
  <c r="O41" i="12"/>
  <c r="F122" i="11"/>
  <c r="P122" i="11"/>
  <c r="O146" i="11"/>
  <c r="G146" i="11"/>
  <c r="D146" i="11"/>
  <c r="C66" i="11"/>
  <c r="K122" i="11"/>
  <c r="E146" i="10"/>
  <c r="H146" i="10"/>
  <c r="H66" i="10"/>
  <c r="N146" i="9"/>
  <c r="J122" i="9"/>
  <c r="M122" i="9"/>
  <c r="E146" i="9"/>
  <c r="H146" i="9"/>
  <c r="G146" i="9"/>
  <c r="D146" i="9"/>
  <c r="M146" i="9"/>
  <c r="R145" i="11"/>
  <c r="M146" i="10"/>
  <c r="I66" i="10"/>
  <c r="O66" i="9"/>
  <c r="E122" i="9"/>
  <c r="F146" i="9"/>
  <c r="F66" i="8"/>
  <c r="G66" i="6"/>
  <c r="G122" i="9"/>
  <c r="C66" i="9"/>
  <c r="J146" i="8"/>
  <c r="L146" i="8"/>
  <c r="M146" i="8"/>
  <c r="H122" i="8"/>
  <c r="O122" i="8"/>
  <c r="J122" i="8"/>
  <c r="G146" i="8"/>
  <c r="N146" i="8"/>
  <c r="P146" i="8"/>
  <c r="D146" i="8"/>
  <c r="S145" i="8"/>
  <c r="O146" i="8"/>
  <c r="L66" i="8"/>
  <c r="I66" i="8"/>
  <c r="C146" i="6"/>
  <c r="D146" i="6"/>
  <c r="E146" i="6"/>
  <c r="F66" i="4"/>
  <c r="L66" i="6"/>
  <c r="C122" i="6"/>
  <c r="K122" i="6"/>
  <c r="F122" i="6"/>
  <c r="G122" i="6"/>
  <c r="J66" i="6"/>
  <c r="H146" i="8"/>
  <c r="G66" i="9"/>
  <c r="K122" i="9"/>
  <c r="D66" i="9"/>
  <c r="N122" i="9"/>
  <c r="I146" i="9"/>
  <c r="P3" i="2"/>
  <c r="H3" i="2"/>
  <c r="K66" i="2"/>
  <c r="H66" i="2"/>
  <c r="N3" i="2"/>
  <c r="F3" i="2"/>
  <c r="R145" i="2"/>
  <c r="L146" i="2"/>
  <c r="K146" i="2"/>
  <c r="E146" i="2"/>
  <c r="C66" i="4"/>
  <c r="C152" i="4"/>
  <c r="O66" i="10"/>
  <c r="L122" i="10"/>
  <c r="M66" i="10"/>
  <c r="H122" i="10"/>
  <c r="D66" i="10"/>
  <c r="P122" i="10"/>
  <c r="F146" i="11"/>
  <c r="G122" i="11"/>
  <c r="J122" i="11"/>
  <c r="C146" i="11"/>
  <c r="H66" i="11"/>
  <c r="K66" i="11"/>
  <c r="J146" i="11"/>
  <c r="L146" i="11"/>
  <c r="E66" i="11"/>
  <c r="M152" i="4"/>
  <c r="E146" i="11"/>
  <c r="K146" i="11"/>
  <c r="D122" i="11"/>
  <c r="N66" i="11"/>
  <c r="I66" i="11"/>
  <c r="N152" i="4"/>
  <c r="D152" i="4"/>
  <c r="O66" i="11"/>
  <c r="L66" i="11"/>
  <c r="L122" i="11"/>
  <c r="S145" i="11"/>
  <c r="P146" i="11"/>
  <c r="G66" i="11"/>
  <c r="P66" i="11"/>
  <c r="S65" i="11"/>
  <c r="M66" i="11"/>
  <c r="R65" i="11"/>
  <c r="J66" i="11"/>
  <c r="D66" i="11"/>
  <c r="F66" i="11"/>
  <c r="N66" i="10"/>
  <c r="N122" i="10"/>
  <c r="P66" i="10"/>
  <c r="S65" i="10"/>
  <c r="R65" i="10"/>
  <c r="J66" i="10"/>
  <c r="F122" i="10"/>
  <c r="K66" i="10"/>
  <c r="J146" i="10"/>
  <c r="S145" i="10"/>
  <c r="P146" i="10"/>
  <c r="L66" i="10"/>
  <c r="I122" i="10"/>
  <c r="J122" i="10"/>
  <c r="D122" i="10"/>
  <c r="E66" i="10"/>
  <c r="F66" i="10"/>
  <c r="N66" i="9"/>
  <c r="H66" i="9"/>
  <c r="R65" i="9"/>
  <c r="J66" i="9"/>
  <c r="P66" i="9"/>
  <c r="S65" i="9"/>
  <c r="L66" i="9"/>
  <c r="K66" i="9"/>
  <c r="F66" i="9"/>
  <c r="S145" i="9"/>
  <c r="P146" i="9"/>
  <c r="S65" i="8"/>
  <c r="P66" i="8"/>
  <c r="I122" i="8"/>
  <c r="C66" i="8"/>
  <c r="D66" i="8"/>
  <c r="P122" i="8"/>
  <c r="H66" i="8"/>
  <c r="I146" i="8"/>
  <c r="J66" i="8"/>
  <c r="R65" i="8"/>
  <c r="K122" i="8"/>
  <c r="M66" i="8"/>
  <c r="K66" i="8"/>
  <c r="S145" i="6"/>
  <c r="P146" i="6"/>
  <c r="D66" i="6"/>
  <c r="F146" i="6"/>
  <c r="N66" i="6"/>
  <c r="O66" i="6"/>
  <c r="D122" i="6"/>
  <c r="I146" i="6"/>
  <c r="M146" i="6"/>
  <c r="N146" i="6"/>
  <c r="J146" i="6"/>
  <c r="R145" i="6"/>
  <c r="K146" i="6"/>
  <c r="S65" i="6"/>
  <c r="P66" i="6"/>
  <c r="E66" i="6"/>
  <c r="M122" i="6"/>
  <c r="E152" i="4"/>
  <c r="S151" i="4"/>
  <c r="H122" i="4"/>
  <c r="L122" i="4"/>
  <c r="O152" i="4"/>
  <c r="H152" i="4"/>
  <c r="K152" i="4"/>
  <c r="P152" i="4"/>
  <c r="K66" i="4"/>
  <c r="G66" i="4"/>
  <c r="L66" i="4"/>
  <c r="M66" i="4"/>
  <c r="P66" i="4"/>
  <c r="S65" i="4"/>
  <c r="H66" i="4"/>
  <c r="F152" i="4"/>
  <c r="O66" i="4"/>
  <c r="I152" i="4"/>
  <c r="R151" i="4"/>
  <c r="J152" i="4"/>
  <c r="M122" i="4"/>
  <c r="N122" i="4"/>
  <c r="E122" i="4"/>
  <c r="F122" i="4"/>
  <c r="G152" i="4"/>
  <c r="D122" i="4"/>
  <c r="P122" i="4"/>
  <c r="J66" i="4"/>
  <c r="R65" i="4"/>
  <c r="I66" i="4"/>
  <c r="D66" i="4"/>
  <c r="E66" i="4"/>
  <c r="L152" i="4"/>
  <c r="M146" i="2"/>
  <c r="H122" i="2"/>
  <c r="O3" i="2"/>
  <c r="S145" i="2"/>
  <c r="J146" i="2"/>
  <c r="J122" i="2"/>
  <c r="F122" i="2"/>
  <c r="F146" i="2"/>
  <c r="G146" i="2"/>
  <c r="D146" i="2"/>
  <c r="D66" i="2"/>
  <c r="E66" i="2"/>
  <c r="E3" i="2"/>
  <c r="N66" i="2"/>
  <c r="O66" i="2"/>
  <c r="S65" i="2"/>
  <c r="I3" i="2"/>
  <c r="C66" i="2"/>
  <c r="R65" i="2"/>
  <c r="J66" i="2"/>
  <c r="F66" i="2"/>
  <c r="G3" i="2"/>
  <c r="I66" i="2"/>
  <c r="L3" i="2"/>
  <c r="R2" i="2"/>
  <c r="D3" i="2"/>
  <c r="J3" i="2"/>
  <c r="K3" i="2"/>
  <c r="C3" i="2"/>
  <c r="M3" i="2"/>
  <c r="S2" i="2"/>
  <c r="J122" i="12"/>
  <c r="K122" i="12"/>
  <c r="F66" i="12"/>
  <c r="J66" i="12"/>
  <c r="K66" i="12"/>
  <c r="I66" i="12"/>
  <c r="I122" i="12"/>
  <c r="M122" i="12"/>
  <c r="O66" i="12"/>
  <c r="P122" i="12"/>
  <c r="D66" i="12"/>
  <c r="O122" i="12"/>
  <c r="R65" i="12"/>
  <c r="F122" i="12"/>
  <c r="L66" i="12"/>
  <c r="D122" i="12"/>
  <c r="M66" i="12"/>
  <c r="E122" i="12"/>
  <c r="E66" i="12"/>
  <c r="N122" i="12"/>
  <c r="S65" i="12"/>
  <c r="P66" i="12"/>
  <c r="H122" i="12"/>
  <c r="L122" i="12"/>
  <c r="C66" i="12"/>
  <c r="C122" i="12"/>
  <c r="G66" i="12"/>
  <c r="H66" i="12"/>
  <c r="N66" i="12"/>
  <c r="G122" i="12"/>
  <c r="S199" i="2"/>
  <c r="S181" i="2"/>
  <c r="S201" i="2"/>
  <c r="S193" i="2"/>
  <c r="S189" i="2"/>
  <c r="J205" i="2"/>
  <c r="O205" i="2"/>
  <c r="P205" i="2"/>
  <c r="G205" i="2"/>
  <c r="I205" i="2"/>
  <c r="K205" i="2"/>
  <c r="N205" i="2"/>
  <c r="F205" i="2"/>
  <c r="F206" i="2"/>
  <c r="H205" i="2"/>
  <c r="K206" i="2"/>
  <c r="P206" i="2"/>
  <c r="S185" i="2"/>
  <c r="O206" i="2"/>
  <c r="L205" i="2"/>
  <c r="L206" i="2"/>
  <c r="S205" i="2"/>
  <c r="I206" i="2"/>
  <c r="M205" i="2"/>
  <c r="M206" i="2"/>
  <c r="G206" i="2"/>
  <c r="H206" i="2"/>
  <c r="J206" i="2"/>
  <c r="N206" i="2"/>
  <c r="M72" i="8"/>
  <c r="K72" i="8"/>
  <c r="I72" i="8"/>
  <c r="F72" i="8"/>
  <c r="C72" i="8"/>
  <c r="N72" i="8"/>
  <c r="L72" i="8"/>
  <c r="R71" i="8"/>
  <c r="J72" i="8"/>
  <c r="H72" i="8"/>
  <c r="G72" i="8"/>
  <c r="E72" i="8"/>
  <c r="D72" i="8"/>
  <c r="S71" i="8"/>
  <c r="P72" i="8"/>
  <c r="O72" i="8"/>
  <c r="B75" i="8"/>
  <c r="L74" i="8"/>
  <c r="K74" i="8"/>
  <c r="I74" i="8"/>
  <c r="G74" i="8"/>
  <c r="E74" i="8"/>
  <c r="C74" i="8"/>
  <c r="P74" i="8"/>
  <c r="S73" i="8"/>
  <c r="O74" i="8"/>
  <c r="N74" i="8"/>
  <c r="J74" i="8"/>
  <c r="R73" i="8"/>
  <c r="H74" i="8"/>
  <c r="F74" i="8"/>
  <c r="D74" i="8"/>
  <c r="M74" i="8"/>
  <c r="K75" i="8"/>
  <c r="C75" i="8"/>
  <c r="D75" i="8"/>
  <c r="D76" i="8"/>
  <c r="E75" i="8"/>
  <c r="E76" i="8"/>
  <c r="F75" i="8"/>
  <c r="F76" i="8"/>
  <c r="G75" i="8"/>
  <c r="H75" i="8"/>
  <c r="I75" i="8"/>
  <c r="J75" i="8"/>
  <c r="J76" i="8"/>
  <c r="L75" i="8"/>
  <c r="M75" i="8"/>
  <c r="M76" i="8"/>
  <c r="N75" i="8"/>
  <c r="N76" i="8"/>
  <c r="O75" i="8"/>
  <c r="O76" i="8"/>
  <c r="P75" i="8"/>
  <c r="C76" i="8"/>
  <c r="R75" i="8"/>
  <c r="P76" i="8"/>
  <c r="K76" i="8"/>
  <c r="S75" i="8"/>
  <c r="I76" i="8"/>
  <c r="G76" i="8"/>
  <c r="L76" i="8"/>
  <c r="H76" i="8"/>
  <c r="N72" i="6"/>
  <c r="O72" i="6"/>
  <c r="P72" i="6"/>
  <c r="S71" i="6"/>
  <c r="C72" i="6"/>
  <c r="D72" i="6"/>
  <c r="E72" i="6"/>
  <c r="F72" i="6"/>
  <c r="G72" i="6"/>
  <c r="H72" i="6"/>
  <c r="I72" i="6"/>
  <c r="R71" i="6"/>
  <c r="J72" i="6"/>
  <c r="K72" i="6"/>
  <c r="L72" i="6"/>
  <c r="M72" i="6"/>
  <c r="B75" i="6"/>
  <c r="N74" i="6"/>
  <c r="O74" i="6"/>
  <c r="P74" i="6"/>
  <c r="S73" i="6"/>
  <c r="C74" i="6"/>
  <c r="D74" i="6"/>
  <c r="E74" i="6"/>
  <c r="F74" i="6"/>
  <c r="G74" i="6"/>
  <c r="H74" i="6"/>
  <c r="I74" i="6"/>
  <c r="K74" i="6"/>
  <c r="L74" i="6"/>
  <c r="R73" i="6"/>
  <c r="J74" i="6"/>
  <c r="M74" i="6"/>
  <c r="C75" i="6"/>
  <c r="D75" i="6"/>
  <c r="D76" i="6"/>
  <c r="E75" i="6"/>
  <c r="E76" i="6"/>
  <c r="F75" i="6"/>
  <c r="G75" i="6"/>
  <c r="I75" i="6"/>
  <c r="I76" i="6"/>
  <c r="J75" i="6"/>
  <c r="K75" i="6"/>
  <c r="N75" i="6"/>
  <c r="L75" i="6"/>
  <c r="L76" i="6"/>
  <c r="M75" i="6"/>
  <c r="H75" i="6"/>
  <c r="O75" i="6"/>
  <c r="P75" i="6"/>
  <c r="G76" i="6"/>
  <c r="P76" i="6"/>
  <c r="M76" i="6"/>
  <c r="R75" i="6"/>
  <c r="C76" i="6"/>
  <c r="H76" i="6"/>
  <c r="S75" i="6"/>
  <c r="O76" i="6"/>
  <c r="K76" i="6"/>
  <c r="J76" i="6"/>
  <c r="N76" i="6"/>
  <c r="F76" i="6"/>
  <c r="M72" i="11"/>
  <c r="O72" i="11"/>
  <c r="L72" i="11"/>
  <c r="N72" i="11"/>
  <c r="C72" i="11"/>
  <c r="D72" i="11"/>
  <c r="F72" i="11"/>
  <c r="H72" i="11"/>
  <c r="P72" i="11"/>
  <c r="S71" i="11"/>
  <c r="E72" i="11"/>
  <c r="G72" i="11"/>
  <c r="I72" i="11"/>
  <c r="R71" i="11"/>
  <c r="J72" i="11"/>
  <c r="K72" i="11"/>
  <c r="B75" i="11"/>
  <c r="C76" i="11"/>
  <c r="L74" i="11"/>
  <c r="M74" i="11"/>
  <c r="N74" i="11"/>
  <c r="O74" i="11"/>
  <c r="P74" i="11"/>
  <c r="S73" i="11"/>
  <c r="F74" i="11"/>
  <c r="H74" i="11"/>
  <c r="I74" i="11"/>
  <c r="R73" i="11"/>
  <c r="J74" i="11"/>
  <c r="C74" i="11"/>
  <c r="D74" i="11"/>
  <c r="E74" i="11"/>
  <c r="G74" i="11"/>
  <c r="K74" i="11"/>
  <c r="C75" i="11"/>
  <c r="D75" i="11"/>
  <c r="D76" i="11"/>
  <c r="E75" i="11"/>
  <c r="E76" i="11"/>
  <c r="G75" i="11"/>
  <c r="H76" i="11"/>
  <c r="I75" i="11"/>
  <c r="K75" i="11"/>
  <c r="N75" i="11"/>
  <c r="N76" i="11"/>
  <c r="J75" i="11"/>
  <c r="O75" i="11"/>
  <c r="F75" i="11"/>
  <c r="H75" i="11"/>
  <c r="L75" i="11"/>
  <c r="M75" i="11"/>
  <c r="P75" i="11"/>
  <c r="S75" i="11"/>
  <c r="L76" i="11"/>
  <c r="O76" i="11"/>
  <c r="K76" i="11"/>
  <c r="F76" i="11"/>
  <c r="P76" i="11"/>
  <c r="I76" i="11"/>
  <c r="R75" i="11"/>
  <c r="M76" i="11"/>
  <c r="J76" i="11"/>
  <c r="G76" i="11"/>
  <c r="N72" i="4"/>
  <c r="G72" i="4"/>
  <c r="M72" i="4"/>
  <c r="D72" i="4"/>
  <c r="K72" i="4"/>
  <c r="F72" i="4"/>
  <c r="L72" i="4"/>
  <c r="H72" i="4"/>
  <c r="P72" i="4"/>
  <c r="S71" i="4"/>
  <c r="O72" i="4"/>
  <c r="C72" i="4"/>
  <c r="I72" i="4"/>
  <c r="R71" i="4"/>
  <c r="J72" i="4"/>
  <c r="E72" i="4"/>
  <c r="B75" i="4"/>
  <c r="N74" i="4"/>
  <c r="D74" i="4"/>
  <c r="F74" i="4"/>
  <c r="K74" i="4"/>
  <c r="G74" i="4"/>
  <c r="C74" i="4"/>
  <c r="S73" i="4"/>
  <c r="L74" i="4"/>
  <c r="M74" i="4"/>
  <c r="O74" i="4"/>
  <c r="H74" i="4"/>
  <c r="J74" i="4"/>
  <c r="R73" i="4"/>
  <c r="I74" i="4"/>
  <c r="E74" i="4"/>
  <c r="E75" i="4"/>
  <c r="F75" i="4"/>
  <c r="O75" i="4"/>
  <c r="P75" i="4"/>
  <c r="S75" i="4"/>
  <c r="C75" i="4"/>
  <c r="D75" i="4"/>
  <c r="G75" i="4"/>
  <c r="H75" i="4"/>
  <c r="I75" i="4"/>
  <c r="J75" i="4"/>
  <c r="K75" i="4"/>
  <c r="L75" i="4"/>
  <c r="M75" i="4"/>
  <c r="N75" i="4"/>
  <c r="N76" i="4"/>
  <c r="L76" i="4"/>
  <c r="D76" i="4"/>
  <c r="H76" i="4"/>
  <c r="O76" i="4"/>
  <c r="I76" i="4"/>
  <c r="C76" i="4"/>
  <c r="G76" i="4"/>
  <c r="E76" i="4"/>
  <c r="M76" i="4"/>
  <c r="R75" i="4"/>
  <c r="F76" i="4"/>
  <c r="J76" i="4"/>
  <c r="P76" i="4"/>
  <c r="K76" i="4"/>
  <c r="H71" i="12"/>
  <c r="B71" i="12"/>
  <c r="L71" i="12"/>
  <c r="O71" i="12"/>
  <c r="P71" i="12"/>
  <c r="F71" i="12"/>
  <c r="G71" i="12"/>
  <c r="M71" i="12"/>
  <c r="I71" i="12"/>
  <c r="K71" i="12"/>
  <c r="D71" i="12"/>
  <c r="E71" i="12"/>
  <c r="J71" i="12"/>
  <c r="N71" i="12"/>
  <c r="E72" i="10"/>
  <c r="F72" i="10"/>
  <c r="G72" i="10"/>
  <c r="H72" i="10"/>
  <c r="D72" i="10"/>
  <c r="I72" i="10"/>
  <c r="R71" i="10"/>
  <c r="J72" i="10"/>
  <c r="K72" i="10"/>
  <c r="L72" i="10"/>
  <c r="M72" i="10"/>
  <c r="N72" i="10"/>
  <c r="O72" i="10"/>
  <c r="P72" i="10"/>
  <c r="S71" i="10"/>
  <c r="C72" i="10"/>
  <c r="H72" i="12"/>
  <c r="D72" i="12"/>
  <c r="L72" i="12"/>
  <c r="G72" i="12"/>
  <c r="I72" i="12"/>
  <c r="R71" i="12"/>
  <c r="E72" i="12"/>
  <c r="O72" i="12"/>
  <c r="C72" i="12"/>
  <c r="N72" i="12"/>
  <c r="P72" i="12"/>
  <c r="J72" i="12"/>
  <c r="F72" i="12"/>
  <c r="K72" i="12"/>
  <c r="S71" i="12"/>
  <c r="M72" i="12"/>
  <c r="B73" i="12"/>
  <c r="B75" i="12"/>
  <c r="B75" i="10"/>
  <c r="C73" i="12"/>
  <c r="C75" i="12"/>
  <c r="K73" i="12"/>
  <c r="K75" i="12"/>
  <c r="P73" i="12"/>
  <c r="P75" i="12"/>
  <c r="I73" i="12"/>
  <c r="I75" i="12"/>
  <c r="D73" i="12"/>
  <c r="D74" i="12"/>
  <c r="E73" i="12"/>
  <c r="E75" i="12"/>
  <c r="G73" i="12"/>
  <c r="G75" i="12"/>
  <c r="F73" i="12"/>
  <c r="L73" i="12"/>
  <c r="O73" i="12"/>
  <c r="J73" i="12"/>
  <c r="J75" i="12"/>
  <c r="M73" i="12"/>
  <c r="M75" i="12"/>
  <c r="N73" i="12"/>
  <c r="N75" i="12"/>
  <c r="H73" i="12"/>
  <c r="H75" i="12"/>
  <c r="L74" i="10"/>
  <c r="M74" i="10"/>
  <c r="N74" i="10"/>
  <c r="D74" i="10"/>
  <c r="E74" i="10"/>
  <c r="F74" i="10"/>
  <c r="G74" i="10"/>
  <c r="H74" i="10"/>
  <c r="I74" i="10"/>
  <c r="R73" i="10"/>
  <c r="J74" i="10"/>
  <c r="K74" i="10"/>
  <c r="O74" i="10"/>
  <c r="P74" i="10"/>
  <c r="S73" i="10"/>
  <c r="C74" i="10"/>
  <c r="P75" i="10"/>
  <c r="C75" i="10"/>
  <c r="C76" i="10"/>
  <c r="D75" i="10"/>
  <c r="D76" i="10"/>
  <c r="E75" i="10"/>
  <c r="F75" i="10"/>
  <c r="G75" i="10"/>
  <c r="H75" i="10"/>
  <c r="I75" i="10"/>
  <c r="I76" i="10"/>
  <c r="J75" i="10"/>
  <c r="K75" i="10"/>
  <c r="L75" i="10"/>
  <c r="M75" i="10"/>
  <c r="N75" i="10"/>
  <c r="O75" i="10"/>
  <c r="N74" i="12"/>
  <c r="E76" i="10"/>
  <c r="P74" i="12"/>
  <c r="L74" i="12"/>
  <c r="I74" i="12"/>
  <c r="O74" i="12"/>
  <c r="H74" i="12"/>
  <c r="O76" i="10"/>
  <c r="G76" i="10"/>
  <c r="G74" i="12"/>
  <c r="L76" i="10"/>
  <c r="N76" i="12"/>
  <c r="K76" i="10"/>
  <c r="S75" i="12"/>
  <c r="S73" i="12"/>
  <c r="N76" i="10"/>
  <c r="F74" i="12"/>
  <c r="K76" i="12"/>
  <c r="L75" i="12"/>
  <c r="L76" i="12"/>
  <c r="F75" i="12"/>
  <c r="F76" i="12"/>
  <c r="M76" i="10"/>
  <c r="M74" i="12"/>
  <c r="C74" i="12"/>
  <c r="J74" i="12"/>
  <c r="O75" i="12"/>
  <c r="P76" i="10"/>
  <c r="I76" i="12"/>
  <c r="R75" i="10"/>
  <c r="H76" i="10"/>
  <c r="H76" i="12"/>
  <c r="G76" i="12"/>
  <c r="C76" i="12"/>
  <c r="J76" i="12"/>
  <c r="D75" i="12"/>
  <c r="D76" i="12"/>
  <c r="J76" i="10"/>
  <c r="S75" i="10"/>
  <c r="E74" i="12"/>
  <c r="K74" i="12"/>
  <c r="F76" i="10"/>
  <c r="R73" i="12"/>
  <c r="M76" i="12"/>
  <c r="O76" i="12"/>
  <c r="P76" i="12"/>
  <c r="R75" i="12"/>
  <c r="E76" i="1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<sst xmlns="http://schemas.openxmlformats.org/spreadsheetml/2006/main" count="2498" uniqueCount="182">
  <si>
    <t>Year</t>
  </si>
  <si>
    <t>2026f</t>
  </si>
  <si>
    <t>2027f</t>
  </si>
  <si>
    <t>Total IT market size (€ m)</t>
  </si>
  <si>
    <t>Growth rate (%)</t>
  </si>
  <si>
    <t>Software</t>
  </si>
  <si>
    <t>Hardware</t>
  </si>
  <si>
    <t>Services</t>
  </si>
  <si>
    <t>Smartphones market size (€ m)</t>
  </si>
  <si>
    <t>Enterprises (by size) (number of enterprises in thousands)</t>
  </si>
  <si>
    <t>SME (10-249 employees)</t>
  </si>
  <si>
    <t>Large enterprises (250+ employees)</t>
  </si>
  <si>
    <t>Percentage of enterprises using cloud computing</t>
  </si>
  <si>
    <t>Percent of SME using cloud computing</t>
  </si>
  <si>
    <t>Percent of large enterprises using cloud computing</t>
  </si>
  <si>
    <t>Percent of all enterprises using cloud computing</t>
  </si>
  <si>
    <t>Number of enterprises using cloud computing (thousands)</t>
  </si>
  <si>
    <t>Number of SME using cloud computing</t>
  </si>
  <si>
    <t>Number of large enterprises using cloud computing</t>
  </si>
  <si>
    <t>Number of all enterprises using cloud computing</t>
  </si>
  <si>
    <t>Total cloud computing market size (€ m)</t>
  </si>
  <si>
    <t>Public cloud (by size of enterprises) (€ m)</t>
  </si>
  <si>
    <t>Public administration</t>
  </si>
  <si>
    <t>Total</t>
  </si>
  <si>
    <t>Public cloud spending per capita (by size of enterprises) (€ )</t>
  </si>
  <si>
    <t>Public cloud (by model) (€ m)</t>
  </si>
  <si>
    <t>SaaS</t>
  </si>
  <si>
    <t>IaaS</t>
  </si>
  <si>
    <t>PaaS</t>
  </si>
  <si>
    <t>SaaS spending (by advanced and basic solutions) (€ m)</t>
  </si>
  <si>
    <t>Basic</t>
  </si>
  <si>
    <t>Advanced</t>
  </si>
  <si>
    <t>Private cloud (by size of enterprises) (€ m)</t>
  </si>
  <si>
    <t>Private cloud spending per capita (by size of enterprises) (€ )</t>
  </si>
  <si>
    <t>Data Centre market</t>
  </si>
  <si>
    <t>Gross area (m2)</t>
  </si>
  <si>
    <t>Growth rate (% YoY)</t>
  </si>
  <si>
    <t>Net area (m2)</t>
  </si>
  <si>
    <t>Total value (€ m)</t>
  </si>
  <si>
    <t>Power (MW)</t>
  </si>
  <si>
    <t>indicator</t>
  </si>
  <si>
    <t>f - forecast</t>
  </si>
  <si>
    <t>2025e</t>
  </si>
  <si>
    <t>2028f</t>
  </si>
  <si>
    <t>2029f</t>
  </si>
  <si>
    <t>2030f</t>
  </si>
  <si>
    <t>Cybersecurity market size (€ m)</t>
  </si>
  <si>
    <t>IaaS spending (by hyper and shared solutions) (€ m)</t>
  </si>
  <si>
    <t>Hyper</t>
  </si>
  <si>
    <t>Shared</t>
  </si>
  <si>
    <t>PaaS spending (by hyper and shared solutions) (€ m)</t>
  </si>
  <si>
    <t>Private cloud (by model) (€ m)</t>
  </si>
  <si>
    <t>Hosted Private</t>
  </si>
  <si>
    <t>On-prem</t>
  </si>
  <si>
    <t>Number of all enterprises</t>
  </si>
  <si>
    <t>Hyper Public</t>
  </si>
  <si>
    <t xml:space="preserve">Shared Public </t>
  </si>
  <si>
    <t>Private Cloud</t>
  </si>
  <si>
    <t>Hosted</t>
  </si>
  <si>
    <t>Colocation</t>
  </si>
  <si>
    <t>Colocation value (€ m)</t>
  </si>
  <si>
    <t>Artificial intelligence market</t>
  </si>
  <si>
    <t>Artificial intelligence market size (€ m)</t>
  </si>
  <si>
    <t>Artificial intelligence market size (by size of enterprises) (€ m)</t>
  </si>
  <si>
    <t>Artificial intelligence market size (by economic sector) (€ m)</t>
  </si>
  <si>
    <t>Public sector</t>
  </si>
  <si>
    <t>Manufacturing</t>
  </si>
  <si>
    <t>Retail</t>
  </si>
  <si>
    <t>Utilities</t>
  </si>
  <si>
    <t>Finance</t>
  </si>
  <si>
    <t>Transportation</t>
  </si>
  <si>
    <t>Construction</t>
  </si>
  <si>
    <t>ICT (excl Telco)</t>
  </si>
  <si>
    <t>Telecommunication</t>
  </si>
  <si>
    <t>Healthcare</t>
  </si>
  <si>
    <t>Professional Services</t>
  </si>
  <si>
    <t>Others</t>
  </si>
  <si>
    <t>e - estimate</t>
  </si>
  <si>
    <t>CAGR 2019-2024</t>
  </si>
  <si>
    <t>CAGR 2025-2030</t>
  </si>
  <si>
    <t>Microenterprises</t>
  </si>
  <si>
    <t>historical data: own analysis based on financial resources of market participants, B2B research conducted by PMR and Eurostat; forecasts: own analysis</t>
  </si>
  <si>
    <t>Microenterprises (0-9 employees)</t>
  </si>
  <si>
    <t>Number of microenterprises using cloud computing</t>
  </si>
  <si>
    <t>Percent of microenterprises using cloud computing</t>
  </si>
  <si>
    <t>Gross area (m2) - baseline scenario</t>
  </si>
  <si>
    <t>Gross area (m2) - optimistic scenario</t>
  </si>
  <si>
    <t>Net area (m2) - baseline scenario</t>
  </si>
  <si>
    <t>Net area (m2) - optimistic scenario</t>
  </si>
  <si>
    <t>Power (MW) - baseline scenario</t>
  </si>
  <si>
    <t>Power (MW) - optimistic scenario</t>
  </si>
  <si>
    <t>GDP real, constant prices (%, YoY)</t>
  </si>
  <si>
    <r>
      <t>GDP per capita (</t>
    </r>
    <r>
      <rPr>
        <sz val="11"/>
        <color theme="1"/>
        <rFont val="Aptos Narrow"/>
        <family val="2"/>
      </rPr>
      <t>€</t>
    </r>
    <r>
      <rPr>
        <sz val="9.35"/>
        <color theme="1"/>
        <rFont val="Montserrat"/>
        <charset val="238"/>
      </rPr>
      <t>)</t>
    </r>
  </si>
  <si>
    <t>Individual consumption expenditure, real change (%, YoY)</t>
  </si>
  <si>
    <t>Gross Fixed Capital Formation, real change (%, YoY)</t>
  </si>
  <si>
    <t>General government balance (% of GDP)</t>
  </si>
  <si>
    <t>Public debt (% of GDP)</t>
  </si>
  <si>
    <t>Structural balance of general government (% of potential GDP)</t>
  </si>
  <si>
    <t>CPI (%, YoY)</t>
  </si>
  <si>
    <r>
      <t>Average monthly gross wage (</t>
    </r>
    <r>
      <rPr>
        <sz val="11"/>
        <color theme="1"/>
        <rFont val="Aptos Narrow"/>
        <family val="2"/>
      </rPr>
      <t>€</t>
    </r>
    <r>
      <rPr>
        <sz val="9.35"/>
        <color theme="1"/>
        <rFont val="Montserrat"/>
        <charset val="238"/>
      </rPr>
      <t>)</t>
    </r>
  </si>
  <si>
    <t>Average monthly gross wage, nominal change (%, YoY)</t>
  </si>
  <si>
    <t>Average monthly gross wage, real change (%, YoY)</t>
  </si>
  <si>
    <t>Disposable income, real change (%, YoY)</t>
  </si>
  <si>
    <t>Unemployment rate (% of economically active population)</t>
  </si>
  <si>
    <t>Population (ths. persons, end of year)</t>
  </si>
  <si>
    <r>
      <t>GDP nominal, current prices (</t>
    </r>
    <r>
      <rPr>
        <sz val="11"/>
        <color theme="1"/>
        <rFont val="Aptos Narrow"/>
        <family val="2"/>
      </rPr>
      <t>€</t>
    </r>
    <r>
      <rPr>
        <sz val="9.35"/>
        <color theme="1"/>
        <rFont val="Montserrat"/>
        <charset val="238"/>
      </rPr>
      <t xml:space="preserve"> </t>
    </r>
    <r>
      <rPr>
        <sz val="11"/>
        <color theme="1"/>
        <rFont val="Montserrat"/>
        <charset val="238"/>
      </rPr>
      <t>bn</t>
    </r>
    <r>
      <rPr>
        <sz val="9.35"/>
        <color theme="1"/>
        <rFont val="Montserrat"/>
        <charset val="238"/>
      </rPr>
      <t>)</t>
    </r>
  </si>
  <si>
    <r>
      <t>EU funds (nominal) (</t>
    </r>
    <r>
      <rPr>
        <sz val="11"/>
        <color theme="1"/>
        <rFont val="Aptos Narrow"/>
        <family val="2"/>
      </rPr>
      <t>€</t>
    </r>
    <r>
      <rPr>
        <sz val="9.35"/>
        <color theme="1"/>
        <rFont val="Montserrat"/>
        <charset val="238"/>
      </rPr>
      <t xml:space="preserve"> bn)</t>
    </r>
  </si>
  <si>
    <t>EU funds (share in GDP) (%)</t>
  </si>
  <si>
    <t>Total number of companies (ths.)</t>
  </si>
  <si>
    <t>Total number of companies, change (%, YoY)</t>
  </si>
  <si>
    <r>
      <t>Electricity prices for non-household consumers (</t>
    </r>
    <r>
      <rPr>
        <sz val="11"/>
        <color theme="1"/>
        <rFont val="Aptos Narrow"/>
        <family val="2"/>
      </rPr>
      <t>€</t>
    </r>
    <r>
      <rPr>
        <sz val="9.35"/>
        <color theme="1"/>
        <rFont val="Montserrat"/>
        <charset val="238"/>
      </rPr>
      <t>/kWh)</t>
    </r>
  </si>
  <si>
    <t>Electricity prices for non-household consumers, change (%, YoY)</t>
  </si>
  <si>
    <t>Table of contents</t>
  </si>
  <si>
    <t>About PMR</t>
  </si>
  <si>
    <t>Summary</t>
  </si>
  <si>
    <t>Poland</t>
  </si>
  <si>
    <t>Greece</t>
  </si>
  <si>
    <t>Austria</t>
  </si>
  <si>
    <t>Czech Republic</t>
  </si>
  <si>
    <t>Hungary</t>
  </si>
  <si>
    <t>Slovakia</t>
  </si>
  <si>
    <t>Croatia</t>
  </si>
  <si>
    <t xml:space="preserve">Methodology </t>
  </si>
  <si>
    <t>Sources of data used in the report</t>
  </si>
  <si>
    <t>This report was prepared with the use of data from the following sources:
    •	    PMR’s own survey carried out among businesses in seven CEE countries (medium-sized and large enterprises) – on the demand side. The survey took place in Q2 2025 – with 767 interviews in total. 
    •	    Qualitative in-depth interviews with market participants and experts. 
    •	    Econometric modelling and forecasts carried out by the PMR Forecasting and Econometrics Department. 
    •	    PMR’s internal data warehouse. 
    •	    Results of analyses and research projects carried out during the years 2020-2025 by PMR in IT, telecommunications, and related subdivisions of the economy. 
    •	    Data from regulatory institutions, industry-specific organisations and state institutions. 
    •	    Financial statements and reports on the operations of companies active on the cloud computing and data centre markets. 
    •	   Other publicly available sources: trade press and specialist websites, the general press, press releases, presentations, analyst briefings, etc. 
Data from individual sources have allowed us to develop a number of independent calculations of key market values, including market size, value of the individual subgroups and market change. These calculations were then collated and cross-checked by means of econometric modelling and assisted by expert knowledge. This resulted in the objective and systematic error-free evaluation of the situation on the market covered by the analysis, the results of which are presented in the report.</t>
  </si>
  <si>
    <t>Methodology used for preparing development forecasts for the IT, data centre, cloud computing and artificial intelligence market</t>
  </si>
  <si>
    <t>The report presents forecasts for data centre and cloud services market in Greece, Croatia, Hungary, Slovakia, Czech Republic, Poland and Austria broken down by key factors determining the situation in this market. All forecasts have been developed by PMR's forecasting and econometric modeling department in cooperation with PMR's team of ICT market analysts. 
The PMR forecasts presented in the report were developed using a set of econometric models using the following types of data:
    •	    historical data 
    •	    macroeconomic and demographic data (both historical and projected by PMR)
    •	    information on one-time events that affect or may affect the market during the forecast period, such as the COVID-19 pandemic, tax or legal changes 
    •	    qualitative information on market trends, gathered by PMR's team of analysts
    •	    qualitative information on other factors affecting the market, including technological trends, changes in consumer preferences, trends observed in the global market, and plans outlined by key players in specific areas of the market.</t>
  </si>
  <si>
    <t>The class and type of econometric models developed were selected according to the characteristics of the data analyzed. In practice, models using multiple regression (least squares method) and autoregression (ARIMA, VAR) predominate. model but capture the relevant relationships, we used both primary variables and their transformations (model but logarithms).
The final market value forecasts are based not only on a single best model but are a weighted average of forecasts from a selected set of best models. The weights were selected based on measures of model fit. This procedure makes it possible to consider a larger number of factors influencing the development of the market, thus increasing the precision of forecasts.
In developing the final forecast, we considered not only the statistical quality of the models (model fit to empirical data, normality and homoskedasticity of residuals, statistical significance of structural parameters), but also their compatibility with the market knowledge of PMR's analytical team. The process of calculating forecasts was performed in R software, using PMR-developed scripts and functions. Appropriate data preparation and forecast evaluation is done using PMR-developed VBA and SQL scripts.</t>
  </si>
  <si>
    <t>Forecasting process</t>
  </si>
  <si>
    <t>The forecast preparation process consisted of the following steps:
    1.	    Consultation of PMR’s Forecasting and Econometric Modelling teams and ICT Market Analysts aiming to:
        a)	    discuss the past, current and future market situation
        b)	    developing a list of key factors determining the market situation.
    2.	    Gathering and compiling data depicting key market drivers.
    3.	    Developing forecasts for the data collected under point 2. 
        a)	    In the first step, forecasts were made for the coming quarters/months in order to use as much data as possible. Mainly autoregressive models (ARIMA, VAR) and expert knowledge were used.
        b)	    In the following steps, we calculated forecasts for five years ahead, using multiple regression (the classic least squares method), or, if warranted, we developed forecasts expertly.
    4.	    Re-consulting of the Forecasting and Econometric Modelling teams and ICT Market Analysts to discuss the results of forecasts for market drivers and develop a final vision for the baseline scenario under which the forecasts will be produced.
    5.	    Direct work by the Forecasting and Econometric Modelling team on forecasts for market size and value by segment. Econometric models are used, estimated using the method of least squares.
    6.	    Consulting the results of the modeled forecasts with a team of ICT Market Analysts. The evaluation of the forecasts included consideration of one-time events and non-measurable factors affecting the market that are not directly usable in time-series modelling (such as new trends in the market or plans of key players).
    7.	    Developing final forecast of market.</t>
  </si>
  <si>
    <t>Definitions</t>
  </si>
  <si>
    <r>
      <rPr>
        <b/>
        <sz val="11"/>
        <color theme="1"/>
        <rFont val="Aptos Narrow"/>
        <family val="2"/>
        <scheme val="minor"/>
      </rPr>
      <t>Type of enterprises</t>
    </r>
    <r>
      <rPr>
        <sz val="11"/>
        <color theme="1"/>
        <rFont val="Aptos Narrow"/>
        <family val="2"/>
        <charset val="238"/>
        <scheme val="minor"/>
      </rPr>
      <t xml:space="preserve">
    •	    micro enterprises – fewer than 10 employees
    •	    small enterprises – 10 to 49 employees
    •	    medium-sized enterprises – 50 to 249 employees
    •	    large enterprises – 250 or more employees</t>
    </r>
  </si>
  <si>
    <r>
      <rPr>
        <b/>
        <sz val="11"/>
        <color theme="1"/>
        <rFont val="Aptos Narrow"/>
        <family val="2"/>
        <scheme val="minor"/>
      </rPr>
      <t>Cloud computing Market Definition</t>
    </r>
    <r>
      <rPr>
        <sz val="11"/>
        <color theme="1"/>
        <rFont val="Aptos Narrow"/>
        <family val="2"/>
        <charset val="238"/>
        <scheme val="minor"/>
      </rPr>
      <t xml:space="preserve">
    •	    Virtualisation is a technology which makes it possible to separate the hardware resources in use from the systems and/or applications using those hardware resources. In our methodology, virtualisation is not the equivalent of cloud computing. 
    •	    Data processing in the cloud: ICT solutions delivered in the as-a-service mode or by means of cloud computing are, according to a definition proposed by the American National Institute of Standards and Technology, models which offer access to shared computing resources which can be relatively rapidly provisioned with minimal management effort or service provider interaction. This model is made up of five characteristics, three service provisioning models and four deployment models. The essential characteristics of cloud computing are: 
        o	    the autonomy of using on-demand services: users are able to install and configure software on their own, without the involvement of, or assistance from, the supplier’s staff
        o	    Broad access to the service via standard network devices 
        o	    Resource pooling regardless of location 
        o	    Elasticity: capabilities may be freely scaled out or scaled in by users 
        o	    Measured service: fees are charged in accordance with the actual resources, bandwidth or storage space used. </t>
    </r>
  </si>
  <si>
    <t>The following deployment models for cloud computing services may be identified:</t>
  </si>
  <si>
    <t>In addition, in the context of the cloud, it might be worthwhile to draw a distinction between the concepts of managed services and IT outsourcing, often to be found in the public space.</t>
  </si>
  <si>
    <r>
      <rPr>
        <b/>
        <sz val="11"/>
        <color theme="1"/>
        <rFont val="Aptos Narrow"/>
        <family val="2"/>
        <scheme val="minor"/>
      </rPr>
      <t>Managed services</t>
    </r>
    <r>
      <rPr>
        <sz val="11"/>
        <color theme="1"/>
        <rFont val="Aptos Narrow"/>
        <family val="2"/>
        <charset val="238"/>
        <scheme val="minor"/>
      </rPr>
      <t xml:space="preserve"> – services supplied to a client by an external supplier associated with the functioning of infrastructure and/or applications in the cloud (in the hosted mode). Examples of managed services include the end-to-end management and maintenance of applications, infrastructure monitoring, helpdesk services, disaster recovery, the creation of back-up copies and data recovery.</t>
    </r>
  </si>
  <si>
    <r>
      <rPr>
        <b/>
        <sz val="11"/>
        <color theme="1"/>
        <rFont val="Aptos Narrow"/>
        <family val="2"/>
        <scheme val="minor"/>
      </rPr>
      <t>IT outsourcing</t>
    </r>
    <r>
      <rPr>
        <sz val="11"/>
        <color theme="1"/>
        <rFont val="Aptos Narrow"/>
        <family val="2"/>
        <charset val="238"/>
        <scheme val="minor"/>
      </rPr>
      <t xml:space="preserve"> - is a broader concept than cloud computing. In simple terms, it might be said that every transfer of business processes outside an organisation constitutes a form of outsourcing. As a result, the use of the public cloud and the “external” private cloud also represents a subcategory of IT outsourcing.</t>
    </r>
  </si>
  <si>
    <t>In our methodology, the different models for employing cloud computing solutions are placed in separate IT market subgroups. We justify this solution by citing the “product-oriented” approach to the market by means of which we categorise the services and thus also the market, in accordance with similar functionalities and not in terms of the delivery technology. In our opinion, this offers a better understanding of the market. As a consequence, we treat the revenue generated by the sales of SaaS solutions as part of the software market. On the other hand, the revenue generated by IaaS and PaaS solutions is included in the IT services market.</t>
  </si>
  <si>
    <r>
      <rPr>
        <b/>
        <sz val="11"/>
        <color theme="1"/>
        <rFont val="Aptos Narrow"/>
        <family val="2"/>
        <scheme val="minor"/>
      </rPr>
      <t>Data centre Market Definition</t>
    </r>
    <r>
      <rPr>
        <sz val="11"/>
        <color theme="1"/>
        <rFont val="Aptos Narrow"/>
        <family val="2"/>
        <charset val="238"/>
        <scheme val="minor"/>
      </rPr>
      <t xml:space="preserve">
In the case of data centres, in terms of space, we customarily use three KPIs: net area, gross area and total area.</t>
    </r>
  </si>
  <si>
    <r>
      <rPr>
        <b/>
        <sz val="11"/>
        <color theme="1"/>
        <rFont val="Aptos Narrow"/>
        <family val="2"/>
        <scheme val="minor"/>
      </rPr>
      <t>Net floor space of the data centre</t>
    </r>
    <r>
      <rPr>
        <sz val="11"/>
        <color theme="1"/>
        <rFont val="Aptos Narrow"/>
        <family val="2"/>
        <charset val="238"/>
        <scheme val="minor"/>
      </rPr>
      <t xml:space="preserve"> – exclusively the part of the data centre (the so-called chambers and server rooms), in which racks and servers are placed. In the case of net space, we also distinguish between net saleable area and net space, taking into account the floor occupied by equipment owned by the data centre operator itself (a common situation, particularly in the case of telecommunications operators which use facilities for their own needs, and offer part of the space to other entities on commercial terms).</t>
    </r>
  </si>
  <si>
    <r>
      <rPr>
        <b/>
        <sz val="11"/>
        <color theme="1"/>
        <rFont val="Aptos Narrow"/>
        <family val="2"/>
        <scheme val="minor"/>
      </rPr>
      <t>Gross area of the data centre</t>
    </r>
    <r>
      <rPr>
        <sz val="11"/>
        <color theme="1"/>
        <rFont val="Aptos Narrow"/>
        <family val="2"/>
        <charset val="238"/>
        <scheme val="minor"/>
      </rPr>
      <t xml:space="preserve"> – this includes, in addition to chambers and rooms exclusively for rack cabinets and IT equipment (i.e., the net area), space occupied by air-conditioning systems, UPS facilities, fire-fighting gas bottles and the technical infrastructure necessary for the operation of the facility.</t>
    </r>
  </si>
  <si>
    <r>
      <rPr>
        <b/>
        <sz val="11"/>
        <color theme="1"/>
        <rFont val="Aptos Narrow"/>
        <family val="2"/>
        <scheme val="minor"/>
      </rPr>
      <t>Total area of the data centre</t>
    </r>
    <r>
      <rPr>
        <sz val="11"/>
        <color theme="1"/>
        <rFont val="Aptos Narrow"/>
        <family val="2"/>
        <charset val="238"/>
        <scheme val="minor"/>
      </rPr>
      <t xml:space="preserve"> – includes the gross area and other rooms (if any): offices, social rooms, conference rooms and backup areas.</t>
    </r>
  </si>
  <si>
    <r>
      <rPr>
        <b/>
        <sz val="11"/>
        <color theme="1"/>
        <rFont val="Aptos Narrow"/>
        <family val="2"/>
        <scheme val="minor"/>
      </rPr>
      <t>Value of the colocation market</t>
    </r>
    <r>
      <rPr>
        <sz val="11"/>
        <color theme="1"/>
        <rFont val="Aptos Narrow"/>
        <family val="2"/>
        <charset val="238"/>
        <scheme val="minor"/>
      </rPr>
      <t xml:space="preserve"> – takes account of expenditure incurred in colocation services purchased by enterprises and institutions on the market. The value is assessed, first of all, on the demand side and questions about expenditures in this area in the subgroup of SMEs and large companies. When asking questions about colocation expenses, we were referring to the expenses incurred by companies for the entire complex service, i.e., the final cost incurred. As a result, they include, in addition to rack fees, cross connections, fibre-optic cables, transmission and electricity charges, if associated with the purchase of colocation services. In practice, companies may even quote other expenses which include more value-added services, but we are not able to verify this in more detail (as opposed to mere statements). The value of the market includes only commercial services.</t>
    </r>
  </si>
  <si>
    <t xml:space="preserve">The colocation market value assessment algorithm also includes the following mechanisms:
    •	    changes in the average price level of colocation services on the market (per rack/m² of space) 
    •	    changes in net commercial space at data centres in the country 
    •	    changes in the extent of occupancy of objects 
    •	    changes in revenue from colocation services at selected reference entities which provide PMR with revenue data 
    •	    PMR’s expert estimates of the share of dedicated colocation space as a proportion of the overall commercial space in data centres 
    •	    PMR expert estimates of share as a proportion of public sector and foreign entity colocation spending. </t>
  </si>
  <si>
    <r>
      <rPr>
        <b/>
        <sz val="11"/>
        <color theme="1"/>
        <rFont val="Aptos Narrow"/>
        <family val="2"/>
        <scheme val="minor"/>
      </rPr>
      <t>Artificial intelligence Market Definition</t>
    </r>
    <r>
      <rPr>
        <sz val="11"/>
        <color theme="1"/>
        <rFont val="Aptos Narrow"/>
        <family val="2"/>
        <charset val="238"/>
        <scheme val="minor"/>
      </rPr>
      <t xml:space="preserve">
According to the adopted methodology, the market value is defined as the total spending on AI solutions, including algorithms, machine learning models, IT platforms, business process automation software, and natural language processing technologies. The market value also incorporates services accompanying AI implementations, such as consulting and AI-related training. The estimations include only expenditures on solutions that are “strictly” based on AI, where artificial intelligence constitutes the core component of functionality. Expenditures on traditional systems and software in which AI is merely an additional supporting module have been excluded from the analysis. The assessment covers demand from all entities regardless of scale, including both enterprises and the public sector.</t>
    </r>
  </si>
  <si>
    <t>Methodology</t>
  </si>
  <si>
    <t>Contacts details</t>
  </si>
  <si>
    <t>Shared Public</t>
  </si>
  <si>
    <t>Colocation and cloud computing market value (€ m) in Greece, by type of service and economic sector, 2024</t>
  </si>
  <si>
    <t>Colocation and cloud computing market value (€ m) in Greece, by type of service and economic sector, 2030</t>
  </si>
  <si>
    <t>Average annual growth rate (CAGR) of the colocation and cloud computing market in Greece, by service type and economic sector (%), 2025-2030</t>
  </si>
  <si>
    <t>not including microenterprises</t>
  </si>
  <si>
    <t>Colocation and cloud computing market value (€ m) in Austria, by type of service and economic sector, 2024</t>
  </si>
  <si>
    <t>Colocation and cloud computing market value (€ m) in Austria, by type of service and economic sector, 2030</t>
  </si>
  <si>
    <t>Average annual growth rate (CAGR) of the colocation and cloud computing market in Austria, by service type and economic sector (%), 2025-2030</t>
  </si>
  <si>
    <t>Colocation and cloud computing market value (€ m) in Czech Republic, by type of service and economic sector, 2024</t>
  </si>
  <si>
    <t>Colocation and cloud computing market value (€ m) in Czech Republic, by type of service and economic sector, 2030</t>
  </si>
  <si>
    <t>Average annual growth rate (CAGR) of the colocation and cloud computing market in Czech Republic, by service type and economic sector (%), 2025-2030</t>
  </si>
  <si>
    <t>Colocation and cloud computing market value (€ m) in Hungary, by type of service and economic sector, 2024</t>
  </si>
  <si>
    <t>Colocation and cloud computing market value (€ m) in Hungary, by type of service and economic sector, 2030</t>
  </si>
  <si>
    <t>Average annual growth rate (CAGR) of the colocation and cloud computing market in Hungary, by service type and economic sector (%), 2025-2030</t>
  </si>
  <si>
    <t>Colocation and cloud computing market value (€ m) in Slovakia, by type of service and economic sector, 2024</t>
  </si>
  <si>
    <t>Colocation and cloud computing market value (€ m) in Slovakia, by type of service and economic sector, 2030</t>
  </si>
  <si>
    <t>Average annual growth rate (CAGR) of the colocation and cloud computing market in Slovakia, by service type and economic sector (%), 2025-2030</t>
  </si>
  <si>
    <t>Colocation and cloud computing market value (€ m) in Croatia, by type of service and economic sector, 2024</t>
  </si>
  <si>
    <t>Colocation and cloud computing market value (€ m) in Croatia, by type of service and economic sector, 2030</t>
  </si>
  <si>
    <t>Average annual growth rate (CAGR) of the colocation and cloud computing market in Croatia, by service type and economic sector (%), 2025-2030</t>
  </si>
  <si>
    <t>Colocation and cloud computing market value (€ m) in Poland, by type of service and economic sector, 2024</t>
  </si>
  <si>
    <t>Colocation and cloud computing market value (€ m) in Poland, by type of service and economic sector, 2030</t>
  </si>
  <si>
    <t>Average annual growth rate (CAGR) of the colocation and cloud computing market in Poland, by service type and economic sector (%), 2025-2030</t>
  </si>
  <si>
    <t xml:space="preserve">Structure of the colocation and cloud computing market by service type and economic sector: current state and forecast </t>
  </si>
  <si>
    <r>
      <t xml:space="preserve">The basic models of supplying cloud computing services:
</t>
    </r>
    <r>
      <rPr>
        <b/>
        <sz val="11"/>
        <color theme="1"/>
        <rFont val="Aptos Narrow"/>
        <family val="2"/>
        <scheme val="minor"/>
      </rPr>
      <t>IaaS (Infrastructure as a Service)</t>
    </r>
    <r>
      <rPr>
        <sz val="11"/>
        <color theme="1"/>
        <rFont val="Aptos Narrow"/>
        <family val="2"/>
        <scheme val="minor"/>
      </rPr>
      <t xml:space="preserve"> – the supplier provides end customers with remote access to IT infrastructure, in both the public and private mode. Depending on the methodology adopted, the basic services offered by professional commercial data centres, i.e., colocation and dedicated server rental, may be included in this category as its basis. On the other hand, that category consists, first of all, of the provision of computing power, disk space, back-up, a disaster recovery data centre and business continuity, and a virtual workstation or virtual private server services which constitute, at the same time, the most common IaaS solution. The end customer renting a virtualised server pays a subscription fee for disk space and the computing power used. In addition, pay-as-you-go billing is possible. 
</t>
    </r>
    <r>
      <rPr>
        <b/>
        <sz val="11"/>
        <color theme="1"/>
        <rFont val="Aptos Narrow"/>
        <family val="2"/>
        <scheme val="minor"/>
      </rPr>
      <t xml:space="preserve">        IaaS Shared</t>
    </r>
    <r>
      <rPr>
        <sz val="11"/>
        <color theme="1"/>
        <rFont val="Aptos Narrow"/>
        <family val="2"/>
        <scheme val="minor"/>
      </rPr>
      <t xml:space="preserve"> – infrastructure resources are shared among multiple users within a common virtualized environment, offering cost efficiency and scalability (offered by local cloud and hosting services providers).
</t>
    </r>
    <r>
      <rPr>
        <b/>
        <sz val="11"/>
        <color theme="1"/>
        <rFont val="Aptos Narrow"/>
        <family val="2"/>
        <scheme val="minor"/>
      </rPr>
      <t xml:space="preserve">        IaaS Hyper</t>
    </r>
    <r>
      <rPr>
        <sz val="11"/>
        <color theme="1"/>
        <rFont val="Aptos Narrow"/>
        <family val="2"/>
        <scheme val="minor"/>
      </rPr>
      <t xml:space="preserve"> – dedicated or high-performance environments optimized for intensive workloads, ensuring higher computing power, isolation, and advanced configuration options (offered by so called hyperscalers, e.g. AWS, Google, Microsoft).
</t>
    </r>
    <r>
      <rPr>
        <b/>
        <sz val="11"/>
        <color theme="1"/>
        <rFont val="Aptos Narrow"/>
        <family val="2"/>
        <scheme val="minor"/>
      </rPr>
      <t>PaaS (Platform as a Service)</t>
    </r>
    <r>
      <rPr>
        <sz val="11"/>
        <color theme="1"/>
        <rFont val="Aptos Narrow"/>
        <family val="2"/>
        <scheme val="minor"/>
      </rPr>
      <t xml:space="preserve"> – end users are supplied with an environment for application development. The client does not invest in an operating system or programming environment. It develops and maintains applications. That model is chiefly used by programmers. 
</t>
    </r>
    <r>
      <rPr>
        <b/>
        <sz val="11"/>
        <color theme="1"/>
        <rFont val="Aptos Narrow"/>
        <family val="2"/>
        <scheme val="minor"/>
      </rPr>
      <t xml:space="preserve">        PaaS Shared</t>
    </r>
    <r>
      <rPr>
        <sz val="11"/>
        <color theme="1"/>
        <rFont val="Aptos Narrow"/>
        <family val="2"/>
        <scheme val="minor"/>
      </rPr>
      <t xml:space="preserve"> – a standardized development environment shared by multiple users, suitable for general-purpose application deployment and collaboration (offered by local cloud and hosting services providers).
</t>
    </r>
    <r>
      <rPr>
        <b/>
        <sz val="11"/>
        <color theme="1"/>
        <rFont val="Aptos Narrow"/>
        <family val="2"/>
        <scheme val="minor"/>
      </rPr>
      <t xml:space="preserve">        PaaS Hyper</t>
    </r>
    <r>
      <rPr>
        <sz val="11"/>
        <color theme="1"/>
        <rFont val="Aptos Narrow"/>
        <family val="2"/>
        <scheme val="minor"/>
      </rPr>
      <t xml:space="preserve"> – advanced, high-performance platforms designed for complex applications requiring greater computing capacity, integration flexibility, and enhanced performance (offered by so called hyperscalers, e.g. AWS, Google, Microsoft).
</t>
    </r>
    <r>
      <rPr>
        <b/>
        <sz val="11"/>
        <color theme="1"/>
        <rFont val="Aptos Narrow"/>
        <family val="2"/>
        <scheme val="minor"/>
      </rPr>
      <t>SaaS (Software as a Service)</t>
    </r>
    <r>
      <rPr>
        <sz val="11"/>
        <color theme="1"/>
        <rFont val="Aptos Narrow"/>
        <family val="2"/>
        <scheme val="minor"/>
      </rPr>
      <t xml:space="preserve"> – end users are supplied with remote access to an application (via a web browser) which is hosted and maintained on servers managed by the supplier (software producer or its partner). As a rule, this is a shared environment. The supplier has full control over the software. As a result, the client does not own the licence but pays for the rental service, usually on a subscription basis.
</t>
    </r>
    <r>
      <rPr>
        <b/>
        <sz val="11"/>
        <color theme="1"/>
        <rFont val="Aptos Narrow"/>
        <family val="2"/>
        <scheme val="minor"/>
      </rPr>
      <t xml:space="preserve">        SaaS Basic solutions</t>
    </r>
    <r>
      <rPr>
        <sz val="11"/>
        <color theme="1"/>
        <rFont val="Aptos Narrow"/>
        <family val="2"/>
        <scheme val="minor"/>
      </rPr>
      <t xml:space="preserve"> – include fundamental cloud-based service tools that support standard business operations, such as e-mail, backup, and office software.
</t>
    </r>
    <r>
      <rPr>
        <b/>
        <sz val="11"/>
        <color theme="1"/>
        <rFont val="Aptos Narrow"/>
        <family val="2"/>
        <scheme val="minor"/>
      </rPr>
      <t xml:space="preserve">        SaaS Advanced solutions</t>
    </r>
    <r>
      <rPr>
        <sz val="11"/>
        <color theme="1"/>
        <rFont val="Aptos Narrow"/>
        <family val="2"/>
        <scheme val="minor"/>
      </rPr>
      <t xml:space="preserve"> – refer to more complex and integrated cloud applications that support strategic business processes, often involving higher customization and data management capabilities, such as security software, ERP, CRM, database hosting, and financial software.</t>
    </r>
  </si>
  <si>
    <r>
      <rPr>
        <b/>
        <sz val="11"/>
        <color theme="1"/>
        <rFont val="Aptos Narrow"/>
        <family val="2"/>
        <scheme val="minor"/>
      </rPr>
      <t>IT Market Definition</t>
    </r>
    <r>
      <rPr>
        <sz val="11"/>
        <color theme="1"/>
        <rFont val="Aptos Narrow"/>
        <family val="2"/>
        <scheme val="minor"/>
      </rPr>
      <t xml:space="preserve">
The size of the IT market is measured by the total value of expenditures on information technologies. The analysis covers both the business (B2B) and consumer (B2C) segments, including among others also smartphone sales within the analyzed region. The total value of the IT market is divided into three main categories:
    •	    Hardware (e.g. smartphones, computers, laptops, tablets, servers, accessories)
    •	    Software (e.g. operating systems, office suites, security applications, ERP, CRM, BI systems)
    •	    IT services (e.g. integration and implementation services, IT outsourcing and body leasing, maintenance and support, technology consulting, training services)</t>
    </r>
  </si>
  <si>
    <r>
      <t xml:space="preserve">The above KPIs are part of the model, and their weight and significance for the overall result differ. We are aware of the fact that it would be ideal to measure the whole market from the point of view of suppliers, considering their revenues, but this task is not feasible in practice. Only some of the main market players show any revenue data. Furthermore, the market is still highly fragmented and colocation involves various kinds of contracts, including those on the IT market, on which service providers do not allocate revenues from such contracts. As a result, in the report we have decided not to show the market shares of individual players on a revenue basis, despite internal estimates in this arena.
</t>
    </r>
    <r>
      <rPr>
        <b/>
        <sz val="11"/>
        <color theme="1"/>
        <rFont val="Aptos Narrow"/>
        <family val="2"/>
        <scheme val="minor"/>
      </rPr>
      <t>Data centre market value</t>
    </r>
    <r>
      <rPr>
        <sz val="11"/>
        <color theme="1"/>
        <rFont val="Aptos Narrow"/>
        <family val="2"/>
        <scheme val="minor"/>
      </rPr>
      <t xml:space="preserve"> – in addition to the colocation market, this figure includes the entire cloud computing services market.</t>
    </r>
  </si>
  <si>
    <r>
      <rPr>
        <b/>
        <sz val="11"/>
        <rFont val="Aptos Narrow"/>
        <family val="2"/>
        <scheme val="minor"/>
      </rPr>
      <t>Private or “private cloud”.</t>
    </r>
    <r>
      <rPr>
        <sz val="11"/>
        <rFont val="Aptos Narrow"/>
        <family val="2"/>
        <scheme val="minor"/>
      </rPr>
      <t xml:space="preserve"> A cloud model that provides dedicated virtual environments intended exclusively for a single organisation. It ensures full control over resources, security, and data management, while offering the flexibility and scalability typical of cloud computing.
</t>
    </r>
    <r>
      <rPr>
        <b/>
        <sz val="11"/>
        <rFont val="Aptos Narrow"/>
        <family val="2"/>
        <scheme val="minor"/>
      </rPr>
      <t xml:space="preserve">        Private on-prem.</t>
    </r>
    <r>
      <rPr>
        <sz val="11"/>
        <rFont val="Aptos Narrow"/>
        <family val="2"/>
        <scheme val="minor"/>
      </rPr>
      <t xml:space="preserve"> A private cloud built and operated within the organisation’s own data centre using its own physical infrastructure. The organisation is fully responsible for investment, configuration, maintenance, and management. This model is typically chosen by large enterprises that require maximum control, security, and data sovereignty.
</t>
    </r>
    <r>
      <rPr>
        <b/>
        <sz val="11"/>
        <rFont val="Aptos Narrow"/>
        <family val="2"/>
        <scheme val="minor"/>
      </rPr>
      <t xml:space="preserve">        Private hosted</t>
    </r>
    <r>
      <rPr>
        <sz val="11"/>
        <rFont val="Aptos Narrow"/>
        <family val="2"/>
        <scheme val="minor"/>
      </rPr>
      <t xml:space="preserve">. A private cloud environment tailored to the specific needs of an organisation but hosted on infrastructure provided and maintained by an external data centre provider or IT integrator. It combines dedicated resources and isolation with reduced capital investment and external operational support.
</t>
    </r>
    <r>
      <rPr>
        <b/>
        <sz val="11"/>
        <rFont val="Aptos Narrow"/>
        <family val="2"/>
        <scheme val="minor"/>
      </rPr>
      <t>Public or “public cloud”</t>
    </r>
    <r>
      <rPr>
        <sz val="11"/>
        <rFont val="Aptos Narrow"/>
        <family val="2"/>
        <scheme val="minor"/>
      </rPr>
      <t xml:space="preserve">. The essential aspect here is the sharing of resources with other clients, although at the logic level these resources are completely separate. However, they may be physically stored on shared servers. The physical infrastructure is owned by an organisation which sells cloud computing services. In theory a public cloud should be cheaper to use than a private cloud. Nevertheless, given the scale of the offer aimed at the mass market, there is less opportunity for customisation. In the public cloud, unlike the private cloud solutions, it is the customer who must adjust to the service offered by the supplier, although the offer of available out-of-the-box services obviously continues to expand. 
</t>
    </r>
    <r>
      <rPr>
        <b/>
        <sz val="11"/>
        <rFont val="Aptos Narrow"/>
        <family val="2"/>
        <scheme val="minor"/>
      </rPr>
      <t>Hybrid or the “hybrid cloud”</t>
    </r>
    <r>
      <rPr>
        <sz val="11"/>
        <rFont val="Aptos Narrow"/>
        <family val="2"/>
        <scheme val="minor"/>
      </rPr>
      <t xml:space="preserve">. This is a model in which cloud computing is used via IT resources connected with each other via the private and public clouds. Given the broad capabilities offered by the available hybrid cloud configurations (including the use of IT resources at external data centres in the public cloud mode), this is the most rapidly developing model at present. With regard to the hybrid cloud, it should be added that the term S+S (Software + Services) is also in use. One difference, referring to the SaaS mode, is, however, the fact that some files are also stored on the client’s hard drives. Depending on the client’s wishes, some folders and files may also be shared online, with the rest being available only on-site; the form of synchronisation and its scope are also selected by the client. It is, therefore, a complete model, and most public cloud solutions function in tandem with it. Approaches typical of the hybrid cloud include: 
    •	    a single cloud supplier offering a bundle which includes both private and shared resources 
    •	    separate public and private cloud providers whose solutions are integrated either by the client and/or integrator or by the suppliers themselves 
    •	    a client using the private cloud at present chooses to take advantage of the public cloud as a supplementary element of its infrastructure/resources and integrates public cloud services with its own solutions. </t>
    </r>
  </si>
  <si>
    <t>Key macroeconomic indicators</t>
  </si>
  <si>
    <t>Colocation and cloud computing market</t>
  </si>
  <si>
    <t>Total Colocation and cloud computing market size (€ m)</t>
  </si>
  <si>
    <t>Total colocation and cloud computing market size (€ m)</t>
  </si>
  <si>
    <t>Vertical split</t>
  </si>
  <si>
    <t xml:space="preserve"> </t>
  </si>
  <si>
    <t>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</si>
</sst>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 #,##0.00_-;_-* &quot;-&quot;??_-;_-@_-"/>
    <numFmt numFmtId="165" formatCode="0.0%"/>
    <numFmt numFmtId="166" formatCode="#,##0.0"/>
    <numFmt numFmtId="167" formatCode="###0.0%"/>
    <numFmt numFmtId="168" formatCode="0.0"/>
    <numFmt numFmtId="169" formatCode="0.000%"/>
  </numFmts>
  <fonts count="42" x14ac:knownFonts="1">
    <font>
      <sz val="11"/>
      <color theme="1"/>
      <name val="Aptos Narrow"/>
      <family val="2"/>
      <charset val="238"/>
      <scheme val="minor"/>
    </font>
    <font>
      <sz val="11"/>
      <color theme="1"/>
      <name val="Aptos Narrow"/>
      <family val="2"/>
      <scheme val="minor"/>
    </font>
    <font>
      <sz val="11"/>
      <color theme="1"/>
      <name val="Aptos Narrow"/>
      <family val="2"/>
      <scheme val="minor"/>
    </font>
    <font>
      <b/>
      <sz val="11"/>
      <color theme="0"/>
      <name val="Montserrat"/>
      <charset val="238"/>
    </font>
    <font>
      <b/>
      <sz val="8"/>
      <color theme="0"/>
      <name val="Montserrat"/>
      <charset val="238"/>
    </font>
    <font>
      <sz val="11"/>
      <color theme="1"/>
      <name val="Montserrat"/>
      <charset val="238"/>
    </font>
    <font>
      <b/>
      <sz val="11"/>
      <color rgb="FFE20074"/>
      <name val="Montserrat"/>
      <charset val="238"/>
    </font>
    <font>
      <b/>
      <i/>
      <sz val="8"/>
      <color rgb="FFE20074"/>
      <name val="Montserrat"/>
      <charset val="238"/>
    </font>
    <font>
      <i/>
      <sz val="8"/>
      <color theme="1"/>
      <name val="Montserrat"/>
      <charset val="238"/>
    </font>
    <font>
      <b/>
      <sz val="11"/>
      <color theme="1"/>
      <name val="Montserrat"/>
      <charset val="238"/>
    </font>
    <font>
      <sz val="8"/>
      <color theme="1"/>
      <name val="Montserrat"/>
      <charset val="238"/>
    </font>
    <font>
      <i/>
      <sz val="10"/>
      <color theme="1"/>
      <name val="Montserrat"/>
      <charset val="238"/>
    </font>
    <font>
      <u/>
      <sz val="11"/>
      <color theme="10"/>
      <name val="Aptos Narrow"/>
      <family val="2"/>
      <scheme val="minor"/>
    </font>
    <font>
      <sz val="11"/>
      <color rgb="FF010205"/>
      <name val="Montserrat"/>
      <charset val="238"/>
    </font>
    <font>
      <sz val="11"/>
      <color theme="1"/>
      <name val="Aptos Narrow"/>
      <family val="2"/>
      <charset val="238"/>
      <scheme val="minor"/>
    </font>
    <font>
      <sz val="11"/>
      <color theme="1"/>
      <name val="Montserrat"/>
      <charset val="238"/>
    </font>
    <font>
      <b/>
      <sz val="11"/>
      <color rgb="FFE20074"/>
      <name val="Montserrat"/>
      <charset val="238"/>
    </font>
    <font>
      <b/>
      <sz val="11"/>
      <color theme="0"/>
      <name val="Montserrat"/>
      <charset val="238"/>
    </font>
    <font>
      <b/>
      <sz val="8"/>
      <color theme="0"/>
      <name val="Montserrat"/>
      <charset val="238"/>
    </font>
    <font>
      <sz val="11"/>
      <color rgb="FF010205"/>
      <name val="Montserrat"/>
      <charset val="238"/>
    </font>
    <font>
      <b/>
      <i/>
      <sz val="8"/>
      <color rgb="FFE20074"/>
      <name val="Montserrat"/>
      <charset val="238"/>
    </font>
    <font>
      <i/>
      <sz val="8"/>
      <color theme="1"/>
      <name val="Montserrat"/>
      <charset val="238"/>
    </font>
    <font>
      <b/>
      <sz val="11"/>
      <color theme="1"/>
      <name val="Montserrat"/>
      <charset val="238"/>
    </font>
    <font>
      <sz val="8"/>
      <color theme="1"/>
      <name val="Montserrat"/>
      <charset val="238"/>
    </font>
    <font>
      <i/>
      <sz val="10"/>
      <color theme="1"/>
      <name val="Montserrat"/>
      <charset val="238"/>
    </font>
    <font>
      <sz val="11"/>
      <color theme="1"/>
      <name val="Aptos Narrow"/>
      <family val="2"/>
    </font>
    <font>
      <sz val="9.35"/>
      <color theme="1"/>
      <name val="Montserrat"/>
      <charset val="238"/>
    </font>
    <font>
      <b/>
      <sz val="18"/>
      <color theme="1"/>
      <name val="Montserrat"/>
      <charset val="238"/>
    </font>
    <font>
      <u/>
      <sz val="11"/>
      <color theme="10"/>
      <name val="Aptos Narrow"/>
      <family val="2"/>
      <charset val="238"/>
      <scheme val="minor"/>
    </font>
    <font>
      <sz val="11"/>
      <color indexed="8"/>
      <name val="Calibri"/>
      <family val="2"/>
    </font>
    <font>
      <b/>
      <sz val="16"/>
      <color theme="0"/>
      <name val="Montserrat"/>
      <charset val="238"/>
    </font>
    <font>
      <sz val="12"/>
      <color theme="0"/>
      <name val="Montserrat"/>
      <charset val="238"/>
    </font>
    <font>
      <sz val="11"/>
      <color theme="0"/>
      <name val="Montserrat"/>
      <charset val="238"/>
    </font>
    <font>
      <sz val="11"/>
      <color theme="1"/>
      <name val="Aptos Display"/>
      <family val="2"/>
      <scheme val="major"/>
    </font>
    <font>
      <b/>
      <sz val="11"/>
      <color theme="1"/>
      <name val="Aptos Narrow"/>
      <family val="2"/>
      <scheme val="minor"/>
    </font>
    <font>
      <sz val="11"/>
      <color theme="1" tint="0.249977111117893"/>
      <name val="Aptos Narrow"/>
      <family val="2"/>
      <charset val="238"/>
      <scheme val="minor"/>
    </font>
    <font>
      <sz val="11"/>
      <color theme="1" tint="0.249977111117893"/>
      <name val="Montserrat"/>
      <charset val="238"/>
    </font>
    <font>
      <u/>
      <sz val="11"/>
      <color theme="1" tint="0.249977111117893"/>
      <name val="Montserrat"/>
      <charset val="238"/>
    </font>
    <font>
      <b/>
      <sz val="11"/>
      <name val="Montserrat"/>
      <charset val="238"/>
    </font>
    <font>
      <b/>
      <sz val="11"/>
      <name val="Aptos Narrow"/>
      <family val="2"/>
      <scheme val="minor"/>
    </font>
    <font>
      <sz val="11"/>
      <name val="Aptos Narrow"/>
      <family val="2"/>
      <scheme val="minor"/>
    </font>
    <font>
      <sz val="11"/>
      <color theme="1"/>
      <name val="Montserrat"/>
    </font>
  </fonts>
  <fills count="5">
    <fill>
      <patternFill patternType="none"/>
    </fill>
    <fill>
      <patternFill patternType="gray125"/>
    </fill>
    <fill>
      <patternFill patternType="solid">
        <fgColor rgb="FFE20074"/>
        <bgColor indexed="64"/>
      </patternFill>
    </fill>
    <fill>
      <patternFill patternType="solid">
        <fgColor rgb="FFFFBDE0"/>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0">
    <xf numFmtId="0" fontId="0" fillId="0" borderId="0"/>
    <xf numFmtId="0" fontId="2" fillId="0" borderId="0"/>
    <xf numFmtId="9" fontId="2" fillId="0" borderId="0" applyFont="0" applyFill="0" applyBorder="0" applyAlignment="0" applyProtection="0"/>
    <xf numFmtId="0" fontId="12" fillId="0" borderId="0" applyNumberFormat="0" applyFill="0" applyBorder="0" applyAlignment="0" applyProtection="0"/>
    <xf numFmtId="0" fontId="2" fillId="0" borderId="0"/>
    <xf numFmtId="9" fontId="14" fillId="0" borderId="0" applyFont="0" applyFill="0" applyBorder="0" applyAlignment="0" applyProtection="0"/>
    <xf numFmtId="9" fontId="14" fillId="0" borderId="0" applyFont="0" applyFill="0" applyBorder="0" applyAlignment="0" applyProtection="0"/>
    <xf numFmtId="0" fontId="28" fillId="0" borderId="0" applyNumberFormat="0" applyFill="0" applyBorder="0" applyAlignment="0" applyProtection="0"/>
    <xf numFmtId="0" fontId="29" fillId="0" borderId="0"/>
    <xf numFmtId="164" fontId="14" fillId="0" borderId="0" applyFont="0" applyFill="0" applyBorder="0" applyAlignment="0" applyProtection="0"/>
  </cellStyleXfs>
  <cellXfs count="148">
    <xf numFmtId="0" fontId="0" fillId="0" borderId="0" xfId="0"/>
    <xf numFmtId="0" fontId="3" fillId="2" borderId="0" xfId="1" applyFont="1" applyFill="1" applyAlignment="1">
      <alignment vertical="center"/>
    </xf>
    <xf numFmtId="0" fontId="3" fillId="2" borderId="0" xfId="1" applyFont="1" applyFill="1" applyAlignment="1">
      <alignment horizontal="center" vertical="center"/>
    </xf>
    <xf numFmtId="0" fontId="4" fillId="2" borderId="0" xfId="1" applyFont="1" applyFill="1" applyAlignment="1">
      <alignment horizontal="center" vertical="center"/>
    </xf>
    <xf numFmtId="0" fontId="5" fillId="2" borderId="0" xfId="1" applyFont="1" applyFill="1"/>
    <xf numFmtId="2" fontId="6" fillId="0" borderId="0" xfId="1" applyNumberFormat="1" applyFont="1"/>
    <xf numFmtId="0" fontId="6" fillId="0" borderId="0" xfId="1" applyFont="1"/>
    <xf numFmtId="9" fontId="7" fillId="0" borderId="0" xfId="2" applyFont="1"/>
    <xf numFmtId="165" fontId="7" fillId="0" borderId="0" xfId="2" applyNumberFormat="1" applyFont="1" applyAlignment="1">
      <alignment horizontal="center"/>
    </xf>
    <xf numFmtId="2" fontId="5" fillId="0" borderId="0" xfId="1" applyNumberFormat="1" applyFont="1" applyAlignment="1">
      <alignment horizontal="left" indent="2"/>
    </xf>
    <xf numFmtId="3" fontId="5" fillId="0" borderId="0" xfId="1" applyNumberFormat="1" applyFont="1" applyAlignment="1">
      <alignment horizontal="center"/>
    </xf>
    <xf numFmtId="0" fontId="5" fillId="0" borderId="0" xfId="1" applyFont="1"/>
    <xf numFmtId="9" fontId="8" fillId="0" borderId="0" xfId="2" applyFont="1" applyAlignment="1">
      <alignment horizontal="left" indent="2"/>
    </xf>
    <xf numFmtId="165" fontId="8" fillId="0" borderId="0" xfId="2" applyNumberFormat="1" applyFont="1" applyAlignment="1">
      <alignment horizontal="center"/>
    </xf>
    <xf numFmtId="0" fontId="5" fillId="0" borderId="0" xfId="1" applyFont="1" applyAlignment="1">
      <alignment horizontal="center"/>
    </xf>
    <xf numFmtId="166" fontId="5" fillId="0" borderId="0" xfId="1" applyNumberFormat="1" applyFont="1" applyAlignment="1">
      <alignment horizontal="center"/>
    </xf>
    <xf numFmtId="9" fontId="9" fillId="0" borderId="0" xfId="2" applyFont="1"/>
    <xf numFmtId="9" fontId="5" fillId="0" borderId="0" xfId="2" applyFont="1" applyAlignment="1">
      <alignment horizontal="left" indent="2"/>
    </xf>
    <xf numFmtId="9" fontId="6" fillId="0" borderId="0" xfId="2" applyFont="1" applyAlignment="1">
      <alignment horizontal="left" indent="2"/>
    </xf>
    <xf numFmtId="9" fontId="7" fillId="0" borderId="0" xfId="2" applyFont="1" applyAlignment="1">
      <alignment horizontal="left" indent="2"/>
    </xf>
    <xf numFmtId="0" fontId="2" fillId="0" borderId="0" xfId="1"/>
    <xf numFmtId="0" fontId="9" fillId="0" borderId="0" xfId="0" applyFont="1"/>
    <xf numFmtId="2" fontId="5" fillId="0" borderId="0" xfId="0" applyNumberFormat="1" applyFont="1" applyAlignment="1">
      <alignment horizontal="left" indent="2"/>
    </xf>
    <xf numFmtId="2" fontId="6" fillId="0" borderId="0" xfId="0" applyNumberFormat="1" applyFont="1" applyAlignment="1">
      <alignment horizontal="left" indent="2"/>
    </xf>
    <xf numFmtId="2" fontId="6" fillId="0" borderId="0" xfId="0" applyNumberFormat="1" applyFont="1"/>
    <xf numFmtId="9" fontId="6" fillId="0" borderId="0" xfId="2" applyFont="1" applyAlignment="1">
      <alignment horizontal="left" vertical="center" indent="2"/>
    </xf>
    <xf numFmtId="9" fontId="7" fillId="0" borderId="0" xfId="2" applyFont="1" applyAlignment="1">
      <alignment horizontal="left" vertical="center" indent="2"/>
    </xf>
    <xf numFmtId="0" fontId="5" fillId="0" borderId="0" xfId="0" applyFont="1"/>
    <xf numFmtId="0" fontId="10" fillId="0" borderId="0" xfId="0" applyFont="1"/>
    <xf numFmtId="2" fontId="5" fillId="0" borderId="0" xfId="0" applyNumberFormat="1" applyFont="1" applyAlignment="1">
      <alignment horizontal="left" indent="3"/>
    </xf>
    <xf numFmtId="9" fontId="8" fillId="0" borderId="0" xfId="2" applyFont="1" applyAlignment="1">
      <alignment horizontal="left" indent="3"/>
    </xf>
    <xf numFmtId="0" fontId="3" fillId="2" borderId="0" xfId="0" applyFont="1" applyFill="1" applyAlignment="1">
      <alignment vertical="center"/>
    </xf>
    <xf numFmtId="0" fontId="5" fillId="0" borderId="0" xfId="0" applyFont="1" applyAlignment="1">
      <alignment vertical="center"/>
    </xf>
    <xf numFmtId="0" fontId="11" fillId="0" borderId="0" xfId="0" applyFont="1"/>
    <xf numFmtId="49" fontId="3" fillId="2" borderId="0" xfId="1" applyNumberFormat="1" applyFont="1" applyFill="1" applyAlignment="1">
      <alignment horizontal="center" vertical="center" wrapText="1"/>
    </xf>
    <xf numFmtId="0" fontId="7" fillId="0" borderId="0" xfId="2" applyNumberFormat="1" applyFont="1" applyAlignment="1">
      <alignment horizontal="center"/>
    </xf>
    <xf numFmtId="167" fontId="13" fillId="3" borderId="0" xfId="4" applyNumberFormat="1" applyFont="1" applyFill="1" applyAlignment="1">
      <alignment horizontal="center" vertical="center"/>
    </xf>
    <xf numFmtId="167" fontId="6" fillId="0" borderId="0" xfId="1" applyNumberFormat="1" applyFont="1"/>
    <xf numFmtId="167" fontId="5" fillId="0" borderId="0" xfId="1" applyNumberFormat="1" applyFont="1"/>
    <xf numFmtId="168" fontId="5" fillId="0" borderId="0" xfId="1" applyNumberFormat="1" applyFont="1" applyAlignment="1">
      <alignment horizontal="center"/>
    </xf>
    <xf numFmtId="166" fontId="6" fillId="0" borderId="0" xfId="1" applyNumberFormat="1" applyFont="1" applyAlignment="1">
      <alignment horizontal="center"/>
    </xf>
    <xf numFmtId="166" fontId="8" fillId="0" borderId="0" xfId="2" applyNumberFormat="1" applyFont="1" applyAlignment="1">
      <alignment horizontal="center"/>
    </xf>
    <xf numFmtId="165" fontId="5" fillId="0" borderId="0" xfId="1" applyNumberFormat="1" applyFont="1" applyAlignment="1">
      <alignment horizontal="center"/>
    </xf>
    <xf numFmtId="166" fontId="15" fillId="0" borderId="0" xfId="1" applyNumberFormat="1" applyFont="1" applyAlignment="1">
      <alignment horizontal="center"/>
    </xf>
    <xf numFmtId="165" fontId="15" fillId="0" borderId="0" xfId="1" applyNumberFormat="1" applyFont="1" applyAlignment="1">
      <alignment horizontal="center"/>
    </xf>
    <xf numFmtId="3" fontId="15" fillId="0" borderId="0" xfId="1" applyNumberFormat="1" applyFont="1" applyAlignment="1">
      <alignment horizontal="center"/>
    </xf>
    <xf numFmtId="168" fontId="15" fillId="0" borderId="0" xfId="1" applyNumberFormat="1" applyFont="1" applyAlignment="1">
      <alignment horizontal="center"/>
    </xf>
    <xf numFmtId="0" fontId="0" fillId="0" borderId="0" xfId="1" applyFont="1"/>
    <xf numFmtId="0" fontId="15" fillId="2" borderId="0" xfId="1" applyFont="1" applyFill="1"/>
    <xf numFmtId="0" fontId="16" fillId="0" borderId="0" xfId="1" applyFont="1"/>
    <xf numFmtId="0" fontId="15" fillId="0" borderId="0" xfId="1" applyFont="1"/>
    <xf numFmtId="0" fontId="17" fillId="2" borderId="0" xfId="1" applyFont="1" applyFill="1" applyAlignment="1">
      <alignment vertical="center"/>
    </xf>
    <xf numFmtId="0" fontId="17" fillId="2" borderId="0" xfId="1" applyFont="1" applyFill="1" applyAlignment="1">
      <alignment horizontal="center" vertical="center"/>
    </xf>
    <xf numFmtId="49" fontId="17" fillId="2" borderId="0" xfId="1" applyNumberFormat="1" applyFont="1" applyFill="1" applyAlignment="1">
      <alignment horizontal="center" vertical="center" wrapText="1"/>
    </xf>
    <xf numFmtId="0" fontId="18" fillId="2" borderId="0" xfId="1" applyFont="1" applyFill="1" applyAlignment="1">
      <alignment horizontal="center" vertical="center"/>
    </xf>
    <xf numFmtId="2" fontId="16" fillId="0" borderId="0" xfId="1" applyNumberFormat="1" applyFont="1"/>
    <xf numFmtId="166" fontId="16" fillId="0" borderId="0" xfId="1" applyNumberFormat="1" applyFont="1" applyAlignment="1">
      <alignment horizontal="center"/>
    </xf>
    <xf numFmtId="167" fontId="19" fillId="3" borderId="0" xfId="4" applyNumberFormat="1" applyFont="1" applyFill="1" applyAlignment="1">
      <alignment horizontal="center" vertical="center"/>
    </xf>
    <xf numFmtId="9" fontId="20" fillId="0" borderId="0" xfId="2" applyFont="1"/>
    <xf numFmtId="165" fontId="20" fillId="0" borderId="0" xfId="2" applyNumberFormat="1" applyFont="1" applyAlignment="1">
      <alignment horizontal="center"/>
    </xf>
    <xf numFmtId="167" fontId="16" fillId="0" borderId="0" xfId="1" applyNumberFormat="1" applyFont="1"/>
    <xf numFmtId="2" fontId="15" fillId="0" borderId="0" xfId="1" applyNumberFormat="1" applyFont="1" applyAlignment="1">
      <alignment horizontal="left" indent="2"/>
    </xf>
    <xf numFmtId="9" fontId="21" fillId="0" borderId="0" xfId="2" applyFont="1" applyAlignment="1">
      <alignment horizontal="left" indent="2"/>
    </xf>
    <xf numFmtId="165" fontId="21" fillId="0" borderId="0" xfId="2" applyNumberFormat="1" applyFont="1" applyAlignment="1">
      <alignment horizontal="center"/>
    </xf>
    <xf numFmtId="167" fontId="15" fillId="0" borderId="0" xfId="1" applyNumberFormat="1" applyFont="1"/>
    <xf numFmtId="0" fontId="15" fillId="0" borderId="0" xfId="1" applyFont="1" applyAlignment="1">
      <alignment horizontal="center"/>
    </xf>
    <xf numFmtId="0" fontId="20" fillId="0" borderId="0" xfId="2" applyNumberFormat="1" applyFont="1" applyAlignment="1">
      <alignment horizontal="center"/>
    </xf>
    <xf numFmtId="0" fontId="22" fillId="0" borderId="0" xfId="0" applyFont="1"/>
    <xf numFmtId="2" fontId="15" fillId="0" borderId="0" xfId="0" applyNumberFormat="1" applyFont="1" applyAlignment="1">
      <alignment horizontal="left" indent="2"/>
    </xf>
    <xf numFmtId="9" fontId="16" fillId="0" borderId="0" xfId="2" applyFont="1" applyAlignment="1">
      <alignment horizontal="left" vertical="center" indent="2"/>
    </xf>
    <xf numFmtId="9" fontId="20" fillId="0" borderId="0" xfId="2" applyFont="1" applyAlignment="1">
      <alignment horizontal="left" vertical="center" indent="2"/>
    </xf>
    <xf numFmtId="9" fontId="22" fillId="0" borderId="0" xfId="2" applyFont="1"/>
    <xf numFmtId="9" fontId="15" fillId="0" borderId="0" xfId="2" applyFont="1" applyAlignment="1">
      <alignment horizontal="left" indent="2"/>
    </xf>
    <xf numFmtId="9" fontId="16" fillId="0" borderId="0" xfId="2" applyFont="1" applyAlignment="1">
      <alignment horizontal="left" indent="2"/>
    </xf>
    <xf numFmtId="9" fontId="20" fillId="0" borderId="0" xfId="2" applyFont="1" applyAlignment="1">
      <alignment horizontal="left" indent="2"/>
    </xf>
    <xf numFmtId="166" fontId="21" fillId="0" borderId="0" xfId="2" applyNumberFormat="1" applyFont="1" applyAlignment="1">
      <alignment horizontal="center"/>
    </xf>
    <xf numFmtId="2" fontId="16" fillId="0" borderId="0" xfId="0" applyNumberFormat="1" applyFont="1"/>
    <xf numFmtId="2" fontId="16" fillId="0" borderId="0" xfId="0" applyNumberFormat="1" applyFont="1" applyAlignment="1">
      <alignment horizontal="left" indent="2"/>
    </xf>
    <xf numFmtId="4" fontId="15" fillId="0" borderId="0" xfId="0" applyNumberFormat="1" applyFont="1" applyAlignment="1">
      <alignment horizontal="center"/>
    </xf>
    <xf numFmtId="0" fontId="15" fillId="0" borderId="0" xfId="0" applyFont="1"/>
    <xf numFmtId="0" fontId="23" fillId="0" borderId="0" xfId="0" applyFont="1"/>
    <xf numFmtId="1" fontId="15" fillId="0" borderId="0" xfId="1" applyNumberFormat="1" applyFont="1" applyAlignment="1">
      <alignment horizontal="center"/>
    </xf>
    <xf numFmtId="2" fontId="15" fillId="0" borderId="0" xfId="0" applyNumberFormat="1" applyFont="1" applyAlignment="1">
      <alignment horizontal="left" indent="3"/>
    </xf>
    <xf numFmtId="9" fontId="21" fillId="0" borderId="0" xfId="2" applyFont="1" applyAlignment="1">
      <alignment horizontal="left" indent="3"/>
    </xf>
    <xf numFmtId="0" fontId="15" fillId="0" borderId="0" xfId="0" applyFont="1" applyAlignment="1">
      <alignment horizontal="left" indent="2"/>
    </xf>
    <xf numFmtId="0" fontId="17" fillId="2" borderId="0" xfId="0" applyFont="1" applyFill="1" applyAlignment="1">
      <alignment vertical="center"/>
    </xf>
    <xf numFmtId="0" fontId="24" fillId="0" borderId="0" xfId="0" applyFont="1"/>
    <xf numFmtId="168" fontId="16" fillId="0" borderId="0" xfId="1" applyNumberFormat="1" applyFont="1" applyAlignment="1">
      <alignment horizontal="center"/>
    </xf>
    <xf numFmtId="165" fontId="15" fillId="0" borderId="0" xfId="6" applyNumberFormat="1" applyFont="1" applyAlignment="1">
      <alignment horizontal="center"/>
    </xf>
    <xf numFmtId="165" fontId="16" fillId="0" borderId="0" xfId="6" applyNumberFormat="1" applyFont="1" applyAlignment="1">
      <alignment horizontal="center"/>
    </xf>
    <xf numFmtId="3" fontId="5" fillId="0" borderId="0" xfId="2" applyNumberFormat="1" applyFont="1" applyAlignment="1">
      <alignment horizontal="center"/>
    </xf>
    <xf numFmtId="168" fontId="6" fillId="0" borderId="0" xfId="1" applyNumberFormat="1" applyFont="1" applyAlignment="1">
      <alignment horizontal="center"/>
    </xf>
    <xf numFmtId="0" fontId="27" fillId="4" borderId="0" xfId="1" applyFont="1" applyFill="1"/>
    <xf numFmtId="165" fontId="5" fillId="0" borderId="0" xfId="6" applyNumberFormat="1" applyFont="1" applyAlignment="1">
      <alignment horizontal="center"/>
    </xf>
    <xf numFmtId="165" fontId="6" fillId="0" borderId="0" xfId="6" applyNumberFormat="1" applyFont="1" applyAlignment="1">
      <alignment horizontal="center"/>
    </xf>
    <xf numFmtId="0" fontId="30" fillId="2" borderId="0" xfId="8" applyFont="1" applyFill="1" applyAlignment="1">
      <alignment vertical="center"/>
    </xf>
    <xf numFmtId="0" fontId="31" fillId="2" borderId="0" xfId="8" applyFont="1" applyFill="1"/>
    <xf numFmtId="0" fontId="32" fillId="2" borderId="0" xfId="8" applyFont="1" applyFill="1" applyAlignment="1">
      <alignment horizontal="left" indent="2"/>
    </xf>
    <xf numFmtId="0" fontId="3" fillId="2" borderId="0" xfId="8" applyFont="1" applyFill="1" applyAlignment="1">
      <alignment horizontal="left" vertical="center"/>
    </xf>
    <xf numFmtId="0" fontId="0" fillId="0" borderId="0" xfId="0" applyAlignment="1">
      <alignment wrapText="1"/>
    </xf>
    <xf numFmtId="3" fontId="33" fillId="0" borderId="0" xfId="1" applyNumberFormat="1" applyFont="1" applyAlignment="1">
      <alignment horizontal="left" vertical="top" wrapText="1"/>
    </xf>
    <xf numFmtId="0" fontId="2" fillId="0" borderId="0" xfId="0" applyFont="1" applyAlignment="1">
      <alignment wrapText="1"/>
    </xf>
    <xf numFmtId="0" fontId="2" fillId="0" borderId="0" xfId="0" applyFont="1"/>
    <xf numFmtId="9" fontId="2" fillId="0" borderId="0" xfId="6" applyFont="1"/>
    <xf numFmtId="0" fontId="35" fillId="0" borderId="0" xfId="0" applyFont="1"/>
    <xf numFmtId="0" fontId="36" fillId="0" borderId="0" xfId="0" applyFont="1"/>
    <xf numFmtId="0" fontId="37" fillId="4" borderId="0" xfId="7" applyFont="1" applyFill="1" applyAlignment="1">
      <alignment vertical="center"/>
    </xf>
    <xf numFmtId="0" fontId="37" fillId="0" borderId="0" xfId="7" applyFont="1"/>
    <xf numFmtId="165" fontId="0" fillId="0" borderId="0" xfId="6" applyNumberFormat="1" applyFont="1"/>
    <xf numFmtId="167" fontId="0" fillId="0" borderId="0" xfId="1" applyNumberFormat="1" applyFont="1"/>
    <xf numFmtId="167" fontId="2" fillId="0" borderId="0" xfId="1" applyNumberFormat="1"/>
    <xf numFmtId="165" fontId="0" fillId="0" borderId="0" xfId="1" applyNumberFormat="1" applyFont="1"/>
    <xf numFmtId="166" fontId="15" fillId="0" borderId="0" xfId="0" applyNumberFormat="1" applyFont="1" applyAlignment="1">
      <alignment horizontal="center"/>
    </xf>
    <xf numFmtId="166" fontId="0" fillId="0" borderId="0" xfId="1" applyNumberFormat="1" applyFont="1"/>
    <xf numFmtId="3" fontId="0" fillId="0" borderId="0" xfId="1" applyNumberFormat="1" applyFont="1"/>
    <xf numFmtId="0" fontId="34" fillId="0" borderId="3" xfId="0" applyFont="1" applyBorder="1" applyAlignment="1">
      <alignment horizontal="center" vertical="center"/>
    </xf>
    <xf numFmtId="0" fontId="3" fillId="2" borderId="0" xfId="8" applyFont="1" applyFill="1" applyAlignment="1">
      <alignment horizontal="left" indent="2"/>
    </xf>
    <xf numFmtId="0" fontId="34" fillId="0" borderId="3" xfId="0" applyFont="1" applyBorder="1" applyAlignment="1">
      <alignment horizontal="center" vertical="center" wrapText="1"/>
    </xf>
    <xf numFmtId="0" fontId="0" fillId="0" borderId="3" xfId="0" applyBorder="1"/>
    <xf numFmtId="0" fontId="3" fillId="0" borderId="0" xfId="8" applyFont="1" applyAlignment="1">
      <alignment horizontal="left" indent="2"/>
    </xf>
    <xf numFmtId="0" fontId="3" fillId="0" borderId="0" xfId="8" applyFont="1" applyAlignment="1">
      <alignment horizontal="left" vertical="center"/>
    </xf>
    <xf numFmtId="0" fontId="32" fillId="0" borderId="0" xfId="8" applyFont="1" applyAlignment="1">
      <alignment horizontal="left" indent="2"/>
    </xf>
    <xf numFmtId="0" fontId="38" fillId="0" borderId="0" xfId="8" applyFont="1"/>
    <xf numFmtId="0" fontId="8" fillId="0" borderId="0" xfId="0" applyFont="1"/>
    <xf numFmtId="168" fontId="5" fillId="0" borderId="3" xfId="0" applyNumberFormat="1" applyFont="1" applyBorder="1" applyAlignment="1">
      <alignment horizontal="center"/>
    </xf>
    <xf numFmtId="165" fontId="5" fillId="0" borderId="3" xfId="2" applyNumberFormat="1" applyFont="1" applyFill="1" applyBorder="1" applyAlignment="1">
      <alignment horizontal="center" vertical="center"/>
    </xf>
    <xf numFmtId="0" fontId="40" fillId="0" borderId="0" xfId="0" applyFont="1" applyAlignment="1">
      <alignment wrapText="1"/>
    </xf>
    <xf numFmtId="166" fontId="5" fillId="0" borderId="0" xfId="0" applyNumberFormat="1" applyFont="1" applyAlignment="1">
      <alignment horizontal="center"/>
    </xf>
    <xf numFmtId="168" fontId="0" fillId="0" borderId="0" xfId="0" applyNumberFormat="1"/>
    <xf numFmtId="0" fontId="5" fillId="0" borderId="0" xfId="0" applyFont="1" applyAlignment="1">
      <alignment horizontal="left" indent="2"/>
    </xf>
    <xf numFmtId="165" fontId="15" fillId="0" borderId="0" xfId="6" applyNumberFormat="1" applyFont="1"/>
    <xf numFmtId="4" fontId="15" fillId="0" borderId="0" xfId="1" applyNumberFormat="1" applyFont="1" applyAlignment="1">
      <alignment horizontal="center"/>
    </xf>
    <xf numFmtId="166" fontId="15" fillId="0" borderId="0" xfId="9" applyNumberFormat="1" applyFont="1" applyAlignment="1">
      <alignment horizontal="center" vertical="center"/>
    </xf>
    <xf numFmtId="168" fontId="0" fillId="0" borderId="0" xfId="0" applyNumberFormat="1" applyAlignment="1">
      <alignment horizontal="center"/>
    </xf>
    <xf numFmtId="0" fontId="0" fillId="0" borderId="0" xfId="0" applyAlignment="1">
      <alignment horizontal="center"/>
    </xf>
    <xf numFmtId="168" fontId="41" fillId="0" borderId="3" xfId="0" applyNumberFormat="1" applyFont="1" applyBorder="1" applyAlignment="1">
      <alignment horizontal="center"/>
    </xf>
    <xf numFmtId="2" fontId="15" fillId="0" borderId="0" xfId="1" applyNumberFormat="1" applyFont="1" applyAlignment="1">
      <alignment horizontal="center"/>
    </xf>
    <xf numFmtId="169" fontId="15" fillId="0" borderId="0" xfId="1" applyNumberFormat="1" applyFont="1" applyAlignment="1">
      <alignment horizontal="center"/>
    </xf>
    <xf numFmtId="10" fontId="15" fillId="0" borderId="0" xfId="1" applyNumberFormat="1" applyFont="1" applyAlignment="1">
      <alignment horizontal="center"/>
    </xf>
    <xf numFmtId="2" fontId="5" fillId="0" borderId="0" xfId="1" applyNumberFormat="1" applyFont="1" applyAlignment="1">
      <alignment horizontal="center"/>
    </xf>
    <xf numFmtId="168" fontId="0" fillId="0" borderId="0" xfId="1" applyNumberFormat="1" applyFont="1" applyAlignment="1">
      <alignment horizontal="center" vertical="center"/>
    </xf>
    <xf numFmtId="3" fontId="2" fillId="0" borderId="0" xfId="1" applyNumberFormat="1"/>
    <xf numFmtId="1" fontId="5" fillId="0" borderId="0" xfId="1" applyNumberFormat="1" applyFont="1" applyAlignment="1">
      <alignment horizontal="center"/>
    </xf>
    <xf numFmtId="165" fontId="41" fillId="0" borderId="0" xfId="6" applyNumberFormat="1" applyFont="1" applyAlignment="1">
      <alignment horizontal="center"/>
    </xf>
    <xf numFmtId="165" fontId="2" fillId="0" borderId="0" xfId="6" applyNumberFormat="1" applyFont="1"/>
    <xf numFmtId="0" fontId="0" fillId="0" borderId="1" xfId="0" applyBorder="1" applyAlignment="1">
      <alignment horizontal="center"/>
    </xf>
    <xf numFmtId="0" fontId="0" fillId="0" borderId="2" xfId="0" applyBorder="1" applyAlignment="1">
      <alignment horizontal="center"/>
    </xf>
    <xf numFmtId="0" fontId="34" fillId="0" borderId="3" xfId="0" applyFont="1" applyBorder="1" applyAlignment="1">
      <alignment horizontal="center" vertical="center"/>
    </xf>
  </cellXfs>
  <cellStyles count="10">
    <cellStyle name="Hiperłącze 2" xfId="3" xr:uid="{53AF457E-7B4E-4790-9D9E-E76B7F7E0D70}"/>
    <cellStyle name="Lien hypertexte" xfId="7" builtinId="8"/>
    <cellStyle name="Milliers" xfId="9" builtinId="3"/>
    <cellStyle name="Normal" xfId="0" builtinId="0"/>
    <cellStyle name="Normalny 2" xfId="1" xr:uid="{409D95FE-9E5C-4E98-86B4-B6EE07CF62E0}"/>
    <cellStyle name="Normalny 2 2" xfId="8" xr:uid="{622376EF-2B4D-4D58-8274-A003D636B182}"/>
    <cellStyle name="Percent" xfId="5" xr:uid="{849848D9-6625-4EFD-964D-72BBAAA59381}"/>
    <cellStyle name="Pourcentage" xfId="6" builtinId="5"/>
    <cellStyle name="Procentowy 2" xfId="2" xr:uid="{C5E423F5-47B8-4754-AE1F-0277292D1F57}"/>
    <cellStyle name="style1670312130048" xfId="4" xr:uid="{C955A644-6804-4520-A4C0-73E58215F527}"/>
  </cellStyles>
  <dxfs count="0"/>
  <tableStyles count="0" defaultTableStyle="TableStyleMedium2"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133351</xdr:colOff>
      <xdr:row>0</xdr:row>
      <xdr:rowOff>0</xdr:rowOff>
    </xdr:from>
    <xdr:to>
      <xdr:col>5</xdr:col>
      <xdr:colOff>605338</xdr:colOff>
      <xdr:row>13</xdr:row>
      <xdr:rowOff>45719</xdr:rowOff>
    </xdr:to>
    <xdr:pic>
      <xdr:nvPicPr>
        <xdr:cNvPr id="2" name="Obraz 1">
          <a:extLst>
            <a:ext uri="{FF2B5EF4-FFF2-40B4-BE49-F238E27FC236}">
              <a16:creationId xmlns:a16="http://schemas.microsoft.com/office/drawing/2014/main" id="{230C2734-7603-4879-BC16-C001C0A7A5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1" y="0"/>
          <a:ext cx="2912292" cy="23964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236220</xdr:colOff>
      <xdr:row>5</xdr:row>
      <xdr:rowOff>129540</xdr:rowOff>
    </xdr:from>
    <xdr:to>
      <xdr:col>13</xdr:col>
      <xdr:colOff>49651</xdr:colOff>
      <xdr:row>7</xdr:row>
      <xdr:rowOff>33101</xdr:rowOff>
    </xdr:to>
    <xdr:sp macro="" textlink="" fLocksText="0">
      <xdr:nvSpPr>
        <xdr:cNvPr id="30" name="pole tekstowe 7">
          <a:extLst>
            <a:ext uri="{FF2B5EF4-FFF2-40B4-BE49-F238E27FC236}">
              <a16:creationId xmlns:a16="http://schemas.microsoft.com/office/drawing/2014/main" id="{AD2ECB99-B3F2-439C-97E3-3FE1B3E1F893}"/>
            </a:ext>
          </a:extLst>
        </xdr:cNvPr>
        <xdr:cNvSpPr txBox="1">
          <a:spLocks noChangeArrowheads="1"/>
        </xdr:cNvSpPr>
      </xdr:nvSpPr>
      <xdr:spPr bwMode="auto">
        <a:xfrm>
          <a:off x="6442555" y="1039802"/>
          <a:ext cx="1675331" cy="267666"/>
        </a:xfrm>
        <a:prstGeom prst="rect">
          <a:avLst/>
        </a:prstGeom>
        <a:solidFill>
          <a:srgbClr val="FFFFFF"/>
        </a:solidFill>
        <a:ln>
          <a:noFill/>
        </a:ln>
        <a:effectLst/>
      </xdr:spPr>
      <xdr:txBody>
        <a:bodyPr vertOverflow="clip" wrap="square" lIns="20160" tIns="20160" rIns="20160" bIns="20160" anchor="t"/>
        <a:lstStyle/>
        <a:p>
          <a:pPr algn="l" rtl="0">
            <a:defRPr sz="1000"/>
          </a:pPr>
          <a:r>
            <a:rPr lang="pl-PL" sz="1200" b="1" i="0" u="none" strike="noStrike" baseline="0">
              <a:solidFill>
                <a:srgbClr val="FF2D9B"/>
              </a:solidFill>
              <a:latin typeface="Montserrat" panose="00000500000000000000" pitchFamily="2" charset="-18"/>
              <a:ea typeface="+mn-ea"/>
              <a:cs typeface="+mn-cs"/>
            </a:rPr>
            <a:t>22 October 2025</a:t>
          </a:r>
          <a:endParaRPr lang="en-US" sz="1200" b="1" i="0" u="none" strike="noStrike" baseline="0">
            <a:solidFill>
              <a:srgbClr val="FF2D9B"/>
            </a:solidFill>
            <a:latin typeface="Montserrat" panose="00000500000000000000" pitchFamily="2" charset="-18"/>
            <a:ea typeface="+mn-ea"/>
            <a:cs typeface="+mn-cs"/>
          </a:endParaRPr>
        </a:p>
      </xdr:txBody>
    </xdr:sp>
    <xdr:clientData/>
  </xdr:twoCellAnchor>
  <xdr:twoCellAnchor>
    <xdr:from>
      <xdr:col>1</xdr:col>
      <xdr:colOff>205740</xdr:colOff>
      <xdr:row>11</xdr:row>
      <xdr:rowOff>114300</xdr:rowOff>
    </xdr:from>
    <xdr:to>
      <xdr:col>14</xdr:col>
      <xdr:colOff>573741</xdr:colOff>
      <xdr:row>27</xdr:row>
      <xdr:rowOff>130628</xdr:rowOff>
    </xdr:to>
    <xdr:sp macro="" textlink="" fLocksText="0">
      <xdr:nvSpPr>
        <xdr:cNvPr id="8" name="pole tekstowe 6">
          <a:extLst>
            <a:ext uri="{FF2B5EF4-FFF2-40B4-BE49-F238E27FC236}">
              <a16:creationId xmlns:a16="http://schemas.microsoft.com/office/drawing/2014/main" id="{B8A56C62-7495-4C52-8C29-AEC900F2DDBF}"/>
            </a:ext>
          </a:extLst>
        </xdr:cNvPr>
        <xdr:cNvSpPr txBox="1">
          <a:spLocks noChangeArrowheads="1"/>
        </xdr:cNvSpPr>
      </xdr:nvSpPr>
      <xdr:spPr bwMode="auto">
        <a:xfrm>
          <a:off x="815340" y="2125980"/>
          <a:ext cx="8292801" cy="2942408"/>
        </a:xfrm>
        <a:prstGeom prst="rect">
          <a:avLst/>
        </a:prstGeom>
        <a:solidFill>
          <a:srgbClr val="FFFFFF"/>
        </a:solidFill>
        <a:ln>
          <a:noFill/>
        </a:ln>
        <a:effectLst/>
      </xdr:spPr>
      <xdr:txBody>
        <a:bodyPr vertOverflow="clip" wrap="square" lIns="54720" tIns="46800" rIns="0" bIns="0" anchor="t"/>
        <a:lstStyle/>
        <a:p>
          <a:pPr algn="l" rtl="0">
            <a:defRPr sz="1000"/>
          </a:pPr>
          <a:r>
            <a:rPr lang="pl-PL" sz="1800" b="1" i="0" u="none" strike="noStrike" baseline="0">
              <a:solidFill>
                <a:sysClr val="windowText" lastClr="000000"/>
              </a:solidFill>
              <a:latin typeface="Montserrat" panose="00000500000000000000" pitchFamily="2" charset="-18"/>
            </a:rPr>
            <a:t>Data centre, cloud computing and artificial intelligence market trends in Central and Eastern Europe 2025-2030 - </a:t>
          </a:r>
          <a:r>
            <a:rPr lang="pl-PL" sz="1800" b="1" i="0" u="none" strike="noStrike" baseline="0">
              <a:solidFill>
                <a:srgbClr val="FF2D9B"/>
              </a:solidFill>
              <a:latin typeface="Montserrat" panose="00000500000000000000" pitchFamily="2" charset="-18"/>
            </a:rPr>
            <a:t>KPIs and forecasts</a:t>
          </a:r>
        </a:p>
        <a:p>
          <a:pPr algn="l" rtl="0">
            <a:defRPr sz="1000"/>
          </a:pPr>
          <a:endParaRPr lang="pl-PL" sz="1800" b="1" i="0" u="none" strike="noStrike" baseline="0">
            <a:solidFill>
              <a:srgbClr val="FF2D9B"/>
            </a:solidFill>
            <a:latin typeface="Montserrat" panose="00000500000000000000" pitchFamily="2" charset="-18"/>
          </a:endParaRPr>
        </a:p>
        <a:p>
          <a:pPr algn="l" rtl="0">
            <a:defRPr sz="1000"/>
          </a:pPr>
          <a:r>
            <a:rPr lang="pl-PL" sz="1800" b="1" i="0" u="none" strike="noStrike" baseline="0">
              <a:solidFill>
                <a:srgbClr val="FF2D9B"/>
              </a:solidFill>
              <a:latin typeface="Montserrat" panose="00000500000000000000" pitchFamily="2" charset="-18"/>
            </a:rPr>
            <a:t>Poland, Austria, Czech Republic, Greece, Hungary,</a:t>
          </a:r>
        </a:p>
        <a:p>
          <a:pPr algn="l" rtl="0">
            <a:defRPr sz="1000"/>
          </a:pPr>
          <a:r>
            <a:rPr lang="pl-PL" sz="1800" b="1" i="0" u="none" strike="noStrike" baseline="0">
              <a:solidFill>
                <a:srgbClr val="FF2D9B"/>
              </a:solidFill>
              <a:latin typeface="Montserrat" panose="00000500000000000000" pitchFamily="2" charset="-18"/>
            </a:rPr>
            <a:t>Slovakia and Croatia</a:t>
          </a:r>
        </a:p>
        <a:p>
          <a:pPr algn="l" rtl="0">
            <a:defRPr sz="1000"/>
          </a:pPr>
          <a:endParaRPr lang="pl-PL" sz="1800" b="1" i="0" u="none" strike="noStrike" baseline="0">
            <a:solidFill>
              <a:srgbClr val="FF2D9B"/>
            </a:solidFill>
            <a:latin typeface="Montserrat" panose="00000500000000000000" pitchFamily="2" charset="-18"/>
          </a:endParaRPr>
        </a:p>
      </xdr:txBody>
    </xdr:sp>
    <xdr:clientData/>
  </xdr:twoCellAnchor>
  <xdr:twoCellAnchor>
    <xdr:from>
      <xdr:col>1</xdr:col>
      <xdr:colOff>183135</xdr:colOff>
      <xdr:row>20</xdr:row>
      <xdr:rowOff>122304</xdr:rowOff>
    </xdr:from>
    <xdr:to>
      <xdr:col>14</xdr:col>
      <xdr:colOff>389964</xdr:colOff>
      <xdr:row>37</xdr:row>
      <xdr:rowOff>100533</xdr:rowOff>
    </xdr:to>
    <xdr:sp macro="" textlink="">
      <xdr:nvSpPr>
        <xdr:cNvPr id="5" name="pole tekstowe 4">
          <a:extLst>
            <a:ext uri="{FF2B5EF4-FFF2-40B4-BE49-F238E27FC236}">
              <a16:creationId xmlns:a16="http://schemas.microsoft.com/office/drawing/2014/main" id="{251AD171-F418-4006-8800-EC70EB0A14E6}"/>
            </a:ext>
          </a:extLst>
        </xdr:cNvPr>
        <xdr:cNvSpPr txBox="1"/>
      </xdr:nvSpPr>
      <xdr:spPr>
        <a:xfrm>
          <a:off x="792735" y="3779904"/>
          <a:ext cx="8131629" cy="30871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dk1"/>
              </a:solidFill>
              <a:effectLst/>
              <a:latin typeface="Montserrat" panose="00000500000000000000" pitchFamily="2" charset="-18"/>
              <a:ea typeface="+mn-ea"/>
              <a:cs typeface="+mn-cs"/>
            </a:rPr>
            <a:t>PMR by Hume’s</a:t>
          </a:r>
          <a:endParaRPr lang="pl-PL" sz="1200">
            <a:solidFill>
              <a:schemeClr val="dk1"/>
            </a:solidFill>
            <a:effectLst/>
            <a:latin typeface="Montserrat" panose="00000500000000000000" pitchFamily="2" charset="-18"/>
            <a:ea typeface="+mn-ea"/>
            <a:cs typeface="+mn-cs"/>
          </a:endParaRPr>
        </a:p>
        <a:p>
          <a:r>
            <a:rPr lang="en-US" sz="1200">
              <a:solidFill>
                <a:schemeClr val="dk1"/>
              </a:solidFill>
              <a:effectLst/>
              <a:latin typeface="Montserrat" panose="00000500000000000000" pitchFamily="2" charset="-18"/>
              <a:ea typeface="+mn-ea"/>
              <a:cs typeface="+mn-cs"/>
            </a:rPr>
            <a:t> </a:t>
          </a:r>
          <a:endParaRPr lang="pl-PL" sz="1200">
            <a:solidFill>
              <a:schemeClr val="dk1"/>
            </a:solidFill>
            <a:effectLst/>
            <a:latin typeface="Montserrat" panose="00000500000000000000" pitchFamily="2" charset="-18"/>
            <a:ea typeface="+mn-ea"/>
            <a:cs typeface="+mn-cs"/>
          </a:endParaRPr>
        </a:p>
        <a:p>
          <a:r>
            <a:rPr lang="en-US" sz="1200">
              <a:solidFill>
                <a:schemeClr val="dk1"/>
              </a:solidFill>
              <a:effectLst/>
              <a:latin typeface="Montserrat" panose="00000500000000000000" pitchFamily="2" charset="-18"/>
              <a:ea typeface="+mn-ea"/>
              <a:cs typeface="+mn-cs"/>
            </a:rPr>
            <a:t>For over 20 years, we have been supporting market leaders in Poland and abroad. </a:t>
          </a:r>
          <a:r>
            <a:rPr lang="en-US" sz="1200" b="1">
              <a:solidFill>
                <a:schemeClr val="dk1"/>
              </a:solidFill>
              <a:effectLst/>
              <a:latin typeface="Montserrat" panose="00000500000000000000" pitchFamily="2" charset="-18"/>
              <a:ea typeface="+mn-ea"/>
              <a:cs typeface="+mn-cs"/>
            </a:rPr>
            <a:t>PMR Market Experts</a:t>
          </a:r>
          <a:r>
            <a:rPr lang="en-US" sz="1200">
              <a:solidFill>
                <a:schemeClr val="dk1"/>
              </a:solidFill>
              <a:effectLst/>
              <a:latin typeface="Montserrat" panose="00000500000000000000" pitchFamily="2" charset="-18"/>
              <a:ea typeface="+mn-ea"/>
              <a:cs typeface="+mn-cs"/>
            </a:rPr>
            <a:t> provides reliable market reports, sector analyses, and consulting services. </a:t>
          </a:r>
          <a:r>
            <a:rPr lang="en-US" sz="1200" b="1">
              <a:solidFill>
                <a:schemeClr val="dk1"/>
              </a:solidFill>
              <a:effectLst/>
              <a:latin typeface="Montserrat" panose="00000500000000000000" pitchFamily="2" charset="-18"/>
              <a:ea typeface="+mn-ea"/>
              <a:cs typeface="+mn-cs"/>
            </a:rPr>
            <a:t>Hume’s Institute</a:t>
          </a:r>
          <a:r>
            <a:rPr lang="en-US" sz="1200">
              <a:solidFill>
                <a:schemeClr val="dk1"/>
              </a:solidFill>
              <a:effectLst/>
              <a:latin typeface="Montserrat" panose="00000500000000000000" pitchFamily="2" charset="-18"/>
              <a:ea typeface="+mn-ea"/>
              <a:cs typeface="+mn-cs"/>
            </a:rPr>
            <a:t> specializes in customized quantitative and qualitative research, as well as advanced market modeling and forecasting. Both our brands share one goal: to deliver knowledge as close to the truth as possible, empowering companies to grow and make the right business decisions.</a:t>
          </a:r>
          <a:endParaRPr lang="pl-PL" sz="1200">
            <a:solidFill>
              <a:schemeClr val="dk1"/>
            </a:solidFill>
            <a:effectLst/>
            <a:latin typeface="Montserrat" panose="00000500000000000000" pitchFamily="2" charset="-18"/>
            <a:ea typeface="+mn-ea"/>
            <a:cs typeface="+mn-cs"/>
          </a:endParaRPr>
        </a:p>
        <a:p>
          <a:r>
            <a:rPr lang="en-US" sz="1200">
              <a:solidFill>
                <a:schemeClr val="dk1"/>
              </a:solidFill>
              <a:effectLst/>
              <a:latin typeface="Montserrat" panose="00000500000000000000" pitchFamily="2" charset="-18"/>
              <a:ea typeface="+mn-ea"/>
              <a:cs typeface="+mn-cs"/>
            </a:rPr>
            <a:t> </a:t>
          </a:r>
          <a:endParaRPr lang="pl-PL" sz="1200">
            <a:solidFill>
              <a:schemeClr val="dk1"/>
            </a:solidFill>
            <a:effectLst/>
            <a:latin typeface="Montserrat" panose="00000500000000000000" pitchFamily="2" charset="-18"/>
            <a:ea typeface="+mn-ea"/>
            <a:cs typeface="+mn-cs"/>
          </a:endParaRPr>
        </a:p>
        <a:p>
          <a:r>
            <a:rPr lang="en-US" sz="1200">
              <a:solidFill>
                <a:schemeClr val="dk1"/>
              </a:solidFill>
              <a:effectLst/>
              <a:latin typeface="Montserrat" panose="00000500000000000000" pitchFamily="2" charset="-18"/>
              <a:ea typeface="+mn-ea"/>
              <a:cs typeface="+mn-cs"/>
            </a:rPr>
            <a:t>The analytical expertise and data verification capabilities of PMR Market Experts, combined with the unique insights and proven forecasts provided by Hume’s Institute, offer our clients real knowledge and a tangible competitive advantage.</a:t>
          </a:r>
          <a:br>
            <a:rPr lang="en-US" sz="1200">
              <a:solidFill>
                <a:schemeClr val="dk1"/>
              </a:solidFill>
              <a:effectLst/>
              <a:latin typeface="Montserrat" panose="00000500000000000000" pitchFamily="2" charset="-18"/>
              <a:ea typeface="+mn-ea"/>
              <a:cs typeface="+mn-cs"/>
            </a:rPr>
          </a:br>
          <a:r>
            <a:rPr lang="en-US" sz="1200">
              <a:solidFill>
                <a:schemeClr val="dk1"/>
              </a:solidFill>
              <a:effectLst/>
              <a:latin typeface="Montserrat" panose="00000500000000000000" pitchFamily="2" charset="-18"/>
              <a:ea typeface="+mn-ea"/>
              <a:cs typeface="+mn-cs"/>
            </a:rPr>
            <a:t>More than </a:t>
          </a:r>
          <a:r>
            <a:rPr lang="en-US" sz="1200" b="1">
              <a:solidFill>
                <a:schemeClr val="dk1"/>
              </a:solidFill>
              <a:effectLst/>
              <a:latin typeface="Montserrat" panose="00000500000000000000" pitchFamily="2" charset="-18"/>
              <a:ea typeface="+mn-ea"/>
              <a:cs typeface="+mn-cs"/>
            </a:rPr>
            <a:t>600 clients worldwide</a:t>
          </a:r>
          <a:r>
            <a:rPr lang="en-US" sz="1200">
              <a:solidFill>
                <a:schemeClr val="dk1"/>
              </a:solidFill>
              <a:effectLst/>
              <a:latin typeface="Montserrat" panose="00000500000000000000" pitchFamily="2" charset="-18"/>
              <a:ea typeface="+mn-ea"/>
              <a:cs typeface="+mn-cs"/>
            </a:rPr>
            <a:t> have already trusted us. We have researched over </a:t>
          </a:r>
          <a:r>
            <a:rPr lang="en-US" sz="1200" b="1">
              <a:solidFill>
                <a:schemeClr val="dk1"/>
              </a:solidFill>
              <a:effectLst/>
              <a:latin typeface="Montserrat" panose="00000500000000000000" pitchFamily="2" charset="-18"/>
              <a:ea typeface="+mn-ea"/>
              <a:cs typeface="+mn-cs"/>
            </a:rPr>
            <a:t>5,000 brands</a:t>
          </a:r>
          <a:r>
            <a:rPr lang="en-US" sz="1200">
              <a:solidFill>
                <a:schemeClr val="dk1"/>
              </a:solidFill>
              <a:effectLst/>
              <a:latin typeface="Montserrat" panose="00000500000000000000" pitchFamily="2" charset="-18"/>
              <a:ea typeface="+mn-ea"/>
              <a:cs typeface="+mn-cs"/>
            </a:rPr>
            <a:t> across more than </a:t>
          </a:r>
          <a:r>
            <a:rPr lang="en-US" sz="1200" b="1">
              <a:solidFill>
                <a:schemeClr val="dk1"/>
              </a:solidFill>
              <a:effectLst/>
              <a:latin typeface="Montserrat" panose="00000500000000000000" pitchFamily="2" charset="-18"/>
              <a:ea typeface="+mn-ea"/>
              <a:cs typeface="+mn-cs"/>
            </a:rPr>
            <a:t>50 markets</a:t>
          </a:r>
          <a:r>
            <a:rPr lang="en-US" sz="1200">
              <a:solidFill>
                <a:schemeClr val="dk1"/>
              </a:solidFill>
              <a:effectLst/>
              <a:latin typeface="Montserrat" panose="00000500000000000000" pitchFamily="2" charset="-18"/>
              <a:ea typeface="+mn-ea"/>
              <a:cs typeface="+mn-cs"/>
            </a:rPr>
            <a:t>. The largest companies place their trust in us – we cooperate with </a:t>
          </a:r>
          <a:r>
            <a:rPr lang="en-US" sz="1200" b="1">
              <a:solidFill>
                <a:schemeClr val="dk1"/>
              </a:solidFill>
              <a:effectLst/>
              <a:latin typeface="Montserrat" panose="00000500000000000000" pitchFamily="2" charset="-18"/>
              <a:ea typeface="+mn-ea"/>
              <a:cs typeface="+mn-cs"/>
            </a:rPr>
            <a:t>70% of the brands featured on the prestigious Fortune 500 list.</a:t>
          </a:r>
          <a:endParaRPr lang="pl-PL" sz="1200">
            <a:solidFill>
              <a:schemeClr val="dk1"/>
            </a:solidFill>
            <a:effectLst/>
            <a:latin typeface="Montserrat" panose="00000500000000000000" pitchFamily="2" charset="-18"/>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285315</xdr:colOff>
      <xdr:row>16</xdr:row>
      <xdr:rowOff>148255</xdr:rowOff>
    </xdr:from>
    <xdr:to>
      <xdr:col>18</xdr:col>
      <xdr:colOff>527236</xdr:colOff>
      <xdr:row>34</xdr:row>
      <xdr:rowOff>172595</xdr:rowOff>
    </xdr:to>
    <xdr:pic>
      <xdr:nvPicPr>
        <xdr:cNvPr id="21" name="Obraz 4">
          <a:extLst>
            <a:ext uri="{FF2B5EF4-FFF2-40B4-BE49-F238E27FC236}">
              <a16:creationId xmlns:a16="http://schemas.microsoft.com/office/drawing/2014/main" id="{7F21D3EE-FA0E-40B2-A0FE-25305DF87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51844" y="3016961"/>
          <a:ext cx="3289921" cy="3276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273086</xdr:colOff>
      <xdr:row>23</xdr:row>
      <xdr:rowOff>115570</xdr:rowOff>
    </xdr:from>
    <xdr:to>
      <xdr:col>12</xdr:col>
      <xdr:colOff>74966</xdr:colOff>
      <xdr:row>29</xdr:row>
      <xdr:rowOff>107801</xdr:rowOff>
    </xdr:to>
    <xdr:pic>
      <xdr:nvPicPr>
        <xdr:cNvPr id="20" name="Obraz 5">
          <a:extLst>
            <a:ext uri="{FF2B5EF4-FFF2-40B4-BE49-F238E27FC236}">
              <a16:creationId xmlns:a16="http://schemas.microsoft.com/office/drawing/2014/main" id="{1B113988-ED4B-468A-B6E9-31D842CCDF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3792" y="4239335"/>
          <a:ext cx="3463290" cy="10780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260311</xdr:colOff>
      <xdr:row>32</xdr:row>
      <xdr:rowOff>2913</xdr:rowOff>
    </xdr:from>
    <xdr:to>
      <xdr:col>12</xdr:col>
      <xdr:colOff>321159</xdr:colOff>
      <xdr:row>36</xdr:row>
      <xdr:rowOff>159124</xdr:rowOff>
    </xdr:to>
    <xdr:sp macro="" textlink="">
      <xdr:nvSpPr>
        <xdr:cNvPr id="19" name="pole tekstowe 6">
          <a:extLst>
            <a:ext uri="{FF2B5EF4-FFF2-40B4-BE49-F238E27FC236}">
              <a16:creationId xmlns:a16="http://schemas.microsoft.com/office/drawing/2014/main" id="{FEDA91DA-C4AA-4C85-8DF4-1136DEF8E753}"/>
            </a:ext>
          </a:extLst>
        </xdr:cNvPr>
        <xdr:cNvSpPr txBox="1"/>
      </xdr:nvSpPr>
      <xdr:spPr>
        <a:xfrm>
          <a:off x="5101252" y="5740325"/>
          <a:ext cx="2481319" cy="873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pl-PL" sz="2800" b="1" i="0" u="none" strike="noStrike" kern="1200" cap="none" spc="0" normalizeH="0" baseline="0" noProof="0" dirty="0">
              <a:ln>
                <a:noFill/>
              </a:ln>
              <a:solidFill>
                <a:srgbClr val="CEAE83"/>
              </a:solidFill>
              <a:effectLst/>
              <a:uLnTx/>
              <a:uFillTx/>
              <a:latin typeface="Montserrat" panose="00000500000000000000" pitchFamily="2" charset="-18"/>
              <a:ea typeface="+mn-ea"/>
              <a:cs typeface="+mn-cs"/>
            </a:rPr>
            <a:t>humes.pl</a:t>
          </a:r>
          <a:endParaRPr kumimoji="0" lang="pl-PL" sz="2800" b="0" i="0" u="none" strike="noStrike" kern="1200" cap="none" spc="0" normalizeH="0" baseline="0" noProof="0" dirty="0">
            <a:ln>
              <a:noFill/>
            </a:ln>
            <a:solidFill>
              <a:srgbClr val="CEAE83"/>
            </a:solidFill>
            <a:effectLst/>
            <a:uLnTx/>
            <a:uFillTx/>
            <a:latin typeface="Montserrat" panose="00000500000000000000" pitchFamily="2" charset="-18"/>
            <a:ea typeface="+mn-ea"/>
            <a:cs typeface="+mn-cs"/>
          </a:endParaRPr>
        </a:p>
      </xdr:txBody>
    </xdr:sp>
    <xdr:clientData/>
  </xdr:twoCellAnchor>
  <xdr:twoCellAnchor>
    <xdr:from>
      <xdr:col>13</xdr:col>
      <xdr:colOff>353769</xdr:colOff>
      <xdr:row>31</xdr:row>
      <xdr:rowOff>169994</xdr:rowOff>
    </xdr:from>
    <xdr:to>
      <xdr:col>21</xdr:col>
      <xdr:colOff>212238</xdr:colOff>
      <xdr:row>36</xdr:row>
      <xdr:rowOff>145006</xdr:rowOff>
    </xdr:to>
    <xdr:sp macro="" textlink="">
      <xdr:nvSpPr>
        <xdr:cNvPr id="28" name="pole tekstowe 7">
          <a:extLst>
            <a:ext uri="{FF2B5EF4-FFF2-40B4-BE49-F238E27FC236}">
              <a16:creationId xmlns:a16="http://schemas.microsoft.com/office/drawing/2014/main" id="{4F143B03-6EB7-42CA-AB76-E547684C408B}"/>
            </a:ext>
          </a:extLst>
        </xdr:cNvPr>
        <xdr:cNvSpPr txBox="1"/>
      </xdr:nvSpPr>
      <xdr:spPr>
        <a:xfrm>
          <a:off x="8220298" y="5728112"/>
          <a:ext cx="4699411" cy="871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pl-PL" sz="2800" b="1" i="0" u="none" strike="noStrike" kern="1200" cap="none" spc="0" normalizeH="0" baseline="0" noProof="0" dirty="0">
              <a:ln>
                <a:noFill/>
              </a:ln>
              <a:solidFill>
                <a:srgbClr val="002463"/>
              </a:solidFill>
              <a:effectLst/>
              <a:uLnTx/>
              <a:uFillTx/>
              <a:latin typeface="Montserrat" panose="00000500000000000000" pitchFamily="2" charset="-18"/>
              <a:ea typeface="+mn-ea"/>
              <a:cs typeface="+mn-cs"/>
            </a:rPr>
            <a:t>pmrmarketexperts.com</a:t>
          </a:r>
          <a:endParaRPr kumimoji="0" lang="pl-PL" sz="2800" b="0" i="0" u="none" strike="noStrike" kern="1200" cap="none" spc="0" normalizeH="0" baseline="0" noProof="0" dirty="0">
            <a:ln>
              <a:noFill/>
            </a:ln>
            <a:solidFill>
              <a:srgbClr val="002463"/>
            </a:solidFill>
            <a:effectLst/>
            <a:uLnTx/>
            <a:uFillTx/>
            <a:latin typeface="Montserrat" panose="00000500000000000000" pitchFamily="2" charset="-18"/>
            <a:ea typeface="+mn-ea"/>
            <a:cs typeface="+mn-cs"/>
          </a:endParaRPr>
        </a:p>
      </xdr:txBody>
    </xdr:sp>
    <xdr:clientData/>
  </xdr:twoCellAnchor>
  <xdr:twoCellAnchor>
    <xdr:from>
      <xdr:col>0</xdr:col>
      <xdr:colOff>0</xdr:colOff>
      <xdr:row>0</xdr:row>
      <xdr:rowOff>0</xdr:rowOff>
    </xdr:from>
    <xdr:to>
      <xdr:col>7</xdr:col>
      <xdr:colOff>235322</xdr:colOff>
      <xdr:row>38</xdr:row>
      <xdr:rowOff>54350</xdr:rowOff>
    </xdr:to>
    <xdr:sp macro="" textlink="">
      <xdr:nvSpPr>
        <xdr:cNvPr id="24" name="Dowolny kształt: kształt 8">
          <a:extLst>
            <a:ext uri="{FF2B5EF4-FFF2-40B4-BE49-F238E27FC236}">
              <a16:creationId xmlns:a16="http://schemas.microsoft.com/office/drawing/2014/main" id="{9228EF76-C9A1-A7BD-A4AB-0055F305FFFD}"/>
            </a:ext>
          </a:extLst>
        </xdr:cNvPr>
        <xdr:cNvSpPr/>
      </xdr:nvSpPr>
      <xdr:spPr>
        <a:xfrm flipH="1">
          <a:off x="0" y="0"/>
          <a:ext cx="4471146" cy="6867526"/>
        </a:xfrm>
        <a:custGeom>
          <a:avLst/>
          <a:gdLst>
            <a:gd name="connsiteX0" fmla="*/ 6 w 3999244"/>
            <a:gd name="connsiteY0" fmla="*/ 658763 h 6858001"/>
            <a:gd name="connsiteX1" fmla="*/ 6 w 3999244"/>
            <a:gd name="connsiteY1" fmla="*/ 668592 h 6858001"/>
            <a:gd name="connsiteX2" fmla="*/ 3802 w 3999244"/>
            <a:gd name="connsiteY2" fmla="*/ 666856 h 6858001"/>
            <a:gd name="connsiteX3" fmla="*/ 3 w 3999244"/>
            <a:gd name="connsiteY3" fmla="*/ 1 h 6858001"/>
            <a:gd name="connsiteX4" fmla="*/ 0 w 3999244"/>
            <a:gd name="connsiteY4" fmla="*/ 1 h 6858001"/>
            <a:gd name="connsiteX5" fmla="*/ 0 w 3999244"/>
            <a:gd name="connsiteY5" fmla="*/ 6858001 h 6858001"/>
            <a:gd name="connsiteX6" fmla="*/ 6 w 3999244"/>
            <a:gd name="connsiteY6" fmla="*/ 6858001 h 6858001"/>
            <a:gd name="connsiteX7" fmla="*/ 6 w 3999244"/>
            <a:gd name="connsiteY7" fmla="*/ 668592 h 6858001"/>
            <a:gd name="connsiteX8" fmla="*/ 3 w 3999244"/>
            <a:gd name="connsiteY8" fmla="*/ 668593 h 6858001"/>
            <a:gd name="connsiteX9" fmla="*/ 3999244 w 3999244"/>
            <a:gd name="connsiteY9" fmla="*/ 1 h 6858001"/>
            <a:gd name="connsiteX10" fmla="*/ 1462519 w 3999244"/>
            <a:gd name="connsiteY10" fmla="*/ 1 h 6858001"/>
            <a:gd name="connsiteX11" fmla="*/ 3802 w 3999244"/>
            <a:gd name="connsiteY11" fmla="*/ 666856 h 6858001"/>
            <a:gd name="connsiteX12" fmla="*/ 2907867 w 3999244"/>
            <a:gd name="connsiteY12" fmla="*/ 6858001 h 6858001"/>
            <a:gd name="connsiteX13" fmla="*/ 3999244 w 3999244"/>
            <a:gd name="connsiteY13" fmla="*/ 6858001 h 6858001"/>
            <a:gd name="connsiteX14" fmla="*/ 1462521 w 3999244"/>
            <a:gd name="connsiteY14" fmla="*/ 0 h 6858001"/>
            <a:gd name="connsiteX15" fmla="*/ 3 w 3999244"/>
            <a:gd name="connsiteY15" fmla="*/ 0 h 6858001"/>
            <a:gd name="connsiteX16" fmla="*/ 3 w 3999244"/>
            <a:gd name="connsiteY16" fmla="*/ 1 h 6858001"/>
            <a:gd name="connsiteX17" fmla="*/ 1462519 w 3999244"/>
            <a:gd name="connsiteY17" fmla="*/ 1 h 68580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3999244" h="6858001">
              <a:moveTo>
                <a:pt x="6" y="658763"/>
              </a:moveTo>
              <a:lnTo>
                <a:pt x="6" y="668592"/>
              </a:lnTo>
              <a:lnTo>
                <a:pt x="3802" y="666856"/>
              </a:lnTo>
              <a:close/>
              <a:moveTo>
                <a:pt x="3" y="1"/>
              </a:moveTo>
              <a:lnTo>
                <a:pt x="0" y="1"/>
              </a:lnTo>
              <a:lnTo>
                <a:pt x="0" y="6858001"/>
              </a:lnTo>
              <a:lnTo>
                <a:pt x="6" y="6858001"/>
              </a:lnTo>
              <a:lnTo>
                <a:pt x="6" y="668592"/>
              </a:lnTo>
              <a:lnTo>
                <a:pt x="3" y="668593"/>
              </a:lnTo>
              <a:close/>
              <a:moveTo>
                <a:pt x="3999244" y="1"/>
              </a:moveTo>
              <a:lnTo>
                <a:pt x="1462519" y="1"/>
              </a:lnTo>
              <a:lnTo>
                <a:pt x="3802" y="666856"/>
              </a:lnTo>
              <a:lnTo>
                <a:pt x="2907867" y="6858001"/>
              </a:lnTo>
              <a:lnTo>
                <a:pt x="3999244" y="6858001"/>
              </a:lnTo>
              <a:close/>
              <a:moveTo>
                <a:pt x="1462521" y="0"/>
              </a:moveTo>
              <a:lnTo>
                <a:pt x="3" y="0"/>
              </a:lnTo>
              <a:lnTo>
                <a:pt x="3" y="1"/>
              </a:lnTo>
              <a:lnTo>
                <a:pt x="1462519" y="1"/>
              </a:lnTo>
              <a:close/>
            </a:path>
          </a:pathLst>
        </a:cu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pl-PL"/>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pl-PL"/>
        </a:p>
      </xdr:txBody>
    </xdr:sp>
    <xdr:clientData/>
  </xdr:twoCellAnchor>
  <xdr:twoCellAnchor>
    <xdr:from>
      <xdr:col>0</xdr:col>
      <xdr:colOff>249189</xdr:colOff>
      <xdr:row>1</xdr:row>
      <xdr:rowOff>160569</xdr:rowOff>
    </xdr:from>
    <xdr:to>
      <xdr:col>5</xdr:col>
      <xdr:colOff>459441</xdr:colOff>
      <xdr:row>13</xdr:row>
      <xdr:rowOff>160569</xdr:rowOff>
    </xdr:to>
    <xdr:sp macro="" textlink="">
      <xdr:nvSpPr>
        <xdr:cNvPr id="25" name="pole tekstowe 2">
          <a:extLst>
            <a:ext uri="{FF2B5EF4-FFF2-40B4-BE49-F238E27FC236}">
              <a16:creationId xmlns:a16="http://schemas.microsoft.com/office/drawing/2014/main" id="{7AB52D2D-BA3E-49BA-AF52-B2890ED27723}"/>
            </a:ext>
          </a:extLst>
        </xdr:cNvPr>
        <xdr:cNvSpPr txBox="1"/>
      </xdr:nvSpPr>
      <xdr:spPr>
        <a:xfrm>
          <a:off x="249189" y="339863"/>
          <a:ext cx="3235840" cy="215153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pl-PL"/>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r>
            <a:rPr lang="pl-PL" sz="1100" b="1">
              <a:solidFill>
                <a:schemeClr val="bg1"/>
              </a:solidFill>
              <a:latin typeface="Montserrat" panose="00000500000000000000" pitchFamily="2" charset="-18"/>
            </a:rPr>
            <a:t>Contact:</a:t>
          </a:r>
        </a:p>
        <a:p>
          <a:endParaRPr lang="pl-PL" sz="1100" b="1">
            <a:solidFill>
              <a:schemeClr val="bg1"/>
            </a:solidFill>
            <a:latin typeface="Montserrat" panose="00000500000000000000" pitchFamily="2" charset="-18"/>
          </a:endParaRPr>
        </a:p>
        <a:p>
          <a:r>
            <a:rPr lang="pl-PL" sz="1100" b="1">
              <a:solidFill>
                <a:schemeClr val="bg1"/>
              </a:solidFill>
              <a:latin typeface="Montserrat" panose="00000500000000000000" pitchFamily="2" charset="-18"/>
            </a:rPr>
            <a:t>Paweł</a:t>
          </a:r>
          <a:r>
            <a:rPr lang="pl-PL" sz="1100" b="1" baseline="0">
              <a:solidFill>
                <a:schemeClr val="bg1"/>
              </a:solidFill>
              <a:latin typeface="Montserrat" panose="00000500000000000000" pitchFamily="2" charset="-18"/>
            </a:rPr>
            <a:t> Olszynka</a:t>
          </a:r>
        </a:p>
        <a:p>
          <a:r>
            <a:rPr lang="pl-PL" sz="1100" b="0" baseline="0">
              <a:solidFill>
                <a:schemeClr val="bg1"/>
              </a:solidFill>
              <a:latin typeface="Montserrat" panose="00000500000000000000" pitchFamily="2" charset="-18"/>
            </a:rPr>
            <a:t>Head ICT &amp; Digital Market Analyst</a:t>
          </a:r>
        </a:p>
        <a:p>
          <a:r>
            <a:rPr lang="pl-PL" sz="1100" b="0" baseline="0">
              <a:solidFill>
                <a:schemeClr val="bg1"/>
              </a:solidFill>
              <a:latin typeface="Montserrat" panose="00000500000000000000" pitchFamily="2" charset="-18"/>
            </a:rPr>
            <a:t>tel.: +48 609 636 026</a:t>
          </a:r>
        </a:p>
        <a:p>
          <a:r>
            <a:rPr lang="pl-PL" sz="1100" b="0" baseline="0">
              <a:solidFill>
                <a:schemeClr val="bg1"/>
              </a:solidFill>
              <a:latin typeface="Montserrat" panose="00000500000000000000" pitchFamily="2" charset="-18"/>
            </a:rPr>
            <a:t>pawel.olszynka@humes.pl</a:t>
          </a:r>
          <a:endParaRPr lang="pl-PL" sz="1100" b="0">
            <a:solidFill>
              <a:schemeClr val="bg1"/>
            </a:solidFill>
            <a:latin typeface="Montserrat" panose="00000500000000000000" pitchFamily="2" charset="-18"/>
          </a:endParaRPr>
        </a:p>
        <a:p>
          <a:endParaRPr lang="pl-PL" sz="1100" b="1"/>
        </a:p>
        <a:p>
          <a:r>
            <a:rPr lang="pl-PL" sz="1100" b="1">
              <a:solidFill>
                <a:schemeClr val="bg1"/>
              </a:solidFill>
              <a:latin typeface="Montserrat" panose="00000500000000000000" pitchFamily="2" charset="-18"/>
            </a:rPr>
            <a:t>Monika Szczypta</a:t>
          </a:r>
        </a:p>
        <a:p>
          <a:r>
            <a:rPr lang="pl-PL" sz="1100" b="0">
              <a:solidFill>
                <a:schemeClr val="bg1"/>
              </a:solidFill>
              <a:latin typeface="Montserrat" panose="00000500000000000000" pitchFamily="2" charset="-18"/>
            </a:rPr>
            <a:t>Senior</a:t>
          </a:r>
          <a:r>
            <a:rPr lang="pl-PL" sz="1100" b="0" baseline="0">
              <a:solidFill>
                <a:schemeClr val="bg1"/>
              </a:solidFill>
              <a:latin typeface="Montserrat" panose="00000500000000000000" pitchFamily="2" charset="-18"/>
            </a:rPr>
            <a:t> Sales &amp; Business Development Manager</a:t>
          </a:r>
        </a:p>
        <a:p>
          <a:r>
            <a:rPr lang="pl-PL" sz="1100" b="0" baseline="0">
              <a:solidFill>
                <a:schemeClr val="bg1"/>
              </a:solidFill>
              <a:latin typeface="Montserrat" panose="00000500000000000000" pitchFamily="2" charset="-18"/>
            </a:rPr>
            <a:t>tel.: +48 607 979 580</a:t>
          </a:r>
        </a:p>
        <a:p>
          <a:r>
            <a:rPr lang="pl-PL" sz="1100" b="0" baseline="0">
              <a:solidFill>
                <a:schemeClr val="bg1"/>
              </a:solidFill>
              <a:latin typeface="Montserrat" panose="00000500000000000000" pitchFamily="2" charset="-18"/>
            </a:rPr>
            <a:t>monika.szczypta@pmrmarketexperts.com</a:t>
          </a:r>
          <a:endParaRPr lang="pl-PL" sz="1100" b="0">
            <a:solidFill>
              <a:schemeClr val="bg1"/>
            </a:solidFill>
            <a:latin typeface="Montserrat" panose="00000500000000000000" pitchFamily="2" charset="-18"/>
          </a:endParaRPr>
        </a:p>
      </xdr:txBody>
    </xdr:sp>
    <xdr:clientData/>
  </xdr:twoCellAnchor>
  <xdr:twoCellAnchor>
    <xdr:from>
      <xdr:col>0</xdr:col>
      <xdr:colOff>245573</xdr:colOff>
      <xdr:row>15</xdr:row>
      <xdr:rowOff>31393</xdr:rowOff>
    </xdr:from>
    <xdr:to>
      <xdr:col>4</xdr:col>
      <xdr:colOff>77052</xdr:colOff>
      <xdr:row>20</xdr:row>
      <xdr:rowOff>153650</xdr:rowOff>
    </xdr:to>
    <xdr:sp macro="" textlink="">
      <xdr:nvSpPr>
        <xdr:cNvPr id="17" name="pole tekstowe 3">
          <a:extLst>
            <a:ext uri="{FF2B5EF4-FFF2-40B4-BE49-F238E27FC236}">
              <a16:creationId xmlns:a16="http://schemas.microsoft.com/office/drawing/2014/main" id="{4F25FCB6-E183-49FF-A408-65E214C5B0E7}"/>
            </a:ext>
          </a:extLst>
        </xdr:cNvPr>
        <xdr:cNvSpPr txBox="1"/>
      </xdr:nvSpPr>
      <xdr:spPr>
        <a:xfrm>
          <a:off x="245573" y="2720805"/>
          <a:ext cx="2251950" cy="1018727"/>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pl-PL"/>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r>
            <a:rPr lang="pl-PL" sz="1100" b="1">
              <a:solidFill>
                <a:schemeClr val="bg1"/>
              </a:solidFill>
              <a:latin typeface="Montserrat" panose="00000500000000000000" pitchFamily="2" charset="-18"/>
            </a:rPr>
            <a:t>Hume's</a:t>
          </a:r>
          <a:r>
            <a:rPr lang="pl-PL" sz="1100" b="1" baseline="0">
              <a:solidFill>
                <a:schemeClr val="bg1"/>
              </a:solidFill>
              <a:latin typeface="Montserrat" panose="00000500000000000000" pitchFamily="2" charset="-18"/>
            </a:rPr>
            <a:t> Institute</a:t>
          </a:r>
          <a:endParaRPr lang="pl-PL" sz="1100" b="1">
            <a:solidFill>
              <a:schemeClr val="bg1"/>
            </a:solidFill>
            <a:latin typeface="Montserrat" panose="00000500000000000000" pitchFamily="2" charset="-18"/>
          </a:endParaRPr>
        </a:p>
        <a:p>
          <a:r>
            <a:rPr lang="pl-PL" sz="1100" b="0">
              <a:solidFill>
                <a:schemeClr val="bg1"/>
              </a:solidFill>
              <a:latin typeface="Montserrat" panose="00000500000000000000" pitchFamily="2" charset="-18"/>
            </a:rPr>
            <a:t>ul.</a:t>
          </a:r>
          <a:r>
            <a:rPr lang="pl-PL" sz="1100" b="0" baseline="0">
              <a:solidFill>
                <a:schemeClr val="bg1"/>
              </a:solidFill>
              <a:latin typeface="Montserrat" panose="00000500000000000000" pitchFamily="2" charset="-18"/>
            </a:rPr>
            <a:t> Królewska 57</a:t>
          </a:r>
        </a:p>
        <a:p>
          <a:r>
            <a:rPr lang="pl-PL" sz="1100" b="0" baseline="0">
              <a:solidFill>
                <a:schemeClr val="bg1"/>
              </a:solidFill>
              <a:latin typeface="Montserrat" panose="00000500000000000000" pitchFamily="2" charset="-18"/>
            </a:rPr>
            <a:t>30-081 Kraków</a:t>
          </a:r>
        </a:p>
        <a:p>
          <a:endParaRPr lang="pl-PL" sz="1100" b="0" baseline="0">
            <a:solidFill>
              <a:schemeClr val="bg1"/>
            </a:solidFill>
            <a:latin typeface="Montserrat" panose="00000500000000000000" pitchFamily="2" charset="-18"/>
          </a:endParaRPr>
        </a:p>
        <a:p>
          <a:r>
            <a:rPr lang="pl-PL" sz="1100" b="0" baseline="0">
              <a:solidFill>
                <a:schemeClr val="bg1"/>
              </a:solidFill>
              <a:latin typeface="Montserrat" panose="00000500000000000000" pitchFamily="2" charset="-18"/>
            </a:rPr>
            <a:t>humes@humes.pl</a:t>
          </a:r>
          <a:endParaRPr lang="pl-PL" sz="1100" b="0">
            <a:solidFill>
              <a:schemeClr val="bg1"/>
            </a:solidFill>
            <a:latin typeface="Montserrat" panose="00000500000000000000" pitchFamily="2" charset="-1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torage/PMR_Publications_products/Reports/CONSTRUCTION/2017/Construction%20machinery%20market%20in%20Russia%202017/Database/Russia%20H1%202016/Russia%20H1%202016/projects/Construction%20investments%20201603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torage/PMR_Publications_products/Reports/CONSTRUCTION/2017/Construction%20machinery%20market%20in%20Russia%202017/Database/Russia%20H1%202016/Russia%20H1%202016/projects/Construction%20investments%2020160318_part%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e"/>
      <sheetName val="instructions"/>
      <sheetName val="lists"/>
    </sheetNames>
    <sheetDataSet>
      <sheetData sheetId="0" refreshError="1"/>
      <sheetData sheetId="1" refreshError="1"/>
      <sheetData sheetId="2">
        <row r="4">
          <cell r="B4" t="str">
            <v>Brest Province</v>
          </cell>
          <cell r="C4" t="str">
            <v>Blagoevgrad Province</v>
          </cell>
          <cell r="D4" t="str">
            <v>Central Bohemian Region</v>
          </cell>
          <cell r="E4" t="str">
            <v>Central Hungary</v>
          </cell>
          <cell r="F4" t="str">
            <v>Akmola Province</v>
          </cell>
          <cell r="G4" t="str">
            <v>Dolnoslaskie voivodship</v>
          </cell>
          <cell r="H4" t="str">
            <v>Bucharest-llfov</v>
          </cell>
          <cell r="I4" t="str">
            <v>Altay Territory</v>
          </cell>
          <cell r="J4" t="str">
            <v>Banska Bystrica Region</v>
          </cell>
          <cell r="K4" t="str">
            <v>Central Slovenia</v>
          </cell>
          <cell r="L4" t="str">
            <v>Autonomous Republic of Crimea</v>
          </cell>
        </row>
        <row r="5">
          <cell r="B5" t="str">
            <v>City of Minsk</v>
          </cell>
          <cell r="C5" t="str">
            <v>Burgas Province</v>
          </cell>
          <cell r="D5" t="str">
            <v>City of Prague</v>
          </cell>
          <cell r="E5" t="str">
            <v>Central Transdanubia</v>
          </cell>
          <cell r="F5" t="str">
            <v>Aktobe Province</v>
          </cell>
          <cell r="G5" t="str">
            <v>Kujawsko-Pomorskie voivodship</v>
          </cell>
          <cell r="H5" t="str">
            <v>Centre</v>
          </cell>
          <cell r="I5" t="str">
            <v>Amur Province</v>
          </cell>
          <cell r="J5" t="str">
            <v>Bratislava Region</v>
          </cell>
          <cell r="K5" t="str">
            <v>Gorenjska</v>
          </cell>
          <cell r="L5" t="str">
            <v>Cherkasy Province</v>
          </cell>
        </row>
        <row r="6">
          <cell r="B6" t="str">
            <v>Homel Province</v>
          </cell>
          <cell r="C6" t="str">
            <v>City of Sofia</v>
          </cell>
          <cell r="D6" t="str">
            <v>Hradec Kralove Region</v>
          </cell>
          <cell r="E6" t="str">
            <v>North Great Plain</v>
          </cell>
          <cell r="F6" t="str">
            <v>Almaty Province</v>
          </cell>
          <cell r="G6" t="str">
            <v>Lubelskie voivodship</v>
          </cell>
          <cell r="H6" t="str">
            <v>North-East</v>
          </cell>
          <cell r="I6" t="str">
            <v>Arkhangelsk Province</v>
          </cell>
          <cell r="J6" t="str">
            <v>Kosice Region</v>
          </cell>
          <cell r="K6" t="str">
            <v>Goriska</v>
          </cell>
          <cell r="L6" t="str">
            <v>Chernihiv Province</v>
          </cell>
        </row>
        <row r="7">
          <cell r="B7" t="str">
            <v>Hrodna Province</v>
          </cell>
          <cell r="C7" t="str">
            <v>Dobrich Province</v>
          </cell>
          <cell r="D7" t="str">
            <v>Karlovy Vary Region</v>
          </cell>
          <cell r="E7" t="str">
            <v>North Hungary</v>
          </cell>
          <cell r="F7" t="str">
            <v>Atyrau Province</v>
          </cell>
          <cell r="G7" t="str">
            <v>Lubuskie voivodship</v>
          </cell>
          <cell r="H7" t="str">
            <v>North-West</v>
          </cell>
          <cell r="I7" t="str">
            <v>Astrakhan Province</v>
          </cell>
          <cell r="J7" t="str">
            <v>Nitra Region</v>
          </cell>
          <cell r="K7" t="str">
            <v>Koroska</v>
          </cell>
          <cell r="L7" t="str">
            <v>Chernivtsi Province</v>
          </cell>
        </row>
        <row r="8">
          <cell r="B8" t="str">
            <v>Mahileu Province</v>
          </cell>
          <cell r="C8" t="str">
            <v>Gabrovo Province</v>
          </cell>
          <cell r="D8" t="str">
            <v>Liberec Region</v>
          </cell>
          <cell r="E8" t="str">
            <v>South Great Plain</v>
          </cell>
          <cell r="F8" t="str">
            <v>City of Almaty</v>
          </cell>
          <cell r="G8" t="str">
            <v>Lodzkie voivodship</v>
          </cell>
          <cell r="H8" t="str">
            <v>South-East</v>
          </cell>
          <cell r="I8" t="str">
            <v>Belgorod Province</v>
          </cell>
          <cell r="J8" t="str">
            <v>Presov Region</v>
          </cell>
          <cell r="K8" t="str">
            <v>Obalno-kraska</v>
          </cell>
          <cell r="L8" t="str">
            <v>City of Kyiv</v>
          </cell>
        </row>
        <row r="9">
          <cell r="B9" t="str">
            <v>Minsk Province</v>
          </cell>
          <cell r="C9" t="str">
            <v>Haskovo Province</v>
          </cell>
          <cell r="D9" t="str">
            <v>Moravian-Silesian Region</v>
          </cell>
          <cell r="E9" t="str">
            <v>South Transdanubia</v>
          </cell>
          <cell r="F9" t="str">
            <v>City of Astana</v>
          </cell>
          <cell r="G9" t="str">
            <v>Malopolskie voivodship</v>
          </cell>
          <cell r="H9" t="str">
            <v>South-Muntenia</v>
          </cell>
          <cell r="I9" t="str">
            <v xml:space="preserve">Bryansk Province </v>
          </cell>
          <cell r="J9" t="str">
            <v>Trencin Region</v>
          </cell>
          <cell r="K9" t="str">
            <v>Podravska</v>
          </cell>
          <cell r="L9" t="str">
            <v>City of Sevastopol</v>
          </cell>
        </row>
        <row r="10">
          <cell r="B10" t="str">
            <v>Vitsebsk Province</v>
          </cell>
          <cell r="C10" t="str">
            <v>Kardzhali Province</v>
          </cell>
          <cell r="D10" t="str">
            <v>Olomouc Region</v>
          </cell>
          <cell r="E10" t="str">
            <v>West Transdanubia</v>
          </cell>
          <cell r="F10" t="str">
            <v>East Kazakhstan Province</v>
          </cell>
          <cell r="G10" t="str">
            <v>Mazowieckie voivodship</v>
          </cell>
          <cell r="H10" t="str">
            <v>South-West Oltenia</v>
          </cell>
          <cell r="I10" t="str">
            <v>Chelyabinsk Province</v>
          </cell>
          <cell r="J10" t="str">
            <v>Trnava Region</v>
          </cell>
          <cell r="K10" t="str">
            <v>Pomurska</v>
          </cell>
          <cell r="L10" t="str">
            <v>Dnipropetrovsk Province</v>
          </cell>
        </row>
        <row r="11">
          <cell r="C11" t="str">
            <v>Kyustendil Province</v>
          </cell>
          <cell r="D11" t="str">
            <v>Pardubice Region</v>
          </cell>
          <cell r="F11" t="str">
            <v>Karagandy Province</v>
          </cell>
          <cell r="G11" t="str">
            <v>Opolskie voivodship</v>
          </cell>
          <cell r="H11" t="str">
            <v>West</v>
          </cell>
          <cell r="I11" t="str">
            <v>Chukotka Autonomous District</v>
          </cell>
          <cell r="J11" t="str">
            <v>Zilina Region</v>
          </cell>
          <cell r="K11" t="str">
            <v>Posavska</v>
          </cell>
          <cell r="L11" t="str">
            <v>Donetsk Province</v>
          </cell>
        </row>
        <row r="12">
          <cell r="C12" t="str">
            <v>Lovech Province</v>
          </cell>
          <cell r="D12" t="str">
            <v>Plzen Region</v>
          </cell>
          <cell r="F12" t="str">
            <v>Kostanay Province</v>
          </cell>
          <cell r="G12" t="str">
            <v>Podkarpackie voivodship</v>
          </cell>
          <cell r="I12" t="str">
            <v>City of Moscow</v>
          </cell>
          <cell r="K12" t="str">
            <v>Primorsko-notranjska</v>
          </cell>
          <cell r="L12" t="str">
            <v>Ivano-Frankivsk Province</v>
          </cell>
        </row>
        <row r="13">
          <cell r="C13" t="str">
            <v>Montana Province</v>
          </cell>
          <cell r="D13" t="str">
            <v>South Bohemian Region</v>
          </cell>
          <cell r="F13" t="str">
            <v>Kyzylorda Province</v>
          </cell>
          <cell r="G13" t="str">
            <v>Podlaskie voivodship</v>
          </cell>
          <cell r="I13" t="str">
            <v>City of St. Petersburg</v>
          </cell>
          <cell r="K13" t="str">
            <v>Savinjska</v>
          </cell>
          <cell r="L13" t="str">
            <v>Kharkiv Province</v>
          </cell>
        </row>
        <row r="14">
          <cell r="C14" t="str">
            <v>Pazardzhik Province</v>
          </cell>
          <cell r="D14" t="str">
            <v>South Moravian Region</v>
          </cell>
          <cell r="F14" t="str">
            <v>Mangystau Province</v>
          </cell>
          <cell r="G14" t="str">
            <v>Pomorskie voivodship</v>
          </cell>
          <cell r="I14" t="str">
            <v>Irkutsk Province</v>
          </cell>
          <cell r="K14" t="str">
            <v>South-East Slovenia</v>
          </cell>
          <cell r="L14" t="str">
            <v>Kherson Province</v>
          </cell>
        </row>
        <row r="15">
          <cell r="C15" t="str">
            <v>Pernik Province</v>
          </cell>
          <cell r="D15" t="str">
            <v>Usti nad Labem Region</v>
          </cell>
          <cell r="F15" t="str">
            <v>North Kazakhstan Province</v>
          </cell>
          <cell r="G15" t="str">
            <v>Slaskie voivodship</v>
          </cell>
          <cell r="I15" t="str">
            <v>Ivanovsk Province</v>
          </cell>
          <cell r="K15" t="str">
            <v>Zasavska</v>
          </cell>
          <cell r="L15" t="str">
            <v>Khmelnytskyi Province</v>
          </cell>
        </row>
        <row r="16">
          <cell r="C16" t="str">
            <v>Pleven Province</v>
          </cell>
          <cell r="D16" t="str">
            <v>Vysocina Region</v>
          </cell>
          <cell r="F16" t="str">
            <v>Pavlodar Province</v>
          </cell>
          <cell r="G16" t="str">
            <v>Swietokrzyskie voivodship</v>
          </cell>
          <cell r="I16" t="str">
            <v>Jewish Autonomous Province</v>
          </cell>
          <cell r="L16" t="str">
            <v>Kirovohrad Province</v>
          </cell>
        </row>
        <row r="17">
          <cell r="C17" t="str">
            <v>Plovdiv Province</v>
          </cell>
          <cell r="D17" t="str">
            <v>Zlin Region</v>
          </cell>
          <cell r="F17" t="str">
            <v>South Kazakhstan Province</v>
          </cell>
          <cell r="G17" t="str">
            <v>Warminsko-Mazurskie voivodship</v>
          </cell>
          <cell r="I17" t="str">
            <v>Kaliningrad Province</v>
          </cell>
          <cell r="L17" t="str">
            <v>Kyiv Province</v>
          </cell>
        </row>
        <row r="18">
          <cell r="C18" t="str">
            <v>Razgrad Province</v>
          </cell>
          <cell r="F18" t="str">
            <v>West Kazakhstan Province</v>
          </cell>
          <cell r="G18" t="str">
            <v>Wielkopolskie voivodship</v>
          </cell>
          <cell r="I18" t="str">
            <v>Kaluga Province</v>
          </cell>
          <cell r="L18" t="str">
            <v>Luhansk Province</v>
          </cell>
        </row>
        <row r="19">
          <cell r="C19" t="str">
            <v>Ruse Province</v>
          </cell>
          <cell r="F19" t="str">
            <v>Zhambyl Province</v>
          </cell>
          <cell r="G19" t="str">
            <v>Zachodniopomorskie voivodship</v>
          </cell>
          <cell r="I19" t="str">
            <v>Kamchatka Territory</v>
          </cell>
          <cell r="L19" t="str">
            <v>Lviv Province</v>
          </cell>
        </row>
        <row r="20">
          <cell r="C20" t="str">
            <v>Shumen Province</v>
          </cell>
          <cell r="I20" t="str">
            <v>Kemerovo Province</v>
          </cell>
          <cell r="L20" t="str">
            <v>Mykolaiv Province</v>
          </cell>
        </row>
        <row r="21">
          <cell r="C21" t="str">
            <v>Silistra Province</v>
          </cell>
          <cell r="I21" t="str">
            <v>Khabarovsk Territory</v>
          </cell>
          <cell r="L21" t="str">
            <v>Odesa Province</v>
          </cell>
        </row>
        <row r="22">
          <cell r="C22" t="str">
            <v>Sliven Province</v>
          </cell>
          <cell r="I22" t="str">
            <v>Kirov Province</v>
          </cell>
          <cell r="L22" t="str">
            <v xml:space="preserve">Poltava Province </v>
          </cell>
        </row>
        <row r="23">
          <cell r="C23" t="str">
            <v>Smolyan Province</v>
          </cell>
          <cell r="I23" t="str">
            <v>Kostroma Province</v>
          </cell>
          <cell r="L23" t="str">
            <v>Rivne Province</v>
          </cell>
        </row>
        <row r="24">
          <cell r="C24" t="str">
            <v>Sofia Province</v>
          </cell>
          <cell r="I24" t="str">
            <v>Krasnodar Territory</v>
          </cell>
          <cell r="L24" t="str">
            <v>Sumy Province</v>
          </cell>
        </row>
        <row r="25">
          <cell r="C25" t="str">
            <v>Stara Zagora Province</v>
          </cell>
          <cell r="I25" t="str">
            <v>Krasnoyarsk Territory</v>
          </cell>
          <cell r="L25" t="str">
            <v>Ternopil Province</v>
          </cell>
        </row>
        <row r="26">
          <cell r="C26" t="str">
            <v>Targovishte Province</v>
          </cell>
          <cell r="I26" t="str">
            <v>Kurgan Province</v>
          </cell>
          <cell r="L26" t="str">
            <v>Vinnytsia Province</v>
          </cell>
        </row>
        <row r="27">
          <cell r="C27" t="str">
            <v>Varna Province</v>
          </cell>
          <cell r="I27" t="str">
            <v>Kursk Province</v>
          </cell>
          <cell r="L27" t="str">
            <v>Volyn Province</v>
          </cell>
        </row>
        <row r="28">
          <cell r="C28" t="str">
            <v>Veliko Tarnovo Province</v>
          </cell>
          <cell r="I28" t="str">
            <v>Leningrad Province</v>
          </cell>
          <cell r="L28" t="str">
            <v>Zakarpattia Province</v>
          </cell>
        </row>
        <row r="29">
          <cell r="C29" t="str">
            <v>Vidin Province</v>
          </cell>
          <cell r="I29" t="str">
            <v>Lipetsk Province</v>
          </cell>
          <cell r="L29" t="str">
            <v>Zaporizhia Province</v>
          </cell>
        </row>
        <row r="30">
          <cell r="C30" t="str">
            <v>Vratsa Province</v>
          </cell>
          <cell r="I30" t="str">
            <v>Magadan Province</v>
          </cell>
          <cell r="L30" t="str">
            <v>Zhytomyr Province</v>
          </cell>
        </row>
        <row r="31">
          <cell r="C31" t="str">
            <v>Yambol Province</v>
          </cell>
          <cell r="I31" t="str">
            <v>Moscow Province</v>
          </cell>
        </row>
        <row r="32">
          <cell r="I32" t="str">
            <v>Murmansk Province</v>
          </cell>
        </row>
        <row r="33">
          <cell r="I33" t="str">
            <v>Nizhny Novgorod Province</v>
          </cell>
        </row>
        <row r="34">
          <cell r="I34" t="str">
            <v>Novgorod Province</v>
          </cell>
        </row>
        <row r="35">
          <cell r="I35" t="str">
            <v>Novosibirsk Province</v>
          </cell>
        </row>
        <row r="36">
          <cell r="I36" t="str">
            <v>Omsk Province</v>
          </cell>
        </row>
        <row r="37">
          <cell r="I37" t="str">
            <v>Orenburg Province</v>
          </cell>
        </row>
        <row r="38">
          <cell r="I38" t="str">
            <v>Oryol Province</v>
          </cell>
        </row>
        <row r="39">
          <cell r="I39" t="str">
            <v>Penza Province</v>
          </cell>
        </row>
        <row r="40">
          <cell r="I40" t="str">
            <v>Perm Territory</v>
          </cell>
        </row>
        <row r="41">
          <cell r="I41" t="str">
            <v>Primorsky Territory</v>
          </cell>
        </row>
        <row r="42">
          <cell r="I42" t="str">
            <v>Pskov Province</v>
          </cell>
        </row>
        <row r="43">
          <cell r="I43" t="str">
            <v>Republic of Adygeya</v>
          </cell>
        </row>
        <row r="44">
          <cell r="I44" t="str">
            <v>Republic of Altay</v>
          </cell>
        </row>
        <row r="45">
          <cell r="I45" t="str">
            <v>Republic of Bashkortostan</v>
          </cell>
        </row>
        <row r="46">
          <cell r="I46" t="str">
            <v>Republic of Buryatia</v>
          </cell>
        </row>
        <row r="47">
          <cell r="I47" t="str">
            <v>Republic of Chechnya</v>
          </cell>
        </row>
        <row r="48">
          <cell r="I48" t="str">
            <v>Republic of Chuvashia</v>
          </cell>
        </row>
        <row r="49">
          <cell r="I49" t="str">
            <v>Republic of Dagestan</v>
          </cell>
        </row>
        <row r="50">
          <cell r="I50" t="str">
            <v>Republic of Ingushetia</v>
          </cell>
        </row>
        <row r="51">
          <cell r="I51" t="str">
            <v>Republic of Kabardino-Balkaria</v>
          </cell>
        </row>
        <row r="52">
          <cell r="I52" t="str">
            <v>Republic of Kalmykia</v>
          </cell>
        </row>
        <row r="53">
          <cell r="I53" t="str">
            <v>Republic of Karachay-Cherkessia</v>
          </cell>
        </row>
        <row r="54">
          <cell r="I54" t="str">
            <v>Republic of Karelia</v>
          </cell>
        </row>
        <row r="55">
          <cell r="I55" t="str">
            <v>Republic of Khakassia</v>
          </cell>
        </row>
        <row r="56">
          <cell r="I56" t="str">
            <v>Republic of Komi</v>
          </cell>
        </row>
        <row r="57">
          <cell r="I57" t="str">
            <v>Republic of Mari El</v>
          </cell>
        </row>
        <row r="58">
          <cell r="I58" t="str">
            <v>Republic of Mordovia</v>
          </cell>
        </row>
        <row r="59">
          <cell r="I59" t="str">
            <v>Republic of North Ossetia-Alania</v>
          </cell>
        </row>
        <row r="60">
          <cell r="I60" t="str">
            <v>Republic of Sakha (Yakutia)</v>
          </cell>
        </row>
        <row r="61">
          <cell r="I61" t="str">
            <v>Republic of Tatarstan</v>
          </cell>
        </row>
        <row r="62">
          <cell r="I62" t="str">
            <v>Republic of Tyva</v>
          </cell>
        </row>
        <row r="63">
          <cell r="I63" t="str">
            <v>Republic of Udmurtia</v>
          </cell>
        </row>
        <row r="64">
          <cell r="I64" t="str">
            <v>Rostov Province</v>
          </cell>
        </row>
        <row r="65">
          <cell r="I65" t="str">
            <v>Ryazan Province</v>
          </cell>
        </row>
        <row r="66">
          <cell r="I66" t="str">
            <v>Sakhalin Province</v>
          </cell>
        </row>
        <row r="67">
          <cell r="I67" t="str">
            <v>Samara Province</v>
          </cell>
        </row>
        <row r="68">
          <cell r="I68" t="str">
            <v>Saratov Province</v>
          </cell>
        </row>
        <row r="69">
          <cell r="I69" t="str">
            <v>Smolensk Province</v>
          </cell>
        </row>
        <row r="70">
          <cell r="I70" t="str">
            <v>Stavropol Territory</v>
          </cell>
        </row>
        <row r="71">
          <cell r="I71" t="str">
            <v>Sverdlovsk Province</v>
          </cell>
        </row>
        <row r="72">
          <cell r="I72" t="str">
            <v>Tambov Province</v>
          </cell>
        </row>
        <row r="73">
          <cell r="I73" t="str">
            <v>Tomsk Province</v>
          </cell>
        </row>
        <row r="74">
          <cell r="I74" t="str">
            <v>Tula Province</v>
          </cell>
        </row>
        <row r="75">
          <cell r="I75" t="str">
            <v>Tver Province</v>
          </cell>
        </row>
        <row r="76">
          <cell r="I76" t="str">
            <v>Tyumen Province</v>
          </cell>
        </row>
        <row r="77">
          <cell r="I77" t="str">
            <v>Ulyanovsk Province</v>
          </cell>
        </row>
        <row r="78">
          <cell r="I78" t="str">
            <v>Vladimir Province</v>
          </cell>
        </row>
        <row r="79">
          <cell r="I79" t="str">
            <v>Volgograd Province</v>
          </cell>
        </row>
        <row r="80">
          <cell r="I80" t="str">
            <v>Vologda Province</v>
          </cell>
        </row>
        <row r="81">
          <cell r="I81" t="str">
            <v>Voronezh Province</v>
          </cell>
        </row>
        <row r="82">
          <cell r="I82" t="str">
            <v>Yaroslavl Province</v>
          </cell>
        </row>
        <row r="83">
          <cell r="I83" t="str">
            <v>Zabaykalsky Territory</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e"/>
      <sheetName val="instructions"/>
      <sheetName val="lists"/>
    </sheetNames>
    <sheetDataSet>
      <sheetData sheetId="0" refreshError="1"/>
      <sheetData sheetId="1" refreshError="1"/>
      <sheetData sheetId="2">
        <row r="4">
          <cell r="C4" t="str">
            <v>Blagoevgrad Province</v>
          </cell>
          <cell r="D4" t="str">
            <v>Central Bohemian Region</v>
          </cell>
          <cell r="G4" t="str">
            <v>Dolnoslaskie voivodship</v>
          </cell>
        </row>
        <row r="5">
          <cell r="C5" t="str">
            <v>Burgas Province</v>
          </cell>
          <cell r="D5" t="str">
            <v>City of Prague</v>
          </cell>
          <cell r="G5" t="str">
            <v>Kujawsko-Pomorskie voivodship</v>
          </cell>
        </row>
        <row r="6">
          <cell r="C6" t="str">
            <v>City of Sofia</v>
          </cell>
          <cell r="D6" t="str">
            <v>Hradec Kralove Region</v>
          </cell>
          <cell r="G6" t="str">
            <v>Lubelskie voivodship</v>
          </cell>
        </row>
        <row r="7">
          <cell r="C7" t="str">
            <v>Dobrich Province</v>
          </cell>
          <cell r="D7" t="str">
            <v>Karlovy Vary Region</v>
          </cell>
          <cell r="G7" t="str">
            <v>Lubuskie voivodship</v>
          </cell>
        </row>
        <row r="8">
          <cell r="C8" t="str">
            <v>Gabrovo Province</v>
          </cell>
          <cell r="D8" t="str">
            <v>Liberec Region</v>
          </cell>
          <cell r="G8" t="str">
            <v>Lodzkie voivodship</v>
          </cell>
        </row>
        <row r="9">
          <cell r="C9" t="str">
            <v>Haskovo Province</v>
          </cell>
          <cell r="D9" t="str">
            <v>Moravian-Silesian Region</v>
          </cell>
          <cell r="G9" t="str">
            <v>Malopolskie voivodship</v>
          </cell>
        </row>
        <row r="10">
          <cell r="C10" t="str">
            <v>Kardzhali Province</v>
          </cell>
          <cell r="D10" t="str">
            <v>Olomouc Region</v>
          </cell>
          <cell r="G10" t="str">
            <v>Mazowieckie voivodship</v>
          </cell>
        </row>
        <row r="11">
          <cell r="C11" t="str">
            <v>Kyustendil Province</v>
          </cell>
          <cell r="D11" t="str">
            <v>Pardubice Region</v>
          </cell>
          <cell r="G11" t="str">
            <v>Opolskie voivodship</v>
          </cell>
        </row>
        <row r="12">
          <cell r="C12" t="str">
            <v>Lovech Province</v>
          </cell>
          <cell r="D12" t="str">
            <v>Plzen Region</v>
          </cell>
          <cell r="G12" t="str">
            <v>Podkarpackie voivodship</v>
          </cell>
        </row>
        <row r="13">
          <cell r="C13" t="str">
            <v>Montana Province</v>
          </cell>
          <cell r="D13" t="str">
            <v>South Bohemian Region</v>
          </cell>
          <cell r="G13" t="str">
            <v>Podlaskie voivodship</v>
          </cell>
        </row>
        <row r="14">
          <cell r="C14" t="str">
            <v>Pazardzhik Province</v>
          </cell>
          <cell r="D14" t="str">
            <v>South Moravian Region</v>
          </cell>
          <cell r="G14" t="str">
            <v>Pomorskie voivodship</v>
          </cell>
        </row>
        <row r="15">
          <cell r="C15" t="str">
            <v>Pernik Province</v>
          </cell>
          <cell r="D15" t="str">
            <v>Usti nad Labem Region</v>
          </cell>
          <cell r="G15" t="str">
            <v>Slaskie voivodship</v>
          </cell>
        </row>
        <row r="16">
          <cell r="C16" t="str">
            <v>Pleven Province</v>
          </cell>
          <cell r="D16" t="str">
            <v>Vysocina Region</v>
          </cell>
          <cell r="G16" t="str">
            <v>Swietokrzyskie voivodship</v>
          </cell>
        </row>
        <row r="17">
          <cell r="C17" t="str">
            <v>Plovdiv Province</v>
          </cell>
          <cell r="D17" t="str">
            <v>Zlin Region</v>
          </cell>
          <cell r="G17" t="str">
            <v>Warminsko-Mazurskie voivodship</v>
          </cell>
        </row>
        <row r="18">
          <cell r="C18" t="str">
            <v>Razgrad Province</v>
          </cell>
          <cell r="G18" t="str">
            <v>Wielkopolskie voivodship</v>
          </cell>
        </row>
        <row r="19">
          <cell r="C19" t="str">
            <v>Ruse Province</v>
          </cell>
          <cell r="G19" t="str">
            <v>Zachodniopomorskie voivodship</v>
          </cell>
        </row>
        <row r="20">
          <cell r="C20" t="str">
            <v>Shumen Province</v>
          </cell>
        </row>
        <row r="21">
          <cell r="C21" t="str">
            <v>Silistra Province</v>
          </cell>
        </row>
        <row r="22">
          <cell r="C22" t="str">
            <v>Sliven Province</v>
          </cell>
        </row>
        <row r="23">
          <cell r="C23" t="str">
            <v>Smolyan Province</v>
          </cell>
        </row>
        <row r="24">
          <cell r="C24" t="str">
            <v>Sofia Province</v>
          </cell>
        </row>
        <row r="25">
          <cell r="C25" t="str">
            <v>Stara Zagora Province</v>
          </cell>
        </row>
        <row r="26">
          <cell r="C26" t="str">
            <v>Targovishte Province</v>
          </cell>
        </row>
        <row r="27">
          <cell r="C27" t="str">
            <v>Varna Province</v>
          </cell>
        </row>
        <row r="28">
          <cell r="C28" t="str">
            <v>Veliko Tarnovo Province</v>
          </cell>
        </row>
        <row r="29">
          <cell r="C29" t="str">
            <v>Vidin Province</v>
          </cell>
        </row>
        <row r="30">
          <cell r="C30" t="str">
            <v>Vratsa Province</v>
          </cell>
        </row>
        <row r="31">
          <cell r="C31" t="str">
            <v>Yambol Province</v>
          </cell>
        </row>
      </sheetData>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œ</v>
    <v>2</v>
    <v>6</v>
    <v>5</v>
  </rv>
  <rv s="0">
    <v>œ</v>
    <v>2</v>
    <v>3</v>
    <v>5</v>
  </rv>
  <rv s="1">
    <v>2</v>
    <v>1</v>
    <v>6</v>
  </rv>
</rvData>
</file>

<file path=xl/richData/rdrichvaluestructure.xml><?xml version="1.0" encoding="utf-8"?>
<rvStructures xmlns="http://schemas.microsoft.com/office/spreadsheetml/2017/richdata" count="2">
  <s t="_error">
    <k n="argument" t="s"/>
    <k n="errorType" t="i"/>
    <k n="ptg" t="i"/>
    <k n="subType" t="i"/>
  </s>
  <s t="_error">
    <k n="errorType" t="i"/>
    <k n="propagated" t="b"/>
    <k n="ptg" t="i"/>
  </s>
</rvStructure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07B1D-92D6-48ED-AE79-EE106904D1AB}">
  <sheetPr>
    <tabColor rgb="FF002060"/>
  </sheetPr>
  <dimension ref="A1"/>
  <sheetViews>
    <sheetView showGridLines="0" zoomScale="85" zoomScaleNormal="85" workbookViewId="0">
      <selection activeCell="T15" sqref="T15"/>
    </sheetView>
  </sheetViews>
  <sheetFormatPr defaultColWidth="8.87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0E7F7-3B10-4DC0-B1A9-0A6F1288548A}">
  <dimension ref="A2:D20"/>
  <sheetViews>
    <sheetView showGridLines="0" zoomScale="85" zoomScaleNormal="85" workbookViewId="0">
      <selection activeCell="F22" sqref="F22"/>
    </sheetView>
  </sheetViews>
  <sheetFormatPr defaultColWidth="8.875" defaultRowHeight="15" x14ac:dyDescent="0.2"/>
  <cols>
    <col min="2" max="2" width="39.546875" bestFit="1" customWidth="1"/>
  </cols>
  <sheetData>
    <row r="2" spans="1:4" ht="23.25" x14ac:dyDescent="0.3">
      <c r="B2" s="92" t="s">
        <v>112</v>
      </c>
    </row>
    <row r="3" spans="1:4" x14ac:dyDescent="0.2">
      <c r="A3" s="105"/>
      <c r="B3" s="106" t="s">
        <v>113</v>
      </c>
      <c r="C3" s="104"/>
    </row>
    <row r="4" spans="1:4" x14ac:dyDescent="0.2">
      <c r="A4" s="105"/>
      <c r="B4" s="106" t="s">
        <v>114</v>
      </c>
      <c r="C4" s="104"/>
    </row>
    <row r="5" spans="1:4" x14ac:dyDescent="0.2">
      <c r="A5" s="105"/>
      <c r="B5" s="106" t="s">
        <v>115</v>
      </c>
      <c r="C5" s="104"/>
    </row>
    <row r="6" spans="1:4" x14ac:dyDescent="0.2">
      <c r="A6" s="105"/>
      <c r="B6" s="106" t="s">
        <v>117</v>
      </c>
      <c r="C6" s="104"/>
    </row>
    <row r="7" spans="1:4" x14ac:dyDescent="0.2">
      <c r="A7" s="105"/>
      <c r="B7" s="106" t="s">
        <v>118</v>
      </c>
      <c r="C7" s="104"/>
    </row>
    <row r="8" spans="1:4" x14ac:dyDescent="0.2">
      <c r="A8" s="105"/>
      <c r="B8" s="106" t="s">
        <v>116</v>
      </c>
      <c r="C8" s="104"/>
    </row>
    <row r="9" spans="1:4" x14ac:dyDescent="0.2">
      <c r="A9" s="105"/>
      <c r="B9" s="106" t="s">
        <v>119</v>
      </c>
      <c r="C9" s="104"/>
    </row>
    <row r="10" spans="1:4" x14ac:dyDescent="0.2">
      <c r="A10" s="105"/>
      <c r="B10" s="106" t="s">
        <v>120</v>
      </c>
      <c r="C10" s="104"/>
    </row>
    <row r="11" spans="1:4" x14ac:dyDescent="0.2">
      <c r="A11" s="105"/>
      <c r="B11" s="106" t="s">
        <v>121</v>
      </c>
      <c r="C11" s="104"/>
    </row>
    <row r="12" spans="1:4" x14ac:dyDescent="0.2">
      <c r="A12" s="105"/>
      <c r="B12" s="107" t="s">
        <v>179</v>
      </c>
      <c r="C12" s="104"/>
    </row>
    <row r="13" spans="1:4" x14ac:dyDescent="0.2">
      <c r="A13" s="105"/>
      <c r="B13" s="107" t="s">
        <v>145</v>
      </c>
      <c r="C13" s="104"/>
      <c r="D13" s="104"/>
    </row>
    <row r="14" spans="1:4" x14ac:dyDescent="0.2">
      <c r="A14" s="105"/>
      <c r="B14" s="107" t="s">
        <v>146</v>
      </c>
      <c r="C14" s="104"/>
    </row>
    <row r="15" spans="1:4" x14ac:dyDescent="0.2">
      <c r="A15" s="105"/>
      <c r="B15" s="105"/>
      <c r="C15" s="104"/>
    </row>
    <row r="16" spans="1:4" x14ac:dyDescent="0.2">
      <c r="A16" s="105"/>
      <c r="B16" s="105"/>
      <c r="C16" s="104"/>
    </row>
    <row r="17" spans="2:3" x14ac:dyDescent="0.2">
      <c r="B17" s="104"/>
      <c r="C17" s="104"/>
    </row>
    <row r="18" spans="2:3" x14ac:dyDescent="0.2">
      <c r="B18" s="104"/>
      <c r="C18" s="104"/>
    </row>
    <row r="19" spans="2:3" x14ac:dyDescent="0.2">
      <c r="B19" s="104"/>
      <c r="C19" s="104"/>
    </row>
    <row r="20" spans="2:3" x14ac:dyDescent="0.2">
      <c r="B20" s="104"/>
      <c r="C20" s="104"/>
    </row>
  </sheetData>
  <hyperlinks>
    <hyperlink ref="B3" location="'About PMR'!A1" display="About PMR" xr:uid="{BC79EFB7-E0A5-4184-8251-B2E0C3464F69}"/>
    <hyperlink ref="B4" location="Summary!A1" display="Summary" xr:uid="{9670CE35-20EB-403E-B0F4-F3EEC6EBDA90}"/>
    <hyperlink ref="B5" location="Poland!A1" display="Poland" xr:uid="{E8EE6F1E-C319-4FFE-8D6D-9682D6255D3D}"/>
    <hyperlink ref="B6" location="Austria!A1" display="Austria" xr:uid="{DF35D628-DE21-46F3-8927-788B57049081}"/>
    <hyperlink ref="B7" location="'Czech Republic'!A1" display="Czech Republic" xr:uid="{12BEAF00-4616-47A7-9E8F-66689750EA4B}"/>
    <hyperlink ref="B8" location="Greece!A1" display="Greece" xr:uid="{A6083F95-DC60-40BA-8155-76DE2847BED7}"/>
    <hyperlink ref="B9" location="Hungary!A1" display="Hungary" xr:uid="{2FD5DDD1-0513-4F3A-A8D5-4361793D3254}"/>
    <hyperlink ref="B10" location="Slovakia!A1" display="Slovakia" xr:uid="{6F6BD58E-2F47-4D93-BFE9-BA701313F215}"/>
    <hyperlink ref="B11" location="Croatia!A1" display="Croatia" xr:uid="{C3FB5296-BA9C-4FC8-855E-67F3BF238B90}"/>
    <hyperlink ref="B13" location="Methodology!A1" display="Methodology" xr:uid="{B9C41296-A3C8-4C64-ABAA-62D9852AB8E9}"/>
    <hyperlink ref="B14" location="'Contacts details'!A1" display="Contacts details" xr:uid="{6CBA7E7D-C065-4B66-ABD2-466F288592A0}"/>
    <hyperlink ref="B12" location="'Vertical split'!A1" display="Structure of the colocation and cloud computing market by service type and economic sector: current state and forecast " xr:uid="{518F9AB7-6E64-4DA0-A7E3-C17393813E6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80275-6657-4C2B-96ED-78761E5DE5DF}">
  <sheetPr>
    <tabColor rgb="FFFF2D9B"/>
  </sheetPr>
  <dimension ref="A1:U222"/>
  <sheetViews>
    <sheetView zoomScale="120" zoomScaleNormal="120" workbookViewId="0">
      <pane ySplit="1" topLeftCell="A65" activePane="bottomLeft" state="frozen"/>
      <selection pane="bottomLeft" activeCell="C71" sqref="C71"/>
    </sheetView>
  </sheetViews>
  <sheetFormatPr defaultColWidth="8.875" defaultRowHeight="15" x14ac:dyDescent="0.2"/>
  <cols>
    <col min="1" max="1" width="68.47265625" style="47" bestFit="1" customWidth="1"/>
    <col min="2" max="16" width="13.046875" style="47" customWidth="1"/>
    <col min="17" max="17" width="8.875" style="47"/>
    <col min="18" max="19" width="24.48046875" style="47" customWidth="1"/>
    <col min="20" max="16384" width="8.875" style="47"/>
  </cols>
  <sheetData>
    <row r="1" spans="1:21" s="48" customFormat="1" ht="24" customHeight="1" x14ac:dyDescent="0.2">
      <c r="A1" s="51" t="s">
        <v>0</v>
      </c>
      <c r="B1" s="52">
        <v>2016</v>
      </c>
      <c r="C1" s="52">
        <v>2017</v>
      </c>
      <c r="D1" s="52">
        <v>2018</v>
      </c>
      <c r="E1" s="52">
        <v>2019</v>
      </c>
      <c r="F1" s="52">
        <v>2020</v>
      </c>
      <c r="G1" s="52">
        <v>2021</v>
      </c>
      <c r="H1" s="52">
        <v>2022</v>
      </c>
      <c r="I1" s="52">
        <v>2023</v>
      </c>
      <c r="J1" s="52">
        <v>2024</v>
      </c>
      <c r="K1" s="52" t="s">
        <v>42</v>
      </c>
      <c r="L1" s="52" t="s">
        <v>1</v>
      </c>
      <c r="M1" s="52" t="s">
        <v>2</v>
      </c>
      <c r="N1" s="52" t="s">
        <v>43</v>
      </c>
      <c r="O1" s="52" t="s">
        <v>44</v>
      </c>
      <c r="P1" s="52" t="s">
        <v>45</v>
      </c>
      <c r="Q1" s="52"/>
      <c r="R1" s="53" t="s">
        <v>78</v>
      </c>
      <c r="S1" s="53" t="s">
        <v>79</v>
      </c>
      <c r="T1" s="54"/>
      <c r="U1" s="54"/>
    </row>
    <row r="2" spans="1:21" s="49" customFormat="1" x14ac:dyDescent="0.2">
      <c r="A2" s="55" t="s">
        <v>3</v>
      </c>
      <c r="B2" s="56">
        <f>B4+B6+B8</f>
        <v>31193.544894372884</v>
      </c>
      <c r="C2" s="56">
        <f t="shared" ref="C2:P2" si="0">C4+C6+C8</f>
        <v>32481.585457446148</v>
      </c>
      <c r="D2" s="56">
        <f t="shared" si="0"/>
        <v>34111.968730433138</v>
      </c>
      <c r="E2" s="56">
        <f t="shared" si="0"/>
        <v>36196.392610377938</v>
      </c>
      <c r="F2" s="56">
        <f t="shared" si="0"/>
        <v>36922.215056036497</v>
      </c>
      <c r="G2" s="56">
        <f t="shared" si="0"/>
        <v>40349.600168035118</v>
      </c>
      <c r="H2" s="56">
        <f t="shared" si="0"/>
        <v>43024.989668243252</v>
      </c>
      <c r="I2" s="56">
        <f t="shared" si="0"/>
        <v>46287.695502482398</v>
      </c>
      <c r="J2" s="56">
        <f t="shared" si="0"/>
        <v>50912.437436431341</v>
      </c>
      <c r="K2" s="56">
        <f t="shared" si="0"/>
        <v>54327.487409022026</v>
      </c>
      <c r="L2" s="56">
        <f t="shared" si="0"/>
        <v>57653.533890531762</v>
      </c>
      <c r="M2" s="56">
        <f t="shared" si="0"/>
        <v>60681.219179511507</v>
      </c>
      <c r="N2" s="56">
        <f t="shared" si="0"/>
        <v>64025.179244032021</v>
      </c>
      <c r="O2" s="56">
        <f t="shared" si="0"/>
        <v>67606.141885701581</v>
      </c>
      <c r="P2" s="56">
        <f t="shared" si="0"/>
        <v>71249.50655682612</v>
      </c>
      <c r="R2" s="57">
        <f>(J2/D2)^(1/6)-1</f>
        <v>6.9020870647408472E-2</v>
      </c>
      <c r="S2" s="57">
        <f>(P2/J2)^(1/6)-1</f>
        <v>5.761189961562585E-2</v>
      </c>
    </row>
    <row r="3" spans="1:21" s="49" customFormat="1" x14ac:dyDescent="0.2">
      <c r="A3" s="58" t="s">
        <v>4</v>
      </c>
      <c r="B3" s="59"/>
      <c r="C3" s="59">
        <f t="shared" ref="C3:P3" si="1">C2/B2-1</f>
        <v>4.1291894442738286E-2</v>
      </c>
      <c r="D3" s="59">
        <f t="shared" si="1"/>
        <v>5.0194079199826769E-2</v>
      </c>
      <c r="E3" s="59">
        <f t="shared" si="1"/>
        <v>6.1105352681833702E-2</v>
      </c>
      <c r="F3" s="59">
        <f t="shared" si="1"/>
        <v>2.0052342051634753E-2</v>
      </c>
      <c r="G3" s="59">
        <f t="shared" si="1"/>
        <v>9.2827180243571839E-2</v>
      </c>
      <c r="H3" s="59">
        <f t="shared" si="1"/>
        <v>6.6305229520652764E-2</v>
      </c>
      <c r="I3" s="59">
        <f t="shared" si="1"/>
        <v>7.5832809244050781E-2</v>
      </c>
      <c r="J3" s="59">
        <f t="shared" si="1"/>
        <v>9.9912987322968272E-2</v>
      </c>
      <c r="K3" s="59">
        <f t="shared" si="1"/>
        <v>6.7076929421316267E-2</v>
      </c>
      <c r="L3" s="59">
        <f t="shared" si="1"/>
        <v>6.1222166533646538E-2</v>
      </c>
      <c r="M3" s="59">
        <f t="shared" si="1"/>
        <v>5.2515172699187707E-2</v>
      </c>
      <c r="N3" s="59">
        <f t="shared" si="1"/>
        <v>5.5107001964284308E-2</v>
      </c>
      <c r="O3" s="59">
        <f t="shared" si="1"/>
        <v>5.5930536766179539E-2</v>
      </c>
      <c r="P3" s="59">
        <f t="shared" si="1"/>
        <v>5.3891030748126401E-2</v>
      </c>
      <c r="R3" s="60"/>
      <c r="S3" s="60"/>
    </row>
    <row r="4" spans="1:21" s="50" customFormat="1" x14ac:dyDescent="0.2">
      <c r="A4" s="61" t="s">
        <v>5</v>
      </c>
      <c r="B4" s="43">
        <f>Poland!B4+Austria!B4+'Czech Republic'!B4+Greece!B4+Hungary!B4+Slovakia!B4+Croatia!B4</f>
        <v>6022.6997582085369</v>
      </c>
      <c r="C4" s="43">
        <f>Poland!C4+Austria!C4+'Czech Republic'!C4+Greece!C4+Hungary!C4+Slovakia!C4+Croatia!C4</f>
        <v>6331.3661955138032</v>
      </c>
      <c r="D4" s="43">
        <f>Poland!D4+Austria!D4+'Czech Republic'!D4+Greece!D4+Hungary!D4+Slovakia!D4+Croatia!D4</f>
        <v>6648.8056434004993</v>
      </c>
      <c r="E4" s="43">
        <f>Poland!E4+Austria!E4+'Czech Republic'!E4+Greece!E4+Hungary!E4+Slovakia!E4+Croatia!E4</f>
        <v>7057.8692320949713</v>
      </c>
      <c r="F4" s="43">
        <f>Poland!F4+Austria!F4+'Czech Republic'!F4+Greece!F4+Hungary!F4+Slovakia!F4+Croatia!F4</f>
        <v>7366.2935873542856</v>
      </c>
      <c r="G4" s="43">
        <f>Poland!G4+Austria!G4+'Czech Republic'!G4+Greece!G4+Hungary!G4+Slovakia!G4+Croatia!G4</f>
        <v>7780.2696102641175</v>
      </c>
      <c r="H4" s="43">
        <f>Poland!H4+Austria!H4+'Czech Republic'!H4+Greece!H4+Hungary!H4+Slovakia!H4+Croatia!H4</f>
        <v>8294.5213632238465</v>
      </c>
      <c r="I4" s="43">
        <f>Poland!I4+Austria!I4+'Czech Republic'!I4+Greece!I4+Hungary!I4+Slovakia!I4+Croatia!I4</f>
        <v>9130.7544922769994</v>
      </c>
      <c r="J4" s="43">
        <f>Poland!J4+Austria!J4+'Czech Republic'!J4+Greece!J4+Hungary!J4+Slovakia!J4+Croatia!J4</f>
        <v>10136.304420482196</v>
      </c>
      <c r="K4" s="43">
        <f>Poland!K4+Austria!K4+'Czech Republic'!K4+Greece!K4+Hungary!K4+Slovakia!K4+Croatia!K4</f>
        <v>10885.552423312545</v>
      </c>
      <c r="L4" s="43">
        <f>Poland!L4+Austria!L4+'Czech Republic'!L4+Greece!L4+Hungary!L4+Slovakia!L4+Croatia!L4</f>
        <v>11654.879293463528</v>
      </c>
      <c r="M4" s="43">
        <f>Poland!M4+Austria!M4+'Czech Republic'!M4+Greece!M4+Hungary!M4+Slovakia!M4+Croatia!M4</f>
        <v>12379.084497868138</v>
      </c>
      <c r="N4" s="43">
        <f>Poland!N4+Austria!N4+'Czech Republic'!N4+Greece!N4+Hungary!N4+Slovakia!N4+Croatia!N4</f>
        <v>13197.015811369909</v>
      </c>
      <c r="O4" s="43">
        <f>Poland!O4+Austria!O4+'Czech Republic'!O4+Greece!O4+Hungary!O4+Slovakia!O4+Croatia!O4</f>
        <v>14097.39943901928</v>
      </c>
      <c r="P4" s="43">
        <f>Poland!P4+Austria!P4+'Czech Republic'!P4+Greece!P4+Hungary!P4+Slovakia!P4+Croatia!P4</f>
        <v>15041.210954221213</v>
      </c>
      <c r="Q4" s="130"/>
      <c r="R4" s="57">
        <f>(J4/D4)^(1/6)-1</f>
        <v>7.2809641333771991E-2</v>
      </c>
      <c r="S4" s="57">
        <f>(P4/J4)^(1/6)-1</f>
        <v>6.7990016287696742E-2</v>
      </c>
    </row>
    <row r="5" spans="1:21" s="50" customFormat="1" x14ac:dyDescent="0.2">
      <c r="A5" s="62" t="s">
        <v>4</v>
      </c>
      <c r="B5" s="45"/>
      <c r="C5" s="63">
        <f t="shared" ref="C5:P5" si="2">C4/B4-1</f>
        <v>5.1250510518073611E-2</v>
      </c>
      <c r="D5" s="63">
        <f t="shared" si="2"/>
        <v>5.0137590858608583E-2</v>
      </c>
      <c r="E5" s="63">
        <f t="shared" si="2"/>
        <v>6.1524371538894673E-2</v>
      </c>
      <c r="F5" s="63">
        <f t="shared" si="2"/>
        <v>4.3699358137266886E-2</v>
      </c>
      <c r="G5" s="63">
        <f t="shared" si="2"/>
        <v>5.6198686354356653E-2</v>
      </c>
      <c r="H5" s="63">
        <f t="shared" si="2"/>
        <v>6.609690649811184E-2</v>
      </c>
      <c r="I5" s="63">
        <f t="shared" si="2"/>
        <v>0.10081752670634292</v>
      </c>
      <c r="J5" s="63">
        <f t="shared" si="2"/>
        <v>0.11012780258802435</v>
      </c>
      <c r="K5" s="63">
        <f t="shared" si="2"/>
        <v>7.39172751477708E-2</v>
      </c>
      <c r="L5" s="63">
        <f t="shared" si="2"/>
        <v>7.0674122932281147E-2</v>
      </c>
      <c r="M5" s="63">
        <f t="shared" si="2"/>
        <v>6.2137512210081125E-2</v>
      </c>
      <c r="N5" s="63">
        <f t="shared" si="2"/>
        <v>6.6073651378874665E-2</v>
      </c>
      <c r="O5" s="63">
        <f t="shared" si="2"/>
        <v>6.8226305137381482E-2</v>
      </c>
      <c r="P5" s="63">
        <f t="shared" si="2"/>
        <v>6.6949334824805806E-2</v>
      </c>
      <c r="Q5" s="130"/>
      <c r="R5" s="64"/>
      <c r="S5" s="64"/>
    </row>
    <row r="6" spans="1:21" s="50" customFormat="1" x14ac:dyDescent="0.2">
      <c r="A6" s="61" t="s">
        <v>6</v>
      </c>
      <c r="B6" s="43">
        <f>Poland!B6+Austria!B6+'Czech Republic'!B6+Greece!B6+Hungary!B6+Slovakia!B6+Croatia!B6</f>
        <v>13086.818239573769</v>
      </c>
      <c r="C6" s="43">
        <f>Poland!C6+Austria!C6+'Czech Republic'!C6+Greece!C6+Hungary!C6+Slovakia!C6+Croatia!C6</f>
        <v>13603.74085480549</v>
      </c>
      <c r="D6" s="43">
        <f>Poland!D6+Austria!D6+'Czech Republic'!D6+Greece!D6+Hungary!D6+Slovakia!D6+Croatia!D6</f>
        <v>14433.702479015279</v>
      </c>
      <c r="E6" s="43">
        <f>Poland!E6+Austria!E6+'Czech Republic'!E6+Greece!E6+Hungary!E6+Slovakia!E6+Croatia!E6</f>
        <v>15434.475123064298</v>
      </c>
      <c r="F6" s="43">
        <f>Poland!F6+Austria!F6+'Czech Republic'!F6+Greece!F6+Hungary!F6+Slovakia!F6+Croatia!F6</f>
        <v>15654.028080263015</v>
      </c>
      <c r="G6" s="43">
        <f>Poland!G6+Austria!G6+'Czech Republic'!G6+Greece!G6+Hungary!G6+Slovakia!G6+Croatia!G6</f>
        <v>18039.267311894047</v>
      </c>
      <c r="H6" s="43">
        <f>Poland!H6+Austria!H6+'Czech Republic'!H6+Greece!H6+Hungary!H6+Slovakia!H6+Croatia!H6</f>
        <v>19105.111468028739</v>
      </c>
      <c r="I6" s="43">
        <f>Poland!I6+Austria!I6+'Czech Republic'!I6+Greece!I6+Hungary!I6+Slovakia!I6+Croatia!I6</f>
        <v>20072.670215523074</v>
      </c>
      <c r="J6" s="43">
        <f>Poland!J6+Austria!J6+'Czech Republic'!J6+Greece!J6+Hungary!J6+Slovakia!J6+Croatia!J6</f>
        <v>21962.88975733953</v>
      </c>
      <c r="K6" s="43">
        <f>Poland!K6+Austria!K6+'Czech Republic'!K6+Greece!K6+Hungary!K6+Slovakia!K6+Croatia!K6</f>
        <v>23242.834365580769</v>
      </c>
      <c r="L6" s="43">
        <f>Poland!L6+Austria!L6+'Czech Republic'!L6+Greece!L6+Hungary!L6+Slovakia!L6+Croatia!L6</f>
        <v>24367.388347178716</v>
      </c>
      <c r="M6" s="43">
        <f>Poland!M6+Austria!M6+'Czech Republic'!M6+Greece!M6+Hungary!M6+Slovakia!M6+Croatia!M6</f>
        <v>25245.197536228494</v>
      </c>
      <c r="N6" s="43">
        <f>Poland!N6+Austria!N6+'Czech Republic'!N6+Greece!N6+Hungary!N6+Slovakia!N6+Croatia!N6</f>
        <v>26155.508811948803</v>
      </c>
      <c r="O6" s="43">
        <f>Poland!O6+Austria!O6+'Czech Republic'!O6+Greece!O6+Hungary!O6+Slovakia!O6+Croatia!O6</f>
        <v>27053.88593008653</v>
      </c>
      <c r="P6" s="43">
        <f>Poland!P6+Austria!P6+'Czech Republic'!P6+Greece!P6+Hungary!P6+Slovakia!P6+Croatia!P6</f>
        <v>27882.995164977696</v>
      </c>
      <c r="Q6" s="130"/>
      <c r="R6" s="57">
        <f>(J6/D6)^(1/6)-1</f>
        <v>7.2470336311728722E-2</v>
      </c>
      <c r="S6" s="57">
        <f>(P6/J6)^(1/6)-1</f>
        <v>4.0578839895820673E-2</v>
      </c>
    </row>
    <row r="7" spans="1:21" s="50" customFormat="1" x14ac:dyDescent="0.2">
      <c r="A7" s="62" t="s">
        <v>4</v>
      </c>
      <c r="B7" s="45"/>
      <c r="C7" s="63">
        <f t="shared" ref="C7:P7" si="3">C6/B6-1</f>
        <v>3.9499487634708341E-2</v>
      </c>
      <c r="D7" s="63">
        <f t="shared" si="3"/>
        <v>6.1009808483422301E-2</v>
      </c>
      <c r="E7" s="63">
        <f t="shared" si="3"/>
        <v>6.9335823258378282E-2</v>
      </c>
      <c r="F7" s="63">
        <f t="shared" si="3"/>
        <v>1.4224841171996294E-2</v>
      </c>
      <c r="G7" s="63">
        <f t="shared" si="3"/>
        <v>0.15237223412409739</v>
      </c>
      <c r="H7" s="63">
        <f t="shared" si="3"/>
        <v>5.9084669998317185E-2</v>
      </c>
      <c r="I7" s="63">
        <f t="shared" si="3"/>
        <v>5.0643972902931544E-2</v>
      </c>
      <c r="J7" s="63">
        <f t="shared" si="3"/>
        <v>9.41688136914971E-2</v>
      </c>
      <c r="K7" s="63">
        <f t="shared" si="3"/>
        <v>5.8277604740674338E-2</v>
      </c>
      <c r="L7" s="63">
        <f t="shared" si="3"/>
        <v>4.8382824741170394E-2</v>
      </c>
      <c r="M7" s="63">
        <f t="shared" si="3"/>
        <v>3.6023933978604372E-2</v>
      </c>
      <c r="N7" s="63">
        <f t="shared" si="3"/>
        <v>3.6058789970407457E-2</v>
      </c>
      <c r="O7" s="63">
        <f t="shared" si="3"/>
        <v>3.434752979178568E-2</v>
      </c>
      <c r="P7" s="63">
        <f t="shared" si="3"/>
        <v>3.0646585744974919E-2</v>
      </c>
      <c r="R7" s="64"/>
      <c r="S7" s="64"/>
    </row>
    <row r="8" spans="1:21" s="50" customFormat="1" x14ac:dyDescent="0.2">
      <c r="A8" s="61" t="s">
        <v>7</v>
      </c>
      <c r="B8" s="43">
        <f>Poland!B8+Austria!B8+'Czech Republic'!B8+Greece!B8+Hungary!B8+Slovakia!B8+Croatia!B8</f>
        <v>12084.02689659058</v>
      </c>
      <c r="C8" s="43">
        <f>Poland!C8+Austria!C8+'Czech Republic'!C8+Greece!C8+Hungary!C8+Slovakia!C8+Croatia!C8</f>
        <v>12546.478407126855</v>
      </c>
      <c r="D8" s="43">
        <f>Poland!D8+Austria!D8+'Czech Republic'!D8+Greece!D8+Hungary!D8+Slovakia!D8+Croatia!D8</f>
        <v>13029.46060801736</v>
      </c>
      <c r="E8" s="43">
        <f>Poland!E8+Austria!E8+'Czech Republic'!E8+Greece!E8+Hungary!E8+Slovakia!E8+Croatia!E8</f>
        <v>13704.048255218671</v>
      </c>
      <c r="F8" s="43">
        <f>Poland!F8+Austria!F8+'Czech Republic'!F8+Greece!F8+Hungary!F8+Slovakia!F8+Croatia!F8</f>
        <v>13901.893388419201</v>
      </c>
      <c r="G8" s="43">
        <f>Poland!G8+Austria!G8+'Czech Republic'!G8+Greece!G8+Hungary!G8+Slovakia!G8+Croatia!G8</f>
        <v>14530.063245876956</v>
      </c>
      <c r="H8" s="43">
        <f>Poland!H8+Austria!H8+'Czech Republic'!H8+Greece!H8+Hungary!H8+Slovakia!H8+Croatia!H8</f>
        <v>15625.356836990664</v>
      </c>
      <c r="I8" s="43">
        <f>Poland!I8+Austria!I8+'Czech Republic'!I8+Greece!I8+Hungary!I8+Slovakia!I8+Croatia!I8</f>
        <v>17084.270794682325</v>
      </c>
      <c r="J8" s="43">
        <f>Poland!J8+Austria!J8+'Czech Republic'!J8+Greece!J8+Hungary!J8+Slovakia!J8+Croatia!J8</f>
        <v>18813.243258609611</v>
      </c>
      <c r="K8" s="43">
        <f>Poland!K8+Austria!K8+'Czech Republic'!K8+Greece!K8+Hungary!K8+Slovakia!K8+Croatia!K8</f>
        <v>20199.100620128709</v>
      </c>
      <c r="L8" s="43">
        <f>Poland!L8+Austria!L8+'Czech Republic'!L8+Greece!L8+Hungary!L8+Slovakia!L8+Croatia!L8</f>
        <v>21631.266249889522</v>
      </c>
      <c r="M8" s="43">
        <f>Poland!M8+Austria!M8+'Czech Republic'!M8+Greece!M8+Hungary!M8+Slovakia!M8+Croatia!M8</f>
        <v>23056.937145414879</v>
      </c>
      <c r="N8" s="43">
        <f>Poland!N8+Austria!N8+'Czech Republic'!N8+Greece!N8+Hungary!N8+Slovakia!N8+Croatia!N8</f>
        <v>24672.654620713307</v>
      </c>
      <c r="O8" s="43">
        <f>Poland!O8+Austria!O8+'Czech Republic'!O8+Greece!O8+Hungary!O8+Slovakia!O8+Croatia!O8</f>
        <v>26454.85651659577</v>
      </c>
      <c r="P8" s="43">
        <f>Poland!P8+Austria!P8+'Czech Republic'!P8+Greece!P8+Hungary!P8+Slovakia!P8+Croatia!P8</f>
        <v>28325.300437627215</v>
      </c>
      <c r="R8" s="57">
        <f>(J8/D8)^(1/6)-1</f>
        <v>6.3137748959011253E-2</v>
      </c>
      <c r="S8" s="57">
        <f>(P8/J8)^(1/6)-1</f>
        <v>7.0578397170032003E-2</v>
      </c>
    </row>
    <row r="9" spans="1:21" s="50" customFormat="1" x14ac:dyDescent="0.2">
      <c r="A9" s="62" t="s">
        <v>4</v>
      </c>
      <c r="B9" s="45"/>
      <c r="C9" s="63">
        <f t="shared" ref="C9:P9" si="4">C8/B8-1</f>
        <v>3.8269652533358123E-2</v>
      </c>
      <c r="D9" s="63">
        <f t="shared" si="4"/>
        <v>3.8495439534343978E-2</v>
      </c>
      <c r="E9" s="63">
        <f t="shared" si="4"/>
        <v>5.1774027144778412E-2</v>
      </c>
      <c r="F9" s="63">
        <f t="shared" si="4"/>
        <v>1.4436984569518474E-2</v>
      </c>
      <c r="G9" s="63">
        <f t="shared" si="4"/>
        <v>4.5185921076120739E-2</v>
      </c>
      <c r="H9" s="63">
        <f t="shared" si="4"/>
        <v>7.538119914409247E-2</v>
      </c>
      <c r="I9" s="63">
        <f t="shared" si="4"/>
        <v>9.3368360986028964E-2</v>
      </c>
      <c r="J9" s="63">
        <f t="shared" si="4"/>
        <v>0.10120259065815373</v>
      </c>
      <c r="K9" s="63">
        <f t="shared" si="4"/>
        <v>7.3663926122088608E-2</v>
      </c>
      <c r="L9" s="63">
        <f t="shared" si="4"/>
        <v>7.0902445445201634E-2</v>
      </c>
      <c r="M9" s="63">
        <f t="shared" si="4"/>
        <v>6.5907879781778256E-2</v>
      </c>
      <c r="N9" s="63">
        <f t="shared" si="4"/>
        <v>7.0075112973959408E-2</v>
      </c>
      <c r="O9" s="63">
        <f t="shared" si="4"/>
        <v>7.2233893080408951E-2</v>
      </c>
      <c r="P9" s="63">
        <f t="shared" si="4"/>
        <v>7.070323438942383E-2</v>
      </c>
      <c r="R9" s="64"/>
      <c r="S9" s="64"/>
    </row>
    <row r="10" spans="1:21" s="50" customFormat="1" ht="17.100000000000001" customHeight="1" x14ac:dyDescent="0.2">
      <c r="B10" s="45"/>
      <c r="C10" s="65"/>
      <c r="D10" s="65"/>
      <c r="E10" s="65"/>
      <c r="F10" s="65"/>
      <c r="G10" s="88"/>
      <c r="H10" s="65"/>
      <c r="I10" s="65"/>
      <c r="J10" s="143"/>
      <c r="K10" s="65"/>
      <c r="L10" s="65"/>
      <c r="M10" s="65"/>
      <c r="N10" s="65"/>
      <c r="O10" s="65"/>
      <c r="P10" s="143"/>
      <c r="R10" s="64"/>
      <c r="S10" s="64"/>
    </row>
    <row r="11" spans="1:21" s="50" customFormat="1" x14ac:dyDescent="0.2">
      <c r="A11" s="55" t="s">
        <v>8</v>
      </c>
      <c r="B11" s="56">
        <f>Poland!B11+Austria!B11+'Czech Republic'!B11+Greece!B11+Hungary!B11+Slovakia!B11+Croatia!B11</f>
        <v>5000.2985432138503</v>
      </c>
      <c r="C11" s="56">
        <f>Poland!C11+Austria!C11+'Czech Republic'!C11+Greece!C11+Hungary!C11+Slovakia!C11+Croatia!C11</f>
        <v>5198.2323762097021</v>
      </c>
      <c r="D11" s="56">
        <f>Poland!D11+Austria!D11+'Czech Republic'!D11+Greece!D11+Hungary!D11+Slovakia!D11+Croatia!D11</f>
        <v>5562.3409238602117</v>
      </c>
      <c r="E11" s="56">
        <f>Poland!E11+Austria!E11+'Czech Republic'!E11+Greece!E11+Hungary!E11+Slovakia!E11+Croatia!E11</f>
        <v>6050.2573083705493</v>
      </c>
      <c r="F11" s="56">
        <f>Poland!F11+Austria!F11+'Czech Republic'!F11+Greece!F11+Hungary!F11+Slovakia!F11+Croatia!F11</f>
        <v>5291.2075308158328</v>
      </c>
      <c r="G11" s="56">
        <f>Poland!G11+Austria!G11+'Czech Republic'!G11+Greece!G11+Hungary!G11+Slovakia!G11+Croatia!G11</f>
        <v>6685.309140077331</v>
      </c>
      <c r="H11" s="56">
        <f>Poland!H11+Austria!H11+'Czech Republic'!H11+Greece!H11+Hungary!H11+Slovakia!H11+Croatia!H11</f>
        <v>6946.8630535640696</v>
      </c>
      <c r="I11" s="56">
        <f>Poland!I11+Austria!I11+'Czech Republic'!I11+Greece!I11+Hungary!I11+Slovakia!I11+Croatia!I11</f>
        <v>7116.1743123250717</v>
      </c>
      <c r="J11" s="56">
        <f>Poland!J11+Austria!J11+'Czech Republic'!J11+Greece!J11+Hungary!J11+Slovakia!J11+Croatia!J11</f>
        <v>7592.9826644891609</v>
      </c>
      <c r="K11" s="56">
        <f>Poland!K11+Austria!K11+'Czech Republic'!K11+Greece!K11+Hungary!K11+Slovakia!K11+Croatia!K11</f>
        <v>7953.5101143476477</v>
      </c>
      <c r="L11" s="56">
        <f>Poland!L11+Austria!L11+'Czech Republic'!L11+Greece!L11+Hungary!L11+Slovakia!L11+Croatia!L11</f>
        <v>8273.3246074842518</v>
      </c>
      <c r="M11" s="56">
        <f>Poland!M11+Austria!M11+'Czech Republic'!M11+Greece!M11+Hungary!M11+Slovakia!M11+Croatia!M11</f>
        <v>8498.2501869636872</v>
      </c>
      <c r="N11" s="56">
        <f>Poland!N11+Austria!N11+'Czech Republic'!N11+Greece!N11+Hungary!N11+Slovakia!N11+Croatia!N11</f>
        <v>8715.5886637156564</v>
      </c>
      <c r="O11" s="56">
        <f>Poland!O11+Austria!O11+'Czech Republic'!O11+Greece!O11+Hungary!O11+Slovakia!O11+Croatia!O11</f>
        <v>8925.3956274663087</v>
      </c>
      <c r="P11" s="56">
        <f>Poland!P11+Austria!P11+'Czech Republic'!P11+Greece!P11+Hungary!P11+Slovakia!P11+Croatia!P11</f>
        <v>9115.5020257074284</v>
      </c>
      <c r="R11" s="57">
        <f>(J11/D11)^(1/6)-1</f>
        <v>5.3236256362028112E-2</v>
      </c>
      <c r="S11" s="57">
        <f>(P11/J11)^(1/6)-1</f>
        <v>3.0927276880292842E-2</v>
      </c>
    </row>
    <row r="12" spans="1:21" s="50" customFormat="1" x14ac:dyDescent="0.2">
      <c r="A12" s="58" t="s">
        <v>4</v>
      </c>
      <c r="B12" s="45"/>
      <c r="C12" s="59">
        <f t="shared" ref="C12:P12" si="5">C11/B11-1</f>
        <v>3.9584403068188223E-2</v>
      </c>
      <c r="D12" s="59">
        <f t="shared" si="5"/>
        <v>7.0044684673369551E-2</v>
      </c>
      <c r="E12" s="59">
        <f t="shared" si="5"/>
        <v>8.7717813630835195E-2</v>
      </c>
      <c r="F12" s="59">
        <f t="shared" si="5"/>
        <v>-0.12545743740593784</v>
      </c>
      <c r="G12" s="59">
        <f t="shared" si="5"/>
        <v>0.26347513325498806</v>
      </c>
      <c r="H12" s="59">
        <f t="shared" si="5"/>
        <v>3.9123682690866968E-2</v>
      </c>
      <c r="I12" s="59">
        <f t="shared" si="5"/>
        <v>2.4372332872480751E-2</v>
      </c>
      <c r="J12" s="59">
        <f t="shared" si="5"/>
        <v>6.7003467205443146E-2</v>
      </c>
      <c r="K12" s="59">
        <f t="shared" si="5"/>
        <v>4.7481663766282489E-2</v>
      </c>
      <c r="L12" s="59">
        <f t="shared" si="5"/>
        <v>4.0210484243891065E-2</v>
      </c>
      <c r="M12" s="59">
        <f t="shared" si="5"/>
        <v>2.7186843276518102E-2</v>
      </c>
      <c r="N12" s="59">
        <f t="shared" si="5"/>
        <v>2.5574497334212021E-2</v>
      </c>
      <c r="O12" s="59">
        <f t="shared" si="5"/>
        <v>2.4072609647597387E-2</v>
      </c>
      <c r="P12" s="59">
        <f t="shared" si="5"/>
        <v>2.1299492613649607E-2</v>
      </c>
      <c r="R12" s="64"/>
      <c r="S12" s="64"/>
    </row>
    <row r="13" spans="1:21" s="50" customFormat="1" x14ac:dyDescent="0.2">
      <c r="B13" s="45"/>
      <c r="C13" s="65"/>
      <c r="D13" s="65"/>
      <c r="E13" s="65"/>
      <c r="F13" s="65"/>
      <c r="G13" s="65"/>
      <c r="H13" s="65"/>
      <c r="I13" s="65"/>
      <c r="J13" s="65"/>
      <c r="K13" s="65"/>
      <c r="L13" s="65"/>
      <c r="M13" s="65"/>
      <c r="N13" s="65"/>
      <c r="O13" s="65"/>
      <c r="P13" s="65"/>
      <c r="R13" s="64"/>
      <c r="S13" s="64"/>
    </row>
    <row r="14" spans="1:21" s="50" customFormat="1" x14ac:dyDescent="0.2">
      <c r="A14" s="55" t="s">
        <v>46</v>
      </c>
      <c r="B14" s="56">
        <f>Poland!B14+Austria!B14+'Czech Republic'!B14+Greece!B14+Hungary!B14+Slovakia!B14+Croatia!B14</f>
        <v>868.22290747756654</v>
      </c>
      <c r="C14" s="56">
        <f>Poland!C14+Austria!C14+'Czech Republic'!C14+Greece!C14+Hungary!C14+Slovakia!C14+Croatia!C14</f>
        <v>951.50133700627146</v>
      </c>
      <c r="D14" s="56">
        <f>Poland!D14+Austria!D14+'Czech Republic'!D14+Greece!D14+Hungary!D14+Slovakia!D14+Croatia!D14</f>
        <v>1073.3449583591296</v>
      </c>
      <c r="E14" s="56">
        <f>Poland!E14+Austria!E14+'Czech Republic'!E14+Greece!E14+Hungary!E14+Slovakia!E14+Croatia!E14</f>
        <v>1170.990340842224</v>
      </c>
      <c r="F14" s="56">
        <f>Poland!F14+Austria!F14+'Czech Republic'!F14+Greece!F14+Hungary!F14+Slovakia!F14+Croatia!F14</f>
        <v>1182.5370000123867</v>
      </c>
      <c r="G14" s="56">
        <f>Poland!G14+Austria!G14+'Czech Republic'!G14+Greece!G14+Hungary!G14+Slovakia!G14+Croatia!G14</f>
        <v>1271.5907584945051</v>
      </c>
      <c r="H14" s="56">
        <f>Poland!H14+Austria!H14+'Czech Republic'!H14+Greece!H14+Hungary!H14+Slovakia!H14+Croatia!H14</f>
        <v>1465.6583205910836</v>
      </c>
      <c r="I14" s="56">
        <f>Poland!I14+Austria!I14+'Czech Republic'!I14+Greece!I14+Hungary!I14+Slovakia!I14+Croatia!I14</f>
        <v>1645.9208136515151</v>
      </c>
      <c r="J14" s="56">
        <f>Poland!J14+Austria!J14+'Czech Republic'!J14+Greece!J14+Hungary!J14+Slovakia!J14+Croatia!J14</f>
        <v>1834.1151483740809</v>
      </c>
      <c r="K14" s="56">
        <f>Poland!K14+Austria!K14+'Czech Republic'!K14+Greece!K14+Hungary!K14+Slovakia!K14+Croatia!K14</f>
        <v>2088.9885489470803</v>
      </c>
      <c r="L14" s="56">
        <f>Poland!L14+Austria!L14+'Czech Republic'!L14+Greece!L14+Hungary!L14+Slovakia!L14+Croatia!L14</f>
        <v>2354.788551357773</v>
      </c>
      <c r="M14" s="56">
        <f>Poland!M14+Austria!M14+'Czech Republic'!M14+Greece!M14+Hungary!M14+Slovakia!M14+Croatia!M14</f>
        <v>2453.2921028475844</v>
      </c>
      <c r="N14" s="56">
        <f>Poland!N14+Austria!N14+'Czech Republic'!N14+Greece!N14+Hungary!N14+Slovakia!N14+Croatia!N14</f>
        <v>2555.4638387165078</v>
      </c>
      <c r="O14" s="56">
        <f>Poland!O14+Austria!O14+'Czech Republic'!O14+Greece!O14+Hungary!O14+Slovakia!O14+Croatia!O14</f>
        <v>2715.2982235107834</v>
      </c>
      <c r="P14" s="56">
        <f>Poland!P14+Austria!P14+'Czech Republic'!P14+Greece!P14+Hungary!P14+Slovakia!P14+Croatia!P14</f>
        <v>2930.1344263271999</v>
      </c>
      <c r="R14" s="57">
        <f>(J14/D14)^(1/6)-1</f>
        <v>9.3405396081696734E-2</v>
      </c>
      <c r="S14" s="57">
        <f>(P14/J14)^(1/6)-1</f>
        <v>8.1210259107103333E-2</v>
      </c>
    </row>
    <row r="15" spans="1:21" s="50" customFormat="1" x14ac:dyDescent="0.2">
      <c r="A15" s="58" t="s">
        <v>4</v>
      </c>
      <c r="B15" s="56"/>
      <c r="C15" s="59">
        <f t="shared" ref="C15" si="6">C14/B14-1</f>
        <v>9.5918258792148547E-2</v>
      </c>
      <c r="D15" s="59">
        <f t="shared" ref="D15" si="7">D14/C14-1</f>
        <v>0.12805407266816582</v>
      </c>
      <c r="E15" s="59">
        <f t="shared" ref="E15" si="8">E14/D14-1</f>
        <v>9.097297352788547E-2</v>
      </c>
      <c r="F15" s="59">
        <f t="shared" ref="F15" si="9">F14/E14-1</f>
        <v>9.8605930104067596E-3</v>
      </c>
      <c r="G15" s="59">
        <f t="shared" ref="G15" si="10">G14/F14-1</f>
        <v>7.5307375990083747E-2</v>
      </c>
      <c r="H15" s="59">
        <f t="shared" ref="H15" si="11">H14/G14-1</f>
        <v>0.15261794000952333</v>
      </c>
      <c r="I15" s="59">
        <f t="shared" ref="I15" si="12">I14/H14-1</f>
        <v>0.12299080251373584</v>
      </c>
      <c r="J15" s="59">
        <f t="shared" ref="J15" si="13">J14/I14-1</f>
        <v>0.11433984743473302</v>
      </c>
      <c r="K15" s="59">
        <f t="shared" ref="K15" si="14">K14/J14-1</f>
        <v>0.13896259501424502</v>
      </c>
      <c r="L15" s="59">
        <f t="shared" ref="L15" si="15">L14/K14-1</f>
        <v>0.12723861150156357</v>
      </c>
      <c r="M15" s="59">
        <f t="shared" ref="M15" si="16">M14/L14-1</f>
        <v>4.1831166298568201E-2</v>
      </c>
      <c r="N15" s="59">
        <f t="shared" ref="N15" si="17">N14/M14-1</f>
        <v>4.1646787901991278E-2</v>
      </c>
      <c r="O15" s="59">
        <f t="shared" ref="O15" si="18">O14/N14-1</f>
        <v>6.2546134432703626E-2</v>
      </c>
      <c r="P15" s="59">
        <f t="shared" ref="P15" si="19">P14/O14-1</f>
        <v>7.9120665625686204E-2</v>
      </c>
      <c r="R15" s="64"/>
      <c r="S15" s="64"/>
    </row>
    <row r="16" spans="1:21" ht="17.100000000000001" customHeight="1" x14ac:dyDescent="0.2">
      <c r="B16" s="56"/>
      <c r="R16" s="109"/>
      <c r="S16" s="109"/>
    </row>
    <row r="17" spans="1:19" x14ac:dyDescent="0.2">
      <c r="A17" s="67" t="s">
        <v>9</v>
      </c>
      <c r="B17" s="56"/>
      <c r="R17" s="109"/>
      <c r="S17" s="109"/>
    </row>
    <row r="18" spans="1:19" x14ac:dyDescent="0.2">
      <c r="A18" s="68" t="s">
        <v>82</v>
      </c>
      <c r="B18" s="43">
        <f>Poland!B18+Austria!B18+'Czech Republic'!B18+Greece!B18+Hungary!B18+Slovakia!B18+Croatia!B18</f>
        <v>3838.5998500000001</v>
      </c>
      <c r="C18" s="43">
        <f>Poland!C18+Austria!C18+'Czech Republic'!C18+Greece!C18+Hungary!C18+Slovakia!C18+Croatia!C18</f>
        <v>3830.8916943999998</v>
      </c>
      <c r="D18" s="43">
        <f>Poland!D18+Austria!D18+'Czech Republic'!D18+Greece!D18+Hungary!D18+Slovakia!D18+Croatia!D18</f>
        <v>3878.4667206999998</v>
      </c>
      <c r="E18" s="43">
        <f>Poland!E18+Austria!E18+'Czech Republic'!E18+Greece!E18+Hungary!E18+Slovakia!E18+Croatia!E18</f>
        <v>4016.7657178999998</v>
      </c>
      <c r="F18" s="43">
        <f>Poland!F18+Austria!F18+'Czech Republic'!F18+Greece!F18+Hungary!F18+Slovakia!F18+Croatia!F18</f>
        <v>4069.4618581999998</v>
      </c>
      <c r="G18" s="43">
        <f>Poland!G18+Austria!G18+'Czech Republic'!G18+Greece!G18+Hungary!G18+Slovakia!G18+Croatia!G18</f>
        <v>4306.4773357999993</v>
      </c>
      <c r="H18" s="43">
        <f>Poland!H18+Austria!H18+'Czech Republic'!H18+Greece!H18+Hungary!H18+Slovakia!H18+Croatia!H18</f>
        <v>4497.7474837</v>
      </c>
      <c r="I18" s="43">
        <f>Poland!I18+Austria!I18+'Czech Republic'!I18+Greece!I18+Hungary!I18+Slovakia!I18+Croatia!I18</f>
        <v>4521.2448135000004</v>
      </c>
      <c r="J18" s="43">
        <f>Poland!J18+Austria!J18+'Czech Republic'!J18+Greece!J18+Hungary!J18+Slovakia!J18+Croatia!J18</f>
        <v>4553.7015752765537</v>
      </c>
      <c r="K18" s="43">
        <f>Poland!K18+Austria!K18+'Czech Republic'!K18+Greece!K18+Hungary!K18+Slovakia!K18+Croatia!K18</f>
        <v>4606.7663012316725</v>
      </c>
      <c r="L18" s="43">
        <f>Poland!L18+Austria!L18+'Czech Republic'!L18+Greece!L18+Hungary!L18+Slovakia!L18+Croatia!L18</f>
        <v>4667.2524713240773</v>
      </c>
      <c r="M18" s="43">
        <f>Poland!M18+Austria!M18+'Czech Republic'!M18+Greece!M18+Hungary!M18+Slovakia!M18+Croatia!M18</f>
        <v>4737.6136858058126</v>
      </c>
      <c r="N18" s="43">
        <f>Poland!N18+Austria!N18+'Czech Republic'!N18+Greece!N18+Hungary!N18+Slovakia!N18+Croatia!N18</f>
        <v>4801.625781550134</v>
      </c>
      <c r="O18" s="43">
        <f>Poland!O18+Austria!O18+'Czech Republic'!O18+Greece!O18+Hungary!O18+Slovakia!O18+Croatia!O18</f>
        <v>4863.7049518740641</v>
      </c>
      <c r="P18" s="43">
        <f>Poland!P18+Austria!P18+'Czech Republic'!P18+Greece!P18+Hungary!P18+Slovakia!P18+Croatia!P18</f>
        <v>4920.1701038599967</v>
      </c>
      <c r="R18" s="57">
        <f>(J18/D18)^(1/6)-1</f>
        <v>2.7111084464586543E-2</v>
      </c>
      <c r="S18" s="57">
        <f>(P18/J18)^(1/6)-1</f>
        <v>1.2984014481404849E-2</v>
      </c>
    </row>
    <row r="19" spans="1:19" x14ac:dyDescent="0.2">
      <c r="A19" s="62" t="s">
        <v>4</v>
      </c>
      <c r="B19" s="56"/>
      <c r="C19" s="63">
        <f t="shared" ref="C19:P19" si="20">C18/B18-1</f>
        <v>-2.0080643727427017E-3</v>
      </c>
      <c r="D19" s="63">
        <f t="shared" si="20"/>
        <v>1.2418786563333395E-2</v>
      </c>
      <c r="E19" s="63">
        <f t="shared" si="20"/>
        <v>3.5658162660485493E-2</v>
      </c>
      <c r="F19" s="63">
        <f t="shared" si="20"/>
        <v>1.311904751257198E-2</v>
      </c>
      <c r="G19" s="63">
        <f t="shared" si="20"/>
        <v>5.8242461990990702E-2</v>
      </c>
      <c r="H19" s="63">
        <f t="shared" si="20"/>
        <v>4.4414525605408484E-2</v>
      </c>
      <c r="I19" s="63">
        <f t="shared" si="20"/>
        <v>5.2242438876695108E-3</v>
      </c>
      <c r="J19" s="63">
        <f t="shared" si="20"/>
        <v>7.1787224791810544E-3</v>
      </c>
      <c r="K19" s="63">
        <f t="shared" si="20"/>
        <v>1.1653096953744946E-2</v>
      </c>
      <c r="L19" s="63">
        <f t="shared" si="20"/>
        <v>1.3129854248572048E-2</v>
      </c>
      <c r="M19" s="63">
        <f t="shared" si="20"/>
        <v>1.507551068086399E-2</v>
      </c>
      <c r="N19" s="63">
        <f t="shared" si="20"/>
        <v>1.3511463785260913E-2</v>
      </c>
      <c r="O19" s="63">
        <f t="shared" si="20"/>
        <v>1.2928781447830495E-2</v>
      </c>
      <c r="P19" s="63">
        <f t="shared" si="20"/>
        <v>1.1609493697633866E-2</v>
      </c>
      <c r="R19" s="109"/>
      <c r="S19" s="109"/>
    </row>
    <row r="20" spans="1:19" x14ac:dyDescent="0.2">
      <c r="A20" s="68" t="s">
        <v>10</v>
      </c>
      <c r="B20" s="43">
        <f>Poland!B20+Austria!B20+'Czech Republic'!B20+Greece!B20+Hungary!B20+Slovakia!B20+Croatia!B20</f>
        <v>310.09102086100012</v>
      </c>
      <c r="C20" s="43">
        <f>Poland!C20+Austria!C20+'Czech Republic'!C20+Greece!C20+Hungary!C20+Slovakia!C20+Croatia!C20</f>
        <v>320.00879049700018</v>
      </c>
      <c r="D20" s="43">
        <f>Poland!D20+Austria!D20+'Czech Republic'!D20+Greece!D20+Hungary!D20+Slovakia!D20+Croatia!D20</f>
        <v>326.92678938000017</v>
      </c>
      <c r="E20" s="43">
        <f>Poland!E20+Austria!E20+'Czech Republic'!E20+Greece!E20+Hungary!E20+Slovakia!E20+Croatia!E20</f>
        <v>333.34970793000025</v>
      </c>
      <c r="F20" s="43">
        <f>Poland!F20+Austria!F20+'Czech Republic'!F20+Greece!F20+Hungary!F20+Slovakia!F20+Croatia!F20</f>
        <v>322.3178462900002</v>
      </c>
      <c r="G20" s="43">
        <f>Poland!G20+Austria!G20+'Czech Republic'!G20+Greece!G20+Hungary!G20+Slovakia!G20+Croatia!G20</f>
        <v>338.63736907600031</v>
      </c>
      <c r="H20" s="43">
        <f>Poland!H20+Austria!H20+'Czech Republic'!H20+Greece!H20+Hungary!H20+Slovakia!H20+Croatia!H20</f>
        <v>345.76302576500029</v>
      </c>
      <c r="I20" s="43">
        <f>Poland!I20+Austria!I20+'Czech Republic'!I20+Greece!I20+Hungary!I20+Slovakia!I20+Croatia!I20</f>
        <v>349.09181710800027</v>
      </c>
      <c r="J20" s="43">
        <f>Poland!J20+Austria!J20+'Czech Republic'!J20+Greece!J20+Hungary!J20+Slovakia!J20+Croatia!J20</f>
        <v>352.55749009604443</v>
      </c>
      <c r="K20" s="43">
        <f>Poland!K20+Austria!K20+'Czech Republic'!K20+Greece!K20+Hungary!K20+Slovakia!K20+Croatia!K20</f>
        <v>357.00814752908201</v>
      </c>
      <c r="L20" s="43">
        <f>Poland!L20+Austria!L20+'Czech Republic'!L20+Greece!L20+Hungary!L20+Slovakia!L20+Croatia!L20</f>
        <v>361.8955102210432</v>
      </c>
      <c r="M20" s="43">
        <f>Poland!M20+Austria!M20+'Czech Republic'!M20+Greece!M20+Hungary!M20+Slovakia!M20+Croatia!M20</f>
        <v>366.73297445157516</v>
      </c>
      <c r="N20" s="43">
        <f>Poland!N20+Austria!N20+'Czech Republic'!N20+Greece!N20+Hungary!N20+Slovakia!N20+Croatia!N20</f>
        <v>371.01241195394226</v>
      </c>
      <c r="O20" s="43">
        <f>Poland!O20+Austria!O20+'Czech Republic'!O20+Greece!O20+Hungary!O20+Slovakia!O20+Croatia!O20</f>
        <v>375.33817043439882</v>
      </c>
      <c r="P20" s="43">
        <f>Poland!P20+Austria!P20+'Czech Republic'!P20+Greece!P20+Hungary!P20+Slovakia!P20+Croatia!P20</f>
        <v>378.64304489670593</v>
      </c>
      <c r="R20" s="57">
        <f>(J20/D20)^(1/6)-1</f>
        <v>1.2659029205555949E-2</v>
      </c>
      <c r="S20" s="57">
        <f>(P20/J20)^(1/6)-1</f>
        <v>1.1967751550981731E-2</v>
      </c>
    </row>
    <row r="21" spans="1:19" x14ac:dyDescent="0.2">
      <c r="A21" s="62" t="s">
        <v>4</v>
      </c>
      <c r="B21" s="56"/>
      <c r="C21" s="63">
        <f t="shared" ref="C21:P21" si="21">C20/B20-1</f>
        <v>3.1983414445417857E-2</v>
      </c>
      <c r="D21" s="63">
        <f t="shared" si="21"/>
        <v>2.1618152652168598E-2</v>
      </c>
      <c r="E21" s="63">
        <f t="shared" si="21"/>
        <v>1.964635128917025E-2</v>
      </c>
      <c r="F21" s="63">
        <f t="shared" si="21"/>
        <v>-3.3093959219297142E-2</v>
      </c>
      <c r="G21" s="63">
        <f t="shared" si="21"/>
        <v>5.0631769149130257E-2</v>
      </c>
      <c r="H21" s="63">
        <f t="shared" si="21"/>
        <v>2.1042145196328743E-2</v>
      </c>
      <c r="I21" s="63">
        <f t="shared" si="21"/>
        <v>9.6273779870910126E-3</v>
      </c>
      <c r="J21" s="63">
        <f t="shared" si="21"/>
        <v>9.927683257531017E-3</v>
      </c>
      <c r="K21" s="63">
        <f t="shared" si="21"/>
        <v>1.2623919667187122E-2</v>
      </c>
      <c r="L21" s="63">
        <f t="shared" si="21"/>
        <v>1.3689779143102321E-2</v>
      </c>
      <c r="M21" s="63">
        <f t="shared" si="21"/>
        <v>1.3367019191747653E-2</v>
      </c>
      <c r="N21" s="63">
        <f t="shared" si="21"/>
        <v>1.166908295815694E-2</v>
      </c>
      <c r="O21" s="63">
        <f t="shared" si="21"/>
        <v>1.1659336294639999E-2</v>
      </c>
      <c r="P21" s="63">
        <f t="shared" si="21"/>
        <v>8.8050582718037784E-3</v>
      </c>
      <c r="R21" s="109"/>
      <c r="S21" s="109"/>
    </row>
    <row r="22" spans="1:19" x14ac:dyDescent="0.2">
      <c r="A22" s="68" t="s">
        <v>11</v>
      </c>
      <c r="B22" s="43">
        <f>Poland!B22+Austria!B22+'Czech Republic'!B22+Greece!B22+Hungary!B22+Slovakia!B22+Croatia!B22</f>
        <v>9.7070413454000022</v>
      </c>
      <c r="C22" s="43">
        <f>Poland!C22+Austria!C22+'Czech Republic'!C22+Greece!C22+Hungary!C22+Slovakia!C22+Croatia!C22</f>
        <v>10.054109820300003</v>
      </c>
      <c r="D22" s="43">
        <f>Poland!D22+Austria!D22+'Czech Republic'!D22+Greece!D22+Hungary!D22+Slovakia!D22+Croatia!D22</f>
        <v>10.386775459000001</v>
      </c>
      <c r="E22" s="43">
        <f>Poland!E22+Austria!E22+'Czech Republic'!E22+Greece!E22+Hungary!E22+Slovakia!E22+Croatia!E22</f>
        <v>10.464250745000001</v>
      </c>
      <c r="F22" s="43">
        <f>Poland!F22+Austria!F22+'Czech Republic'!F22+Greece!F22+Hungary!F22+Slovakia!F22+Croatia!F22</f>
        <v>10.137901158</v>
      </c>
      <c r="G22" s="43">
        <f>Poland!G22+Austria!G22+'Czech Republic'!G22+Greece!G22+Hungary!G22+Slovakia!G22+Croatia!G22</f>
        <v>10.431840264000003</v>
      </c>
      <c r="H22" s="43">
        <f>Poland!H22+Austria!H22+'Czech Republic'!H22+Greece!H22+Hungary!H22+Slovakia!H22+Croatia!H22</f>
        <v>10.690448672000004</v>
      </c>
      <c r="I22" s="43">
        <f>Poland!I22+Austria!I22+'Czech Republic'!I22+Greece!I22+Hungary!I22+Slovakia!I22+Croatia!I22</f>
        <v>10.720170947400003</v>
      </c>
      <c r="J22" s="43">
        <f>Poland!J22+Austria!J22+'Czech Republic'!J22+Greece!J22+Hungary!J22+Slovakia!J22+Croatia!J22</f>
        <v>10.861709249215277</v>
      </c>
      <c r="K22" s="43">
        <f>Poland!K22+Austria!K22+'Czech Republic'!K22+Greece!K22+Hungary!K22+Slovakia!K22+Croatia!K22</f>
        <v>11.027693419567237</v>
      </c>
      <c r="L22" s="43">
        <f>Poland!L22+Austria!L22+'Czech Republic'!L22+Greece!L22+Hungary!L22+Slovakia!L22+Croatia!L22</f>
        <v>11.167418697079524</v>
      </c>
      <c r="M22" s="43">
        <f>Poland!M22+Austria!M22+'Czech Republic'!M22+Greece!M22+Hungary!M22+Slovakia!M22+Croatia!M22</f>
        <v>11.302931886259012</v>
      </c>
      <c r="N22" s="43">
        <f>Poland!N22+Austria!N22+'Czech Republic'!N22+Greece!N22+Hungary!N22+Slovakia!N22+Croatia!N22</f>
        <v>11.427770332612361</v>
      </c>
      <c r="O22" s="43">
        <f>Poland!O22+Austria!O22+'Czech Republic'!O22+Greece!O22+Hungary!O22+Slovakia!O22+Croatia!O22</f>
        <v>11.544311252863467</v>
      </c>
      <c r="P22" s="43">
        <f>Poland!P22+Austria!P22+'Czech Republic'!P22+Greece!P22+Hungary!P22+Slovakia!P22+Croatia!P22</f>
        <v>11.637745185616083</v>
      </c>
      <c r="R22" s="57">
        <f>(J22/D22)^(1/6)-1</f>
        <v>7.4795472876663105E-3</v>
      </c>
      <c r="S22" s="57">
        <f>(P22/J22)^(1/6)-1</f>
        <v>1.1568068427521894E-2</v>
      </c>
    </row>
    <row r="23" spans="1:19" x14ac:dyDescent="0.2">
      <c r="A23" s="62" t="s">
        <v>4</v>
      </c>
      <c r="B23" s="56"/>
      <c r="C23" s="63">
        <f t="shared" ref="C23:P23" si="22">C22/B22-1</f>
        <v>3.5754300672106387E-2</v>
      </c>
      <c r="D23" s="63">
        <f t="shared" si="22"/>
        <v>3.3087527851378917E-2</v>
      </c>
      <c r="E23" s="63">
        <f t="shared" si="22"/>
        <v>7.4590315643021654E-3</v>
      </c>
      <c r="F23" s="63">
        <f t="shared" si="22"/>
        <v>-3.1187095469394799E-2</v>
      </c>
      <c r="G23" s="63">
        <f t="shared" si="22"/>
        <v>2.8994078894530428E-2</v>
      </c>
      <c r="H23" s="63">
        <f t="shared" si="22"/>
        <v>2.4790296002945134E-2</v>
      </c>
      <c r="I23" s="63">
        <f t="shared" si="22"/>
        <v>2.7802645437928764E-3</v>
      </c>
      <c r="J23" s="63">
        <f t="shared" si="22"/>
        <v>1.320298925359964E-2</v>
      </c>
      <c r="K23" s="63">
        <f t="shared" si="22"/>
        <v>1.5281588426236947E-2</v>
      </c>
      <c r="L23" s="63">
        <f t="shared" si="22"/>
        <v>1.2670399166553103E-2</v>
      </c>
      <c r="M23" s="63">
        <f t="shared" si="22"/>
        <v>1.2134692255689083E-2</v>
      </c>
      <c r="N23" s="63">
        <f t="shared" si="22"/>
        <v>1.1044784451467393E-2</v>
      </c>
      <c r="O23" s="63">
        <f t="shared" si="22"/>
        <v>1.0198045363103203E-2</v>
      </c>
      <c r="P23" s="63">
        <f t="shared" si="22"/>
        <v>8.0935042988761197E-3</v>
      </c>
      <c r="R23" s="109"/>
      <c r="S23" s="109"/>
    </row>
    <row r="24" spans="1:19" x14ac:dyDescent="0.2">
      <c r="A24" s="69" t="s">
        <v>54</v>
      </c>
      <c r="B24" s="56">
        <f t="shared" ref="B24:P24" si="23">B18+B20+B22</f>
        <v>4158.3979122064002</v>
      </c>
      <c r="C24" s="56">
        <f t="shared" si="23"/>
        <v>4160.9545947173001</v>
      </c>
      <c r="D24" s="56">
        <f t="shared" si="23"/>
        <v>4215.780285539</v>
      </c>
      <c r="E24" s="56">
        <f t="shared" si="23"/>
        <v>4360.5796765750001</v>
      </c>
      <c r="F24" s="56">
        <f t="shared" si="23"/>
        <v>4401.9176056480001</v>
      </c>
      <c r="G24" s="56">
        <f t="shared" si="23"/>
        <v>4655.5465451399996</v>
      </c>
      <c r="H24" s="56">
        <f t="shared" si="23"/>
        <v>4854.2009581370012</v>
      </c>
      <c r="I24" s="56">
        <f t="shared" si="23"/>
        <v>4881.0568015554009</v>
      </c>
      <c r="J24" s="56">
        <f t="shared" si="23"/>
        <v>4917.1207746218133</v>
      </c>
      <c r="K24" s="56">
        <f t="shared" si="23"/>
        <v>4974.8021421803214</v>
      </c>
      <c r="L24" s="56">
        <f t="shared" si="23"/>
        <v>5040.3154002421998</v>
      </c>
      <c r="M24" s="56">
        <f t="shared" si="23"/>
        <v>5115.6495921436472</v>
      </c>
      <c r="N24" s="56">
        <f t="shared" si="23"/>
        <v>5184.0659638366888</v>
      </c>
      <c r="O24" s="56">
        <f t="shared" si="23"/>
        <v>5250.5874335613271</v>
      </c>
      <c r="P24" s="56">
        <f t="shared" si="23"/>
        <v>5310.4508939423185</v>
      </c>
      <c r="R24" s="57">
        <f>(J24/D24)^(1/6)-1</f>
        <v>2.5979817898865498E-2</v>
      </c>
      <c r="S24" s="57">
        <f>(P24/J24)^(1/6)-1</f>
        <v>1.2908199915483864E-2</v>
      </c>
    </row>
    <row r="25" spans="1:19" ht="17.100000000000001" customHeight="1" x14ac:dyDescent="0.2">
      <c r="A25" s="70" t="s">
        <v>4</v>
      </c>
      <c r="B25" s="66"/>
      <c r="C25" s="59">
        <f t="shared" ref="C25:P25" si="24">C24/B24-1</f>
        <v>6.1482392134593056E-4</v>
      </c>
      <c r="D25" s="59">
        <f t="shared" si="24"/>
        <v>1.3176229053618149E-2</v>
      </c>
      <c r="E25" s="59">
        <f t="shared" si="24"/>
        <v>3.4346996576812172E-2</v>
      </c>
      <c r="F25" s="59">
        <f t="shared" si="24"/>
        <v>9.4799160063665511E-3</v>
      </c>
      <c r="G25" s="59">
        <f t="shared" si="24"/>
        <v>5.7617829821842603E-2</v>
      </c>
      <c r="H25" s="59">
        <f t="shared" si="24"/>
        <v>4.2670481558041873E-2</v>
      </c>
      <c r="I25" s="59">
        <f t="shared" si="24"/>
        <v>5.5324951830397762E-3</v>
      </c>
      <c r="J25" s="59">
        <f t="shared" si="24"/>
        <v>7.3885583660735499E-3</v>
      </c>
      <c r="K25" s="59">
        <f t="shared" si="24"/>
        <v>1.1730720110885384E-2</v>
      </c>
      <c r="L25" s="59">
        <f t="shared" si="24"/>
        <v>1.3169017820106932E-2</v>
      </c>
      <c r="M25" s="59">
        <f t="shared" si="24"/>
        <v>1.4946324965661395E-2</v>
      </c>
      <c r="N25" s="59">
        <f t="shared" si="24"/>
        <v>1.3373936283304522E-2</v>
      </c>
      <c r="O25" s="59">
        <f t="shared" si="24"/>
        <v>1.2831910355439735E-2</v>
      </c>
      <c r="P25" s="59">
        <f t="shared" si="24"/>
        <v>1.1401288167938839E-2</v>
      </c>
      <c r="R25" s="109"/>
      <c r="S25" s="109"/>
    </row>
    <row r="26" spans="1:19" ht="17.100000000000001" customHeight="1" x14ac:dyDescent="0.2">
      <c r="R26" s="109"/>
      <c r="S26" s="109"/>
    </row>
    <row r="27" spans="1:19" x14ac:dyDescent="0.2">
      <c r="A27" s="71" t="s">
        <v>12</v>
      </c>
      <c r="R27" s="109"/>
      <c r="S27" s="109"/>
    </row>
    <row r="28" spans="1:19" x14ac:dyDescent="0.2">
      <c r="A28" s="72" t="s">
        <v>84</v>
      </c>
      <c r="B28" s="88">
        <f>B34/B18</f>
        <v>6.9345581439050397E-2</v>
      </c>
      <c r="C28" s="88">
        <f t="shared" ref="C28:P28" si="25">C34/C18</f>
        <v>8.0986550508974492E-2</v>
      </c>
      <c r="D28" s="88">
        <f t="shared" si="25"/>
        <v>9.45035629601748E-2</v>
      </c>
      <c r="E28" s="88">
        <f t="shared" si="25"/>
        <v>0.11065462369288524</v>
      </c>
      <c r="F28" s="88">
        <f t="shared" si="25"/>
        <v>0.12932042963523327</v>
      </c>
      <c r="G28" s="88">
        <f t="shared" si="25"/>
        <v>0.15169013734641987</v>
      </c>
      <c r="H28" s="88">
        <f t="shared" si="25"/>
        <v>0.17747193714034615</v>
      </c>
      <c r="I28" s="88">
        <f t="shared" si="25"/>
        <v>0.20707046157847508</v>
      </c>
      <c r="J28" s="88">
        <f t="shared" si="25"/>
        <v>0.24010650343665521</v>
      </c>
      <c r="K28" s="88">
        <f t="shared" si="25"/>
        <v>0.27648996046399982</v>
      </c>
      <c r="L28" s="88">
        <f t="shared" si="25"/>
        <v>0.31553956188786664</v>
      </c>
      <c r="M28" s="88">
        <f t="shared" si="25"/>
        <v>0.35596605652751023</v>
      </c>
      <c r="N28" s="88">
        <f t="shared" si="25"/>
        <v>0.39647506050612574</v>
      </c>
      <c r="O28" s="88">
        <f t="shared" si="25"/>
        <v>0.43652537787863499</v>
      </c>
      <c r="P28" s="88">
        <f t="shared" si="25"/>
        <v>0.4752686977922741</v>
      </c>
      <c r="R28" s="109"/>
      <c r="S28" s="109"/>
    </row>
    <row r="29" spans="1:19" x14ac:dyDescent="0.2">
      <c r="A29" s="72" t="s">
        <v>13</v>
      </c>
      <c r="B29" s="88">
        <f>B36/B20</f>
        <v>0.1148828364526254</v>
      </c>
      <c r="C29" s="88">
        <f t="shared" ref="C29:P29" si="26">C36/C20</f>
        <v>0.14059932001524073</v>
      </c>
      <c r="D29" s="88">
        <f t="shared" si="26"/>
        <v>0.17161049799339709</v>
      </c>
      <c r="E29" s="88">
        <f t="shared" si="26"/>
        <v>0.20958246158474908</v>
      </c>
      <c r="F29" s="88">
        <f t="shared" si="26"/>
        <v>0.25564667554551906</v>
      </c>
      <c r="G29" s="88">
        <f t="shared" si="26"/>
        <v>0.30822646806097714</v>
      </c>
      <c r="H29" s="88">
        <f t="shared" si="26"/>
        <v>0.36628783186151737</v>
      </c>
      <c r="I29" s="88">
        <f t="shared" si="26"/>
        <v>0.42772882826593256</v>
      </c>
      <c r="J29" s="88">
        <f t="shared" si="26"/>
        <v>0.49084657204134702</v>
      </c>
      <c r="K29" s="88">
        <f t="shared" si="26"/>
        <v>0.55262887997155319</v>
      </c>
      <c r="L29" s="88">
        <f t="shared" si="26"/>
        <v>0.61045258218882659</v>
      </c>
      <c r="M29" s="88">
        <f t="shared" si="26"/>
        <v>0.66285922684103382</v>
      </c>
      <c r="N29" s="88">
        <f t="shared" si="26"/>
        <v>0.70884717787754326</v>
      </c>
      <c r="O29" s="88">
        <f t="shared" si="26"/>
        <v>0.74855549178171199</v>
      </c>
      <c r="P29" s="88">
        <f t="shared" si="26"/>
        <v>0.78252852896606884</v>
      </c>
      <c r="R29" s="109"/>
      <c r="S29" s="109"/>
    </row>
    <row r="30" spans="1:19" x14ac:dyDescent="0.2">
      <c r="A30" s="72" t="s">
        <v>14</v>
      </c>
      <c r="B30" s="88">
        <f>B38/B22</f>
        <v>0.28914034185216353</v>
      </c>
      <c r="C30" s="88">
        <f t="shared" ref="C30:P30" si="27">C38/C22</f>
        <v>0.36528339357748441</v>
      </c>
      <c r="D30" s="88">
        <f t="shared" si="27"/>
        <v>0.44965654908584252</v>
      </c>
      <c r="E30" s="88">
        <f t="shared" si="27"/>
        <v>0.53705932591847427</v>
      </c>
      <c r="F30" s="88">
        <f t="shared" si="27"/>
        <v>0.62258107684968023</v>
      </c>
      <c r="G30" s="88">
        <f t="shared" si="27"/>
        <v>0.69883238174731344</v>
      </c>
      <c r="H30" s="88">
        <f t="shared" si="27"/>
        <v>0.7637952001927335</v>
      </c>
      <c r="I30" s="88">
        <f t="shared" si="27"/>
        <v>0.81625577003923244</v>
      </c>
      <c r="J30" s="88">
        <f t="shared" si="27"/>
        <v>0.85852760805510131</v>
      </c>
      <c r="K30" s="88">
        <f t="shared" si="27"/>
        <v>0.89126845957698764</v>
      </c>
      <c r="L30" s="88">
        <f t="shared" si="27"/>
        <v>0.91619669362515366</v>
      </c>
      <c r="M30" s="88">
        <f t="shared" si="27"/>
        <v>0.93500957573182752</v>
      </c>
      <c r="N30" s="88">
        <f t="shared" si="27"/>
        <v>0.94924133704367153</v>
      </c>
      <c r="O30" s="88">
        <f t="shared" si="27"/>
        <v>0.9599640301231388</v>
      </c>
      <c r="P30" s="88">
        <f t="shared" si="27"/>
        <v>0.96813843978306857</v>
      </c>
      <c r="R30" s="109"/>
      <c r="S30" s="109"/>
    </row>
    <row r="31" spans="1:19" x14ac:dyDescent="0.2">
      <c r="A31" s="73" t="s">
        <v>15</v>
      </c>
      <c r="B31" s="89">
        <f>B40/B24</f>
        <v>7.3254358584567761E-2</v>
      </c>
      <c r="C31" s="89">
        <f t="shared" ref="C31:P31" si="28">C40/C24</f>
        <v>8.6258168223212583E-2</v>
      </c>
      <c r="D31" s="89">
        <f t="shared" si="28"/>
        <v>0.101358098792829</v>
      </c>
      <c r="E31" s="89">
        <f t="shared" si="28"/>
        <v>0.11924053987083286</v>
      </c>
      <c r="F31" s="89">
        <f t="shared" si="28"/>
        <v>0.13970631944371945</v>
      </c>
      <c r="G31" s="89">
        <f>G40/G24</f>
        <v>0.16430235185742295</v>
      </c>
      <c r="H31" s="89">
        <f t="shared" si="28"/>
        <v>0.19221249164916493</v>
      </c>
      <c r="I31" s="89">
        <f t="shared" si="28"/>
        <v>0.2241898281889444</v>
      </c>
      <c r="J31" s="89">
        <f t="shared" si="28"/>
        <v>0.25945062855488354</v>
      </c>
      <c r="K31" s="89">
        <f t="shared" si="28"/>
        <v>0.29766938226047263</v>
      </c>
      <c r="L31" s="89">
        <f t="shared" si="28"/>
        <v>0.33804519469622046</v>
      </c>
      <c r="M31" s="89">
        <f t="shared" si="28"/>
        <v>0.37924613709197952</v>
      </c>
      <c r="N31" s="89">
        <f t="shared" si="28"/>
        <v>0.42004937834882672</v>
      </c>
      <c r="O31" s="89">
        <f t="shared" si="28"/>
        <v>0.45998171535601551</v>
      </c>
      <c r="P31" s="89">
        <f t="shared" si="28"/>
        <v>0.49825689464319273</v>
      </c>
      <c r="R31" s="109"/>
      <c r="S31" s="109"/>
    </row>
    <row r="32" spans="1:19" ht="17.100000000000001" customHeight="1" x14ac:dyDescent="0.2">
      <c r="R32" s="109"/>
      <c r="S32" s="109"/>
    </row>
    <row r="33" spans="1:19" x14ac:dyDescent="0.2">
      <c r="A33" s="67" t="s">
        <v>16</v>
      </c>
      <c r="R33" s="109"/>
      <c r="S33" s="109"/>
    </row>
    <row r="34" spans="1:19" x14ac:dyDescent="0.2">
      <c r="A34" s="68" t="s">
        <v>83</v>
      </c>
      <c r="B34" s="43">
        <f>Poland!B34+Austria!B34+'Czech Republic'!B34+Greece!B34+Hungary!B34+Slovakia!B34+Croatia!B34</f>
        <v>266.18993851010163</v>
      </c>
      <c r="C34" s="43">
        <f>Poland!C34+Austria!C34+'Czech Republic'!C34+Greece!C34+Hungary!C34+Slovakia!C34+Croatia!C34</f>
        <v>310.25070370293645</v>
      </c>
      <c r="D34" s="43">
        <f>Poland!D34+Austria!D34+'Czech Republic'!D34+Greece!D34+Hungary!D34+Slovakia!D34+Croatia!D34</f>
        <v>366.52892392861514</v>
      </c>
      <c r="E34" s="43">
        <f>Poland!E34+Austria!E34+'Czech Republic'!E34+Greece!E34+Hungary!E34+Slovakia!E34+Croatia!E34</f>
        <v>444.47369897670654</v>
      </c>
      <c r="F34" s="43">
        <f>Poland!F34+Austria!F34+'Czech Republic'!F34+Greece!F34+Hungary!F34+Slovakia!F34+Croatia!F34</f>
        <v>526.26455588661872</v>
      </c>
      <c r="G34" s="43">
        <f>Poland!G34+Austria!G34+'Czech Republic'!G34+Greece!G34+Hungary!G34+Slovakia!G34+Croatia!G34</f>
        <v>653.25013854674626</v>
      </c>
      <c r="H34" s="43">
        <f>Poland!H34+Austria!H34+'Czech Republic'!H34+Greece!H34+Hungary!H34+Slovakia!H34+Croatia!H34</f>
        <v>798.22395870035643</v>
      </c>
      <c r="I34" s="43">
        <f>Poland!I34+Austria!I34+'Czech Republic'!I34+Greece!I34+Hungary!I34+Slovakia!I34+Croatia!I34</f>
        <v>936.21625044073153</v>
      </c>
      <c r="J34" s="43">
        <f>Poland!J34+Austria!J34+'Czech Republic'!J34+Greece!J34+Hungary!J34+Slovakia!J34+Croatia!J34</f>
        <v>1093.3733629336421</v>
      </c>
      <c r="K34" s="43">
        <f>Poland!K34+Austria!K34+'Czech Republic'!K34+Greece!K34+Hungary!K34+Slovakia!K34+Croatia!K34</f>
        <v>1273.7246324944317</v>
      </c>
      <c r="L34" s="43">
        <f>Poland!L34+Austria!L34+'Czech Republic'!L34+Greece!L34+Hungary!L34+Slovakia!L34+Croatia!L34</f>
        <v>1472.7028000216621</v>
      </c>
      <c r="M34" s="43">
        <f>Poland!M34+Austria!M34+'Czech Republic'!M34+Greece!M34+Hungary!M34+Slovakia!M34+Croatia!M34</f>
        <v>1686.4296610870581</v>
      </c>
      <c r="N34" s="43">
        <f>Poland!N34+Austria!N34+'Czech Republic'!N34+Greece!N34+Hungary!N34+Slovakia!N34+Croatia!N34</f>
        <v>1903.7248722678628</v>
      </c>
      <c r="O34" s="43">
        <f>Poland!O34+Austria!O34+'Czech Republic'!O34+Greece!O34+Hungary!O34+Slovakia!O34+Croatia!O34</f>
        <v>2123.1306420070141</v>
      </c>
      <c r="P34" s="43">
        <f>Poland!P34+Austria!P34+'Czech Republic'!P34+Greece!P34+Hungary!P34+Slovakia!P34+Croatia!P34</f>
        <v>2338.4028381780186</v>
      </c>
      <c r="R34" s="57">
        <f>(J34/D34)^(1/6)-1</f>
        <v>0.19980326536636572</v>
      </c>
      <c r="S34" s="57">
        <f>(P34/J34)^(1/6)-1</f>
        <v>0.13507652001236448</v>
      </c>
    </row>
    <row r="35" spans="1:19" x14ac:dyDescent="0.2">
      <c r="A35" s="62" t="s">
        <v>4</v>
      </c>
      <c r="B35" s="43"/>
      <c r="C35" s="63">
        <f t="shared" ref="C35:P35" si="29">C34/B34-1</f>
        <v>0.16552378140003499</v>
      </c>
      <c r="D35" s="63">
        <f t="shared" si="29"/>
        <v>0.18139594706468354</v>
      </c>
      <c r="E35" s="63">
        <f t="shared" si="29"/>
        <v>0.21265654620826546</v>
      </c>
      <c r="F35" s="63">
        <f t="shared" si="29"/>
        <v>0.18401731553119083</v>
      </c>
      <c r="G35" s="63">
        <f t="shared" si="29"/>
        <v>0.2412960957368484</v>
      </c>
      <c r="H35" s="63">
        <f t="shared" si="29"/>
        <v>0.22192696426536762</v>
      </c>
      <c r="I35" s="63">
        <f t="shared" si="29"/>
        <v>0.17287415422239372</v>
      </c>
      <c r="J35" s="63">
        <f t="shared" si="29"/>
        <v>0.16786411517523603</v>
      </c>
      <c r="K35" s="63">
        <f t="shared" si="29"/>
        <v>0.16494939027679179</v>
      </c>
      <c r="L35" s="63">
        <f t="shared" si="29"/>
        <v>0.15621757046305706</v>
      </c>
      <c r="M35" s="63">
        <f t="shared" si="29"/>
        <v>0.14512558885761084</v>
      </c>
      <c r="N35" s="63">
        <f t="shared" si="29"/>
        <v>0.12884925840354233</v>
      </c>
      <c r="O35" s="63">
        <f t="shared" si="29"/>
        <v>0.11525077648314719</v>
      </c>
      <c r="P35" s="63">
        <f t="shared" si="29"/>
        <v>0.10139375877854873</v>
      </c>
      <c r="R35" s="109"/>
      <c r="S35" s="109"/>
    </row>
    <row r="36" spans="1:19" x14ac:dyDescent="0.2">
      <c r="A36" s="68" t="s">
        <v>17</v>
      </c>
      <c r="B36" s="43">
        <f>Poland!B36+Austria!B36+'Czech Republic'!B36+Greece!B36+Hungary!B36+Slovakia!B36+Croatia!B36</f>
        <v>35.624136035001925</v>
      </c>
      <c r="C36" s="43">
        <f>Poland!C36+Austria!C36+'Czech Republic'!C36+Greece!C36+Hungary!C36+Slovakia!C36+Croatia!C36</f>
        <v>44.993018342777852</v>
      </c>
      <c r="D36" s="43">
        <f>Poland!D36+Austria!D36+'Czech Republic'!D36+Greece!D36+Hungary!D36+Slovakia!D36+Croatia!D36</f>
        <v>56.10406913288427</v>
      </c>
      <c r="E36" s="43">
        <f>Poland!E36+Austria!E36+'Czech Republic'!E36+Greece!E36+Hungary!E36+Slovakia!E36+Croatia!E36</f>
        <v>69.864252356526606</v>
      </c>
      <c r="F36" s="43">
        <f>Poland!F36+Austria!F36+'Czech Republic'!F36+Greece!F36+Hungary!F36+Slovakia!F36+Croatia!F36</f>
        <v>82.399485873030173</v>
      </c>
      <c r="G36" s="43">
        <f>Poland!G36+Austria!G36+'Czech Republic'!G36+Greece!G36+Hungary!G36+Slovakia!G36+Croatia!G36</f>
        <v>104.37700022375714</v>
      </c>
      <c r="H36" s="43">
        <f>Poland!H36+Austria!H36+'Czech Republic'!H36+Greece!H36+Hungary!H36+Slovakia!H36+Croatia!H36</f>
        <v>126.64878904533992</v>
      </c>
      <c r="I36" s="43">
        <f>Poland!I36+Austria!I36+'Czech Republic'!I36+Greece!I36+Hungary!I36+Slovakia!I36+Croatia!I36</f>
        <v>149.31663388883018</v>
      </c>
      <c r="J36" s="43">
        <f>Poland!J36+Austria!J36+'Czech Republic'!J36+Greece!J36+Hungary!J36+Slovakia!J36+Croatia!J36</f>
        <v>173.05163546114457</v>
      </c>
      <c r="K36" s="43">
        <f>Poland!K36+Austria!K36+'Czech Republic'!K36+Greece!K36+Hungary!K36+Slovakia!K36+Croatia!K36</f>
        <v>197.29301270971561</v>
      </c>
      <c r="L36" s="43">
        <f>Poland!L36+Austria!L36+'Czech Republic'!L36+Greece!L36+Hungary!L36+Slovakia!L36+Croatia!L36</f>
        <v>220.92004869697871</v>
      </c>
      <c r="M36" s="43">
        <f>Poland!M36+Austria!M36+'Czech Republic'!M36+Greece!M36+Hungary!M36+Slovakia!M36+Croatia!M36</f>
        <v>243.09233590208373</v>
      </c>
      <c r="N36" s="43">
        <f>Poland!N36+Austria!N36+'Czech Republic'!N36+Greece!N36+Hungary!N36+Slovakia!N36+Croatia!N36</f>
        <v>262.99110117109245</v>
      </c>
      <c r="O36" s="43">
        <f>Poland!O36+Austria!O36+'Czech Republic'!O36+Greece!O36+Hungary!O36+Slovakia!O36+Croatia!O36</f>
        <v>280.96144875396942</v>
      </c>
      <c r="P36" s="43">
        <f>Poland!P36+Austria!P36+'Czech Republic'!P36+Greece!P36+Hungary!P36+Slovakia!P36+Croatia!P36</f>
        <v>296.29898492625244</v>
      </c>
      <c r="R36" s="57">
        <f>(J36/D36)^(1/6)-1</f>
        <v>0.2065080515802773</v>
      </c>
      <c r="S36" s="57">
        <f>(P36/J36)^(1/6)-1</f>
        <v>9.3769333253315379E-2</v>
      </c>
    </row>
    <row r="37" spans="1:19" x14ac:dyDescent="0.2">
      <c r="A37" s="62" t="s">
        <v>4</v>
      </c>
      <c r="B37" s="43"/>
      <c r="C37" s="63">
        <f t="shared" ref="C37:P37" si="30">C36/B36-1</f>
        <v>0.26299254804581595</v>
      </c>
      <c r="D37" s="63">
        <f t="shared" si="30"/>
        <v>0.24695055364939589</v>
      </c>
      <c r="E37" s="63">
        <f t="shared" si="30"/>
        <v>0.2452617686437486</v>
      </c>
      <c r="F37" s="63">
        <f t="shared" si="30"/>
        <v>0.17942271038033297</v>
      </c>
      <c r="G37" s="63">
        <f t="shared" si="30"/>
        <v>0.26671907133731687</v>
      </c>
      <c r="H37" s="63">
        <f t="shared" si="30"/>
        <v>0.21337831872766855</v>
      </c>
      <c r="I37" s="63">
        <f t="shared" si="30"/>
        <v>0.17898193116852656</v>
      </c>
      <c r="J37" s="63">
        <f t="shared" si="30"/>
        <v>0.15895751835649907</v>
      </c>
      <c r="K37" s="63">
        <f t="shared" si="30"/>
        <v>0.14008175758624364</v>
      </c>
      <c r="L37" s="63">
        <f t="shared" si="30"/>
        <v>0.11975607074350081</v>
      </c>
      <c r="M37" s="63">
        <f t="shared" si="30"/>
        <v>0.10036339995342503</v>
      </c>
      <c r="N37" s="63">
        <f t="shared" si="30"/>
        <v>8.1856818707044088E-2</v>
      </c>
      <c r="O37" s="63">
        <f t="shared" si="30"/>
        <v>6.833062983065008E-2</v>
      </c>
      <c r="P37" s="63">
        <f t="shared" si="30"/>
        <v>5.4589468556284659E-2</v>
      </c>
      <c r="R37" s="109"/>
      <c r="S37" s="109"/>
    </row>
    <row r="38" spans="1:19" x14ac:dyDescent="0.2">
      <c r="A38" s="68" t="s">
        <v>18</v>
      </c>
      <c r="B38" s="43">
        <f>Poland!B38+Austria!B38+'Czech Republic'!B38+Greece!B38+Hungary!B38+Slovakia!B38+Croatia!B38</f>
        <v>2.8066972529820422</v>
      </c>
      <c r="C38" s="43">
        <f>Poland!C38+Austria!C38+'Czech Republic'!C38+Greece!C38+Hungary!C38+Slovakia!C38+Croatia!C38</f>
        <v>3.6725993545598969</v>
      </c>
      <c r="D38" s="43">
        <f>Poland!D38+Austria!D38+'Czech Republic'!D38+Greece!D38+Hungary!D38+Slovakia!D38+Croatia!D38</f>
        <v>4.670481609023458</v>
      </c>
      <c r="E38" s="43">
        <f>Poland!E38+Austria!E38+'Czech Republic'!E38+Greece!E38+Hungary!E38+Slovakia!E38+Croatia!E38</f>
        <v>5.6199234513515925</v>
      </c>
      <c r="F38" s="43">
        <f>Poland!F38+Austria!F38+'Czech Republic'!F38+Greece!F38+Hungary!F38+Slovakia!F38+Croatia!F38</f>
        <v>6.3116654199432602</v>
      </c>
      <c r="G38" s="43">
        <f>Poland!G38+Austria!G38+'Czech Republic'!G38+Greece!G38+Hungary!G38+Slovakia!G38+Croatia!G38</f>
        <v>7.2901077776986458</v>
      </c>
      <c r="H38" s="43">
        <f>Poland!H38+Austria!H38+'Czech Republic'!H38+Greece!H38+Hungary!H38+Slovakia!H38+Croatia!H38</f>
        <v>8.1653133835803846</v>
      </c>
      <c r="I38" s="43">
        <f>Poland!I38+Austria!I38+'Czech Republic'!I38+Greece!I38+Hungary!I38+Slovakia!I38+Croatia!I38</f>
        <v>8.7504013916221979</v>
      </c>
      <c r="J38" s="43">
        <f>Poland!J38+Austria!J38+'Czech Republic'!J38+Greece!J38+Hungary!J38+Slovakia!J38+Croatia!J38</f>
        <v>9.3250772611187625</v>
      </c>
      <c r="K38" s="43">
        <f>Poland!K38+Austria!K38+'Czech Republic'!K38+Greece!K38+Hungary!K38+Slovakia!K38+Croatia!K38</f>
        <v>9.8286353267449744</v>
      </c>
      <c r="L38" s="43">
        <f>Poland!L38+Austria!L38+'Czech Republic'!L38+Greece!L38+Hungary!L38+Slovakia!L38+Croatia!L38</f>
        <v>10.231552086591982</v>
      </c>
      <c r="M38" s="43">
        <f>Poland!M38+Austria!M38+'Czech Republic'!M38+Greece!M38+Hungary!M38+Slovakia!M38+Croatia!M38</f>
        <v>10.568349547496783</v>
      </c>
      <c r="N38" s="43">
        <f>Poland!N38+Austria!N38+'Czech Republic'!N38+Greece!N38+Hungary!N38+Slovakia!N38+Croatia!N38</f>
        <v>10.847711989956961</v>
      </c>
      <c r="O38" s="43">
        <f>Poland!O38+Austria!O38+'Czech Republic'!O38+Greece!O38+Hungary!O38+Slovakia!O38+Croatia!O38</f>
        <v>11.082123555294716</v>
      </c>
      <c r="P38" s="43">
        <f>Poland!P38+Austria!P38+'Czech Republic'!P38+Greece!P38+Hungary!P38+Slovakia!P38+Croatia!P38</f>
        <v>11.266948466595272</v>
      </c>
      <c r="R38" s="57">
        <f>(J38/D38)^(1/6)-1</f>
        <v>0.12214366514633834</v>
      </c>
      <c r="S38" s="57">
        <f>(P38/J38)^(1/6)-1</f>
        <v>3.2029975238170971E-2</v>
      </c>
    </row>
    <row r="39" spans="1:19" x14ac:dyDescent="0.2">
      <c r="A39" s="62" t="s">
        <v>4</v>
      </c>
      <c r="B39" s="75"/>
      <c r="C39" s="63">
        <f t="shared" ref="C39:P39" si="31">C38/B38-1</f>
        <v>0.30851282611897535</v>
      </c>
      <c r="D39" s="63">
        <f t="shared" si="31"/>
        <v>0.27171007728479579</v>
      </c>
      <c r="E39" s="63">
        <f t="shared" si="31"/>
        <v>0.20328563985645398</v>
      </c>
      <c r="F39" s="63">
        <f t="shared" si="31"/>
        <v>0.12308743607981065</v>
      </c>
      <c r="G39" s="63">
        <f t="shared" si="31"/>
        <v>0.15502126501568925</v>
      </c>
      <c r="H39" s="63">
        <f t="shared" si="31"/>
        <v>0.12005386375207006</v>
      </c>
      <c r="I39" s="63">
        <f t="shared" si="31"/>
        <v>7.1655303422691219E-2</v>
      </c>
      <c r="J39" s="63">
        <f t="shared" si="31"/>
        <v>6.5674229532689754E-2</v>
      </c>
      <c r="K39" s="63">
        <f t="shared" si="31"/>
        <v>5.4000417532819256E-2</v>
      </c>
      <c r="L39" s="63">
        <f t="shared" si="31"/>
        <v>4.0994171261051759E-2</v>
      </c>
      <c r="M39" s="63">
        <f t="shared" si="31"/>
        <v>3.291753372845152E-2</v>
      </c>
      <c r="N39" s="63">
        <f t="shared" si="31"/>
        <v>2.643387609433745E-2</v>
      </c>
      <c r="O39" s="63">
        <f t="shared" si="31"/>
        <v>2.1609309461274151E-2</v>
      </c>
      <c r="P39" s="63">
        <f t="shared" si="31"/>
        <v>1.6677752271788471E-2</v>
      </c>
      <c r="R39" s="109"/>
      <c r="S39" s="109"/>
    </row>
    <row r="40" spans="1:19" x14ac:dyDescent="0.2">
      <c r="A40" s="73" t="s">
        <v>19</v>
      </c>
      <c r="B40" s="56">
        <f t="shared" ref="B40:P40" si="32">B38+B36+B34</f>
        <v>304.62077179808557</v>
      </c>
      <c r="C40" s="56">
        <f t="shared" si="32"/>
        <v>358.91632140027423</v>
      </c>
      <c r="D40" s="56">
        <f t="shared" si="32"/>
        <v>427.30347467052286</v>
      </c>
      <c r="E40" s="56">
        <f t="shared" si="32"/>
        <v>519.95787478458476</v>
      </c>
      <c r="F40" s="56">
        <f t="shared" si="32"/>
        <v>614.97570717959218</v>
      </c>
      <c r="G40" s="56">
        <f t="shared" si="32"/>
        <v>764.917246548202</v>
      </c>
      <c r="H40" s="56">
        <f t="shared" si="32"/>
        <v>933.03806112927668</v>
      </c>
      <c r="I40" s="56">
        <f t="shared" si="32"/>
        <v>1094.2832857211838</v>
      </c>
      <c r="J40" s="56">
        <f t="shared" si="32"/>
        <v>1275.7500756559054</v>
      </c>
      <c r="K40" s="56">
        <f t="shared" si="32"/>
        <v>1480.8462805308923</v>
      </c>
      <c r="L40" s="56">
        <f t="shared" si="32"/>
        <v>1703.8544008052329</v>
      </c>
      <c r="M40" s="56">
        <f t="shared" si="32"/>
        <v>1940.0903465366387</v>
      </c>
      <c r="N40" s="56">
        <f t="shared" si="32"/>
        <v>2177.5636854289123</v>
      </c>
      <c r="O40" s="56">
        <f t="shared" si="32"/>
        <v>2415.1742143162783</v>
      </c>
      <c r="P40" s="56">
        <f t="shared" si="32"/>
        <v>2645.9687715708665</v>
      </c>
      <c r="R40" s="57">
        <f>(J40/D40)^(1/6)-1</f>
        <v>0.19997315313590924</v>
      </c>
      <c r="S40" s="57">
        <f>(P40/J40)^(1/6)-1</f>
        <v>0.12928402668126515</v>
      </c>
    </row>
    <row r="41" spans="1:19" x14ac:dyDescent="0.2">
      <c r="A41" s="74" t="s">
        <v>4</v>
      </c>
      <c r="B41" s="66"/>
      <c r="C41" s="59">
        <f t="shared" ref="C41:P41" si="33">C40/B40-1</f>
        <v>0.17823981365977848</v>
      </c>
      <c r="D41" s="59">
        <f t="shared" si="33"/>
        <v>0.19053787524469024</v>
      </c>
      <c r="E41" s="59">
        <f t="shared" si="33"/>
        <v>0.2168351197834375</v>
      </c>
      <c r="F41" s="59">
        <f t="shared" si="33"/>
        <v>0.18274140464623745</v>
      </c>
      <c r="G41" s="59">
        <f t="shared" si="33"/>
        <v>0.24381701198616978</v>
      </c>
      <c r="H41" s="59">
        <f t="shared" si="33"/>
        <v>0.21978954630679826</v>
      </c>
      <c r="I41" s="59">
        <f t="shared" si="33"/>
        <v>0.1728174136827263</v>
      </c>
      <c r="J41" s="59">
        <f t="shared" si="33"/>
        <v>0.16583163820794966</v>
      </c>
      <c r="K41" s="59">
        <f t="shared" si="33"/>
        <v>0.16076519123037492</v>
      </c>
      <c r="L41" s="59">
        <f t="shared" si="33"/>
        <v>0.15059505041562504</v>
      </c>
      <c r="M41" s="59">
        <f t="shared" si="33"/>
        <v>0.13864796523679601</v>
      </c>
      <c r="N41" s="59">
        <f t="shared" si="33"/>
        <v>0.12240323720810231</v>
      </c>
      <c r="O41" s="59">
        <f t="shared" si="33"/>
        <v>0.10911760261127057</v>
      </c>
      <c r="P41" s="59">
        <f t="shared" si="33"/>
        <v>9.5560210889351849E-2</v>
      </c>
      <c r="R41" s="109"/>
      <c r="S41" s="109"/>
    </row>
    <row r="42" spans="1:19" ht="17.100000000000001" customHeight="1" x14ac:dyDescent="0.2">
      <c r="R42" s="109"/>
      <c r="S42" s="109"/>
    </row>
    <row r="43" spans="1:19" x14ac:dyDescent="0.2">
      <c r="A43" s="76" t="s">
        <v>20</v>
      </c>
      <c r="B43" s="56">
        <f t="shared" ref="B43:P43" si="34">B55+B111</f>
        <v>604.40325924509091</v>
      </c>
      <c r="C43" s="56">
        <f t="shared" si="34"/>
        <v>766.58843733988431</v>
      </c>
      <c r="D43" s="56">
        <f t="shared" si="34"/>
        <v>982.41971277690959</v>
      </c>
      <c r="E43" s="56">
        <f t="shared" si="34"/>
        <v>1269.0813077356881</v>
      </c>
      <c r="F43" s="56">
        <f t="shared" si="34"/>
        <v>1571.7157187860689</v>
      </c>
      <c r="G43" s="56">
        <f t="shared" si="34"/>
        <v>1986.9813026591517</v>
      </c>
      <c r="H43" s="56">
        <f t="shared" si="34"/>
        <v>2520.7642817629894</v>
      </c>
      <c r="I43" s="56">
        <f t="shared" si="34"/>
        <v>3147.4379818532452</v>
      </c>
      <c r="J43" s="56">
        <f t="shared" si="34"/>
        <v>3877.9671428623219</v>
      </c>
      <c r="K43" s="56">
        <f t="shared" si="34"/>
        <v>4654.9811386463471</v>
      </c>
      <c r="L43" s="56">
        <f t="shared" si="34"/>
        <v>5602.730578297409</v>
      </c>
      <c r="M43" s="56">
        <f t="shared" si="34"/>
        <v>6644.5989713168874</v>
      </c>
      <c r="N43" s="56">
        <f t="shared" si="34"/>
        <v>7763.9216256181999</v>
      </c>
      <c r="O43" s="56">
        <f t="shared" si="34"/>
        <v>9029.2120599605987</v>
      </c>
      <c r="P43" s="56">
        <f t="shared" si="34"/>
        <v>10331.792638191215</v>
      </c>
      <c r="R43" s="57">
        <f>(J43/D43)^(1/6)-1</f>
        <v>0.2571425020760707</v>
      </c>
      <c r="S43" s="57">
        <f>(P43/J43)^(1/6)-1</f>
        <v>0.17741236579003572</v>
      </c>
    </row>
    <row r="44" spans="1:19" x14ac:dyDescent="0.2">
      <c r="A44" s="58" t="s">
        <v>4</v>
      </c>
      <c r="B44" s="66"/>
      <c r="C44" s="59">
        <f t="shared" ref="C44:P44" si="35">C43/B43-1</f>
        <v>0.26833935061396796</v>
      </c>
      <c r="D44" s="59">
        <f t="shared" si="35"/>
        <v>0.28154778356163956</v>
      </c>
      <c r="E44" s="59">
        <f t="shared" si="35"/>
        <v>0.29179137107143371</v>
      </c>
      <c r="F44" s="59">
        <f t="shared" si="35"/>
        <v>0.23846731427346057</v>
      </c>
      <c r="G44" s="59">
        <f t="shared" si="35"/>
        <v>0.26421163758151978</v>
      </c>
      <c r="H44" s="59">
        <f t="shared" si="35"/>
        <v>0.26864016203347396</v>
      </c>
      <c r="I44" s="59">
        <f t="shared" si="35"/>
        <v>0.24860464130821791</v>
      </c>
      <c r="J44" s="59">
        <f t="shared" si="35"/>
        <v>0.23210279764716235</v>
      </c>
      <c r="K44" s="59">
        <f t="shared" si="35"/>
        <v>0.20036631749554035</v>
      </c>
      <c r="L44" s="59">
        <f t="shared" si="35"/>
        <v>0.20359898599431592</v>
      </c>
      <c r="M44" s="59">
        <f t="shared" si="35"/>
        <v>0.18595725396028007</v>
      </c>
      <c r="N44" s="59">
        <f t="shared" si="35"/>
        <v>0.16845601354320339</v>
      </c>
      <c r="O44" s="59">
        <f t="shared" si="35"/>
        <v>0.16297053156324859</v>
      </c>
      <c r="P44" s="59">
        <f t="shared" si="35"/>
        <v>0.14426292898876714</v>
      </c>
      <c r="R44" s="109"/>
      <c r="S44" s="109"/>
    </row>
    <row r="45" spans="1:19" x14ac:dyDescent="0.2">
      <c r="A45" s="58"/>
      <c r="B45" s="66"/>
      <c r="C45" s="59"/>
      <c r="D45" s="59"/>
      <c r="E45" s="59"/>
      <c r="F45" s="59"/>
      <c r="G45" s="59"/>
      <c r="H45" s="59"/>
      <c r="I45" s="59"/>
      <c r="J45" s="59"/>
      <c r="K45" s="59"/>
      <c r="L45" s="59"/>
      <c r="M45" s="59"/>
      <c r="N45" s="59"/>
      <c r="O45" s="59"/>
      <c r="P45" s="59"/>
      <c r="R45" s="109"/>
      <c r="S45" s="109"/>
    </row>
    <row r="46" spans="1:19" x14ac:dyDescent="0.2">
      <c r="A46" s="67" t="s">
        <v>21</v>
      </c>
      <c r="R46" s="109"/>
      <c r="S46" s="109"/>
    </row>
    <row r="47" spans="1:19" x14ac:dyDescent="0.2">
      <c r="A47" s="68" t="s">
        <v>82</v>
      </c>
      <c r="B47" s="43">
        <f>Poland!B47+Austria!B47+'Czech Republic'!B47+Greece!B47+Hungary!B47+Slovakia!B47+Croatia!B47</f>
        <v>25.879968411915279</v>
      </c>
      <c r="C47" s="43">
        <f>Poland!C47+Austria!C47+'Czech Republic'!C47+Greece!C47+Hungary!C47+Slovakia!C47+Croatia!C47</f>
        <v>34.085920533476369</v>
      </c>
      <c r="D47" s="43">
        <f>Poland!D47+Austria!D47+'Czech Republic'!D47+Greece!D47+Hungary!D47+Slovakia!D47+Croatia!D47</f>
        <v>46.673206452729872</v>
      </c>
      <c r="E47" s="43">
        <f>Poland!E47+Austria!E47+'Czech Republic'!E47+Greece!E47+Hungary!E47+Slovakia!E47+Croatia!E47</f>
        <v>62.866762624608782</v>
      </c>
      <c r="F47" s="43">
        <f>Poland!F47+Austria!F47+'Czech Republic'!F47+Greece!F47+Hungary!F47+Slovakia!F47+Croatia!F47</f>
        <v>84.479820855303402</v>
      </c>
      <c r="G47" s="43">
        <f>Poland!G47+Austria!G47+'Czech Republic'!G47+Greece!G47+Hungary!G47+Slovakia!G47+Croatia!G47</f>
        <v>113.68498069249566</v>
      </c>
      <c r="H47" s="43">
        <f>Poland!H47+Austria!H47+'Czech Republic'!H47+Greece!H47+Hungary!H47+Slovakia!H47+Croatia!H47</f>
        <v>155.24630524886786</v>
      </c>
      <c r="I47" s="43">
        <f>Poland!I47+Austria!I47+'Czech Republic'!I47+Greece!I47+Hungary!I47+Slovakia!I47+Croatia!I47</f>
        <v>202.16869605552057</v>
      </c>
      <c r="J47" s="43">
        <f>Poland!J47+Austria!J47+'Czech Republic'!J47+Greece!J47+Hungary!J47+Slovakia!J47+Croatia!J47</f>
        <v>260.02055069281425</v>
      </c>
      <c r="K47" s="43">
        <f>Poland!K47+Austria!K47+'Czech Republic'!K47+Greece!K47+Hungary!K47+Slovakia!K47+Croatia!K47</f>
        <v>333.39901752490942</v>
      </c>
      <c r="L47" s="43">
        <f>Poland!L47+Austria!L47+'Czech Republic'!L47+Greece!L47+Hungary!L47+Slovakia!L47+Croatia!L47</f>
        <v>420.35122327492724</v>
      </c>
      <c r="M47" s="43">
        <f>Poland!M47+Austria!M47+'Czech Republic'!M47+Greece!M47+Hungary!M47+Slovakia!M47+Croatia!M47</f>
        <v>518.82936595448541</v>
      </c>
      <c r="N47" s="43">
        <f>Poland!N47+Austria!N47+'Czech Republic'!N47+Greece!N47+Hungary!N47+Slovakia!N47+Croatia!N47</f>
        <v>634.28700222235307</v>
      </c>
      <c r="O47" s="43">
        <f>Poland!O47+Austria!O47+'Czech Republic'!O47+Greece!O47+Hungary!O47+Slovakia!O47+Croatia!O47</f>
        <v>772.22591161902983</v>
      </c>
      <c r="P47" s="43">
        <f>Poland!P47+Austria!P47+'Czech Republic'!P47+Greece!P47+Hungary!P47+Slovakia!P47+Croatia!P47</f>
        <v>921.32626711855846</v>
      </c>
      <c r="R47" s="57">
        <f>(J47/D47)^(1/6)-1</f>
        <v>0.33144533172767554</v>
      </c>
      <c r="S47" s="57">
        <f>(P47/J47)^(1/6)-1</f>
        <v>0.2347175748591992</v>
      </c>
    </row>
    <row r="48" spans="1:19" x14ac:dyDescent="0.2">
      <c r="A48" s="62" t="s">
        <v>4</v>
      </c>
      <c r="B48" s="43"/>
      <c r="C48" s="63">
        <f t="shared" ref="C48:P48" si="36">C47/B47-1</f>
        <v>0.31707736234264594</v>
      </c>
      <c r="D48" s="63">
        <f t="shared" si="36"/>
        <v>0.36928109090940686</v>
      </c>
      <c r="E48" s="63">
        <f t="shared" si="36"/>
        <v>0.34695615327563956</v>
      </c>
      <c r="F48" s="63">
        <f t="shared" si="36"/>
        <v>0.34379149376198881</v>
      </c>
      <c r="G48" s="63">
        <f t="shared" si="36"/>
        <v>0.34570575010113602</v>
      </c>
      <c r="H48" s="63">
        <f t="shared" si="36"/>
        <v>0.36558324858048441</v>
      </c>
      <c r="I48" s="63">
        <f t="shared" si="36"/>
        <v>0.30224481498244793</v>
      </c>
      <c r="J48" s="63">
        <f t="shared" si="36"/>
        <v>0.28615634252993405</v>
      </c>
      <c r="K48" s="63">
        <f t="shared" si="36"/>
        <v>0.28220256682243461</v>
      </c>
      <c r="L48" s="63">
        <f t="shared" si="36"/>
        <v>0.2608052249089825</v>
      </c>
      <c r="M48" s="63">
        <f t="shared" si="36"/>
        <v>0.2342758560622753</v>
      </c>
      <c r="N48" s="63">
        <f t="shared" si="36"/>
        <v>0.22253489074478527</v>
      </c>
      <c r="O48" s="63">
        <f t="shared" si="36"/>
        <v>0.21747081197215112</v>
      </c>
      <c r="P48" s="63">
        <f t="shared" si="36"/>
        <v>0.19307867459009298</v>
      </c>
      <c r="R48" s="109"/>
      <c r="S48" s="109"/>
    </row>
    <row r="49" spans="1:19" x14ac:dyDescent="0.2">
      <c r="A49" s="68" t="s">
        <v>10</v>
      </c>
      <c r="B49" s="43">
        <f>Poland!B49+Austria!B49+'Czech Republic'!B49+Greece!B49+Hungary!B49+Slovakia!B49+Croatia!B49</f>
        <v>341.41785562599074</v>
      </c>
      <c r="C49" s="43">
        <f>Poland!C49+Austria!C49+'Czech Republic'!C49+Greece!C49+Hungary!C49+Slovakia!C49+Croatia!C49</f>
        <v>419.18140572377246</v>
      </c>
      <c r="D49" s="43">
        <f>Poland!D49+Austria!D49+'Czech Republic'!D49+Greece!D49+Hungary!D49+Slovakia!D49+Croatia!D49</f>
        <v>522.90789819568613</v>
      </c>
      <c r="E49" s="43">
        <f>Poland!E49+Austria!E49+'Czech Republic'!E49+Greece!E49+Hungary!E49+Slovakia!E49+Croatia!E49</f>
        <v>662.46660258242355</v>
      </c>
      <c r="F49" s="43">
        <f>Poland!F49+Austria!F49+'Czech Republic'!F49+Greece!F49+Hungary!F49+Slovakia!F49+Croatia!F49</f>
        <v>808.7764258101447</v>
      </c>
      <c r="G49" s="43">
        <f>Poland!G49+Austria!G49+'Czech Republic'!G49+Greece!G49+Hungary!G49+Slovakia!G49+Croatia!G49</f>
        <v>999.28781165043688</v>
      </c>
      <c r="H49" s="43">
        <f>Poland!H49+Austria!H49+'Czech Republic'!H49+Greece!H49+Hungary!H49+Slovakia!H49+Croatia!H49</f>
        <v>1237.3657596527246</v>
      </c>
      <c r="I49" s="43">
        <f>Poland!I49+Austria!I49+'Czech Republic'!I49+Greece!I49+Hungary!I49+Slovakia!I49+Croatia!I49</f>
        <v>1511.5318892820449</v>
      </c>
      <c r="J49" s="43">
        <f>Poland!J49+Austria!J49+'Czech Republic'!J49+Greece!J49+Hungary!J49+Slovakia!J49+Croatia!J49</f>
        <v>1820.0972868635326</v>
      </c>
      <c r="K49" s="43">
        <f>Poland!K49+Austria!K49+'Czech Republic'!K49+Greece!K49+Hungary!K49+Slovakia!K49+Croatia!K49</f>
        <v>2116.0109843791729</v>
      </c>
      <c r="L49" s="43">
        <f>Poland!L49+Austria!L49+'Czech Republic'!L49+Greece!L49+Hungary!L49+Slovakia!L49+Croatia!L49</f>
        <v>2486.3735265494638</v>
      </c>
      <c r="M49" s="43">
        <f>Poland!M49+Austria!M49+'Czech Republic'!M49+Greece!M49+Hungary!M49+Slovakia!M49+Croatia!M49</f>
        <v>2884.823722069174</v>
      </c>
      <c r="N49" s="43">
        <f>Poland!N49+Austria!N49+'Czech Republic'!N49+Greece!N49+Hungary!N49+Slovakia!N49+Croatia!N49</f>
        <v>3291.0347856112694</v>
      </c>
      <c r="O49" s="43">
        <f>Poland!O49+Austria!O49+'Czech Republic'!O49+Greece!O49+Hungary!O49+Slovakia!O49+Croatia!O49</f>
        <v>3728.0830426652296</v>
      </c>
      <c r="P49" s="43">
        <f>Poland!P49+Austria!P49+'Czech Republic'!P49+Greece!P49+Hungary!P49+Slovakia!P49+Croatia!P49</f>
        <v>4157.1798085968421</v>
      </c>
      <c r="R49" s="57">
        <f>(J49/D49)^(1/6)-1</f>
        <v>0.23105720263035479</v>
      </c>
      <c r="S49" s="57">
        <f>(P49/J49)^(1/6)-1</f>
        <v>0.14758281080546354</v>
      </c>
    </row>
    <row r="50" spans="1:19" x14ac:dyDescent="0.2">
      <c r="A50" s="62" t="s">
        <v>4</v>
      </c>
      <c r="B50" s="43"/>
      <c r="C50" s="63">
        <f t="shared" ref="C50:P50" si="37">C49/B49-1</f>
        <v>0.22776650024704193</v>
      </c>
      <c r="D50" s="63">
        <f t="shared" si="37"/>
        <v>0.24745012792925802</v>
      </c>
      <c r="E50" s="63">
        <f t="shared" si="37"/>
        <v>0.26688964704547424</v>
      </c>
      <c r="F50" s="63">
        <f t="shared" si="37"/>
        <v>0.22085614981551838</v>
      </c>
      <c r="G50" s="63">
        <f t="shared" si="37"/>
        <v>0.23555506782910807</v>
      </c>
      <c r="H50" s="63">
        <f t="shared" si="37"/>
        <v>0.23824762518525566</v>
      </c>
      <c r="I50" s="63">
        <f t="shared" si="37"/>
        <v>0.22157242310169223</v>
      </c>
      <c r="J50" s="63">
        <f t="shared" si="37"/>
        <v>0.20414084530366861</v>
      </c>
      <c r="K50" s="63">
        <f t="shared" si="37"/>
        <v>0.16258125301948612</v>
      </c>
      <c r="L50" s="63">
        <f t="shared" si="37"/>
        <v>0.17502864819907993</v>
      </c>
      <c r="M50" s="63">
        <f t="shared" si="37"/>
        <v>0.16025355453034873</v>
      </c>
      <c r="N50" s="63">
        <f t="shared" si="37"/>
        <v>0.14080966557316565</v>
      </c>
      <c r="O50" s="63">
        <f t="shared" si="37"/>
        <v>0.13279964677516576</v>
      </c>
      <c r="P50" s="63">
        <f t="shared" si="37"/>
        <v>0.11509849995853316</v>
      </c>
      <c r="R50" s="109"/>
      <c r="S50" s="109"/>
    </row>
    <row r="51" spans="1:19" x14ac:dyDescent="0.2">
      <c r="A51" s="68" t="s">
        <v>11</v>
      </c>
      <c r="B51" s="43">
        <f>Poland!B51+Austria!B51+'Czech Republic'!B51+Greece!B51+Hungary!B51+Slovakia!B51+Croatia!B51</f>
        <v>56.38756392348018</v>
      </c>
      <c r="C51" s="43">
        <f>Poland!C51+Austria!C51+'Czech Republic'!C51+Greece!C51+Hungary!C51+Slovakia!C51+Croatia!C51</f>
        <v>79.998902887184926</v>
      </c>
      <c r="D51" s="43">
        <f>Poland!D51+Austria!D51+'Czech Republic'!D51+Greece!D51+Hungary!D51+Slovakia!D51+Croatia!D51</f>
        <v>112.87605978242483</v>
      </c>
      <c r="E51" s="43">
        <f>Poland!E51+Austria!E51+'Czech Republic'!E51+Greece!E51+Hungary!E51+Slovakia!E51+Croatia!E51</f>
        <v>157.53595865469072</v>
      </c>
      <c r="F51" s="43">
        <f>Poland!F51+Austria!F51+'Czech Republic'!F51+Greece!F51+Hungary!F51+Slovakia!F51+Croatia!F51</f>
        <v>211.58765479613382</v>
      </c>
      <c r="G51" s="43">
        <f>Poland!G51+Austria!G51+'Czech Republic'!G51+Greece!G51+Hungary!G51+Slovakia!G51+Croatia!G51</f>
        <v>291.64160692704462</v>
      </c>
      <c r="H51" s="43">
        <f>Poland!H51+Austria!H51+'Czech Republic'!H51+Greece!H51+Hungary!H51+Slovakia!H51+Croatia!H51</f>
        <v>394.67277354927717</v>
      </c>
      <c r="I51" s="43">
        <f>Poland!I51+Austria!I51+'Czech Republic'!I51+Greece!I51+Hungary!I51+Slovakia!I51+Croatia!I51</f>
        <v>520.95687540762822</v>
      </c>
      <c r="J51" s="43">
        <f>Poland!J51+Austria!J51+'Czech Republic'!J51+Greece!J51+Hungary!J51+Slovakia!J51+Croatia!J51</f>
        <v>677.13046670325355</v>
      </c>
      <c r="K51" s="43">
        <f>Poland!K51+Austria!K51+'Czech Republic'!K51+Greece!K51+Hungary!K51+Slovakia!K51+Croatia!K51</f>
        <v>858.32124089617275</v>
      </c>
      <c r="L51" s="43">
        <f>Poland!L51+Austria!L51+'Czech Republic'!L51+Greece!L51+Hungary!L51+Slovakia!L51+Croatia!L51</f>
        <v>1091.4813501135241</v>
      </c>
      <c r="M51" s="43">
        <f>Poland!M51+Austria!M51+'Czech Republic'!M51+Greece!M51+Hungary!M51+Slovakia!M51+Croatia!M51</f>
        <v>1364.6072958857947</v>
      </c>
      <c r="N51" s="43">
        <f>Poland!N51+Austria!N51+'Czech Republic'!N51+Greece!N51+Hungary!N51+Slovakia!N51+Croatia!N51</f>
        <v>1662.1702330913693</v>
      </c>
      <c r="O51" s="43">
        <f>Poland!O51+Austria!O51+'Czech Republic'!O51+Greece!O51+Hungary!O51+Slovakia!O51+Croatia!O51</f>
        <v>2008.5308502569205</v>
      </c>
      <c r="P51" s="43">
        <f>Poland!P51+Austria!P51+'Czech Republic'!P51+Greece!P51+Hungary!P51+Slovakia!P51+Croatia!P51</f>
        <v>2383.5963301647562</v>
      </c>
      <c r="R51" s="57">
        <f>(J51/D51)^(1/6)-1</f>
        <v>0.34796438894426696</v>
      </c>
      <c r="S51" s="57">
        <f>(P51/J51)^(1/6)-1</f>
        <v>0.23337003294840675</v>
      </c>
    </row>
    <row r="52" spans="1:19" x14ac:dyDescent="0.2">
      <c r="A52" s="62" t="s">
        <v>4</v>
      </c>
      <c r="B52" s="43"/>
      <c r="C52" s="63">
        <f t="shared" ref="C52:P52" si="38">C51/B51-1</f>
        <v>0.4187330914977303</v>
      </c>
      <c r="D52" s="63">
        <f t="shared" si="38"/>
        <v>0.41097009719750188</v>
      </c>
      <c r="E52" s="63">
        <f t="shared" si="38"/>
        <v>0.39565430400698287</v>
      </c>
      <c r="F52" s="63">
        <f t="shared" si="38"/>
        <v>0.34310703792980468</v>
      </c>
      <c r="G52" s="63">
        <f t="shared" si="38"/>
        <v>0.37834887960757135</v>
      </c>
      <c r="H52" s="63">
        <f t="shared" si="38"/>
        <v>0.35328006764139874</v>
      </c>
      <c r="I52" s="63">
        <f t="shared" si="38"/>
        <v>0.31997165835049368</v>
      </c>
      <c r="J52" s="63">
        <f t="shared" si="38"/>
        <v>0.29978218671828771</v>
      </c>
      <c r="K52" s="63">
        <f t="shared" si="38"/>
        <v>0.2675862084231464</v>
      </c>
      <c r="L52" s="63">
        <f t="shared" si="38"/>
        <v>0.27164667272350029</v>
      </c>
      <c r="M52" s="63">
        <f t="shared" si="38"/>
        <v>0.2502341847104057</v>
      </c>
      <c r="N52" s="63">
        <f t="shared" si="38"/>
        <v>0.21805755993149689</v>
      </c>
      <c r="O52" s="63">
        <f t="shared" si="38"/>
        <v>0.20837854647497589</v>
      </c>
      <c r="P52" s="63">
        <f t="shared" si="38"/>
        <v>0.18673623054376254</v>
      </c>
      <c r="R52" s="109"/>
      <c r="S52" s="109"/>
    </row>
    <row r="53" spans="1:19" x14ac:dyDescent="0.2">
      <c r="A53" s="68" t="s">
        <v>22</v>
      </c>
      <c r="B53" s="43">
        <f>Poland!B53+Austria!B53+'Czech Republic'!B53+Greece!B53+Hungary!B53+Slovakia!B53+Croatia!B53</f>
        <v>21.795026910373121</v>
      </c>
      <c r="C53" s="43">
        <f>Poland!C53+Austria!C53+'Czech Republic'!C53+Greece!C53+Hungary!C53+Slovakia!C53+Croatia!C53</f>
        <v>28.366735865754972</v>
      </c>
      <c r="D53" s="43">
        <f>Poland!D53+Austria!D53+'Czech Republic'!D53+Greece!D53+Hungary!D53+Slovakia!D53+Croatia!D53</f>
        <v>37.533940388624316</v>
      </c>
      <c r="E53" s="43">
        <f>Poland!E53+Austria!E53+'Czech Republic'!E53+Greece!E53+Hungary!E53+Slovakia!E53+Croatia!E53</f>
        <v>51.42131248764327</v>
      </c>
      <c r="F53" s="43">
        <f>Poland!F53+Austria!F53+'Czech Republic'!F53+Greece!F53+Hungary!F53+Slovakia!F53+Croatia!F53</f>
        <v>69.841880814135052</v>
      </c>
      <c r="G53" s="43">
        <f>Poland!G53+Austria!G53+'Czech Republic'!G53+Greece!G53+Hungary!G53+Slovakia!G53+Croatia!G53</f>
        <v>95.743853113003013</v>
      </c>
      <c r="H53" s="43">
        <f>Poland!H53+Austria!H53+'Czech Republic'!H53+Greece!H53+Hungary!H53+Slovakia!H53+Croatia!H53</f>
        <v>126.22651249447939</v>
      </c>
      <c r="I53" s="43">
        <f>Poland!I53+Austria!I53+'Czech Republic'!I53+Greece!I53+Hungary!I53+Slovakia!I53+Croatia!I53</f>
        <v>162.63497461377287</v>
      </c>
      <c r="J53" s="43">
        <f>Poland!J53+Austria!J53+'Czech Republic'!J53+Greece!J53+Hungary!J53+Slovakia!J53+Croatia!J53</f>
        <v>210.24661315285448</v>
      </c>
      <c r="K53" s="43">
        <f>Poland!K53+Austria!K53+'Czech Republic'!K53+Greece!K53+Hungary!K53+Slovakia!K53+Croatia!K53</f>
        <v>268.81633165023737</v>
      </c>
      <c r="L53" s="43">
        <f>Poland!L53+Austria!L53+'Czech Republic'!L53+Greece!L53+Hungary!L53+Slovakia!L53+Croatia!L53</f>
        <v>334.55190628576258</v>
      </c>
      <c r="M53" s="43">
        <f>Poland!M53+Austria!M53+'Czech Republic'!M53+Greece!M53+Hungary!M53+Slovakia!M53+Croatia!M53</f>
        <v>406.72455665235026</v>
      </c>
      <c r="N53" s="43">
        <f>Poland!N53+Austria!N53+'Czech Republic'!N53+Greece!N53+Hungary!N53+Slovakia!N53+Croatia!N53</f>
        <v>489.86993515647544</v>
      </c>
      <c r="O53" s="43">
        <f>Poland!O53+Austria!O53+'Czech Republic'!O53+Greece!O53+Hungary!O53+Slovakia!O53+Croatia!O53</f>
        <v>583.60953170389632</v>
      </c>
      <c r="P53" s="43">
        <f>Poland!P53+Austria!P53+'Czech Republic'!P53+Greece!P53+Hungary!P53+Slovakia!P53+Croatia!P53</f>
        <v>680.69319142487245</v>
      </c>
      <c r="R53" s="57">
        <f>(J53/D53)^(1/6)-1</f>
        <v>0.33265420738548457</v>
      </c>
      <c r="S53" s="57">
        <f>(P53/J53)^(1/6)-1</f>
        <v>0.21628980464711156</v>
      </c>
    </row>
    <row r="54" spans="1:19" x14ac:dyDescent="0.2">
      <c r="A54" s="62" t="s">
        <v>4</v>
      </c>
      <c r="C54" s="63">
        <f t="shared" ref="C54:P54" si="39">C53/B53-1</f>
        <v>0.30152332375667368</v>
      </c>
      <c r="D54" s="63">
        <f t="shared" si="39"/>
        <v>0.32316740869492211</v>
      </c>
      <c r="E54" s="63">
        <f t="shared" si="39"/>
        <v>0.36999504862079169</v>
      </c>
      <c r="F54" s="63">
        <f t="shared" si="39"/>
        <v>0.3582282799747345</v>
      </c>
      <c r="G54" s="63">
        <f t="shared" si="39"/>
        <v>0.37086590448213919</v>
      </c>
      <c r="H54" s="63">
        <f t="shared" si="39"/>
        <v>0.3183771948837153</v>
      </c>
      <c r="I54" s="63">
        <f t="shared" si="39"/>
        <v>0.28843751918509053</v>
      </c>
      <c r="J54" s="63">
        <f t="shared" si="39"/>
        <v>0.29275153546861743</v>
      </c>
      <c r="K54" s="63">
        <f t="shared" si="39"/>
        <v>0.27857627582709865</v>
      </c>
      <c r="L54" s="63">
        <f t="shared" si="39"/>
        <v>0.24453713147553535</v>
      </c>
      <c r="M54" s="63">
        <f t="shared" si="39"/>
        <v>0.21572930540990654</v>
      </c>
      <c r="N54" s="63">
        <f t="shared" si="39"/>
        <v>0.20442674813754635</v>
      </c>
      <c r="O54" s="63">
        <f t="shared" si="39"/>
        <v>0.1913560923420996</v>
      </c>
      <c r="P54" s="63">
        <f t="shared" si="39"/>
        <v>0.16635036689262495</v>
      </c>
      <c r="R54" s="109"/>
      <c r="S54" s="109"/>
    </row>
    <row r="55" spans="1:19" x14ac:dyDescent="0.2">
      <c r="A55" s="77" t="s">
        <v>23</v>
      </c>
      <c r="B55" s="56">
        <f t="shared" ref="B55:P55" si="40">B53+B51+B49+B47</f>
        <v>445.48041487175931</v>
      </c>
      <c r="C55" s="56">
        <f t="shared" si="40"/>
        <v>561.63296501018874</v>
      </c>
      <c r="D55" s="56">
        <f t="shared" si="40"/>
        <v>719.99110481946525</v>
      </c>
      <c r="E55" s="56">
        <f t="shared" si="40"/>
        <v>934.29063634936631</v>
      </c>
      <c r="F55" s="56">
        <f t="shared" si="40"/>
        <v>1174.685782275717</v>
      </c>
      <c r="G55" s="56">
        <f t="shared" si="40"/>
        <v>1500.35825238298</v>
      </c>
      <c r="H55" s="56">
        <f t="shared" si="40"/>
        <v>1913.511350945349</v>
      </c>
      <c r="I55" s="56">
        <f t="shared" si="40"/>
        <v>2397.2924353589669</v>
      </c>
      <c r="J55" s="56">
        <f t="shared" si="40"/>
        <v>2967.4949174124549</v>
      </c>
      <c r="K55" s="56">
        <f t="shared" si="40"/>
        <v>3576.5475744504924</v>
      </c>
      <c r="L55" s="56">
        <f t="shared" si="40"/>
        <v>4332.7580062236775</v>
      </c>
      <c r="M55" s="56">
        <f t="shared" si="40"/>
        <v>5174.9849405618043</v>
      </c>
      <c r="N55" s="56">
        <f t="shared" si="40"/>
        <v>6077.3619560814668</v>
      </c>
      <c r="O55" s="56">
        <f t="shared" si="40"/>
        <v>7092.4493362450767</v>
      </c>
      <c r="P55" s="56">
        <f t="shared" si="40"/>
        <v>8142.7955973050293</v>
      </c>
      <c r="R55" s="57">
        <f>(J55/D55)^(1/6)-1</f>
        <v>0.26622380931009215</v>
      </c>
      <c r="S55" s="57">
        <f>(P55/J55)^(1/6)-1</f>
        <v>0.18321570339433513</v>
      </c>
    </row>
    <row r="56" spans="1:19" x14ac:dyDescent="0.2">
      <c r="A56" s="74" t="s">
        <v>4</v>
      </c>
      <c r="B56" s="66"/>
      <c r="C56" s="59">
        <f t="shared" ref="C56:P56" si="41">C55/B55-1</f>
        <v>0.26073548075478548</v>
      </c>
      <c r="D56" s="59">
        <f t="shared" si="41"/>
        <v>0.28196019406803097</v>
      </c>
      <c r="E56" s="59">
        <f t="shared" si="41"/>
        <v>0.29764191542843532</v>
      </c>
      <c r="F56" s="59">
        <f t="shared" si="41"/>
        <v>0.25730231747335841</v>
      </c>
      <c r="G56" s="59">
        <f t="shared" si="41"/>
        <v>0.27724219959173957</v>
      </c>
      <c r="H56" s="59">
        <f t="shared" si="41"/>
        <v>0.27536963115720448</v>
      </c>
      <c r="I56" s="59">
        <f t="shared" si="41"/>
        <v>0.25282373379944212</v>
      </c>
      <c r="J56" s="59">
        <f t="shared" si="41"/>
        <v>0.2378527015074432</v>
      </c>
      <c r="K56" s="59">
        <f t="shared" si="41"/>
        <v>0.20524134800173766</v>
      </c>
      <c r="L56" s="59">
        <f t="shared" si="41"/>
        <v>0.21143586546290272</v>
      </c>
      <c r="M56" s="59">
        <f t="shared" si="41"/>
        <v>0.19438586995357965</v>
      </c>
      <c r="N56" s="59">
        <f t="shared" si="41"/>
        <v>0.17437287758014208</v>
      </c>
      <c r="O56" s="59">
        <f t="shared" si="41"/>
        <v>0.16702763263060816</v>
      </c>
      <c r="P56" s="59">
        <f t="shared" si="41"/>
        <v>0.1480935867517994</v>
      </c>
      <c r="R56" s="109"/>
      <c r="S56" s="109"/>
    </row>
    <row r="57" spans="1:19" ht="17.100000000000001" customHeight="1" x14ac:dyDescent="0.2">
      <c r="R57" s="109"/>
      <c r="S57" s="109"/>
    </row>
    <row r="58" spans="1:19" x14ac:dyDescent="0.2">
      <c r="A58" s="67" t="s">
        <v>24</v>
      </c>
      <c r="R58" s="109"/>
      <c r="S58" s="109"/>
    </row>
    <row r="59" spans="1:19" x14ac:dyDescent="0.2">
      <c r="A59" s="68" t="s">
        <v>82</v>
      </c>
      <c r="B59" s="112">
        <f t="shared" ref="B59:P59" si="42">(B47*1000000)/(B34*1000)</f>
        <v>97.223691311432347</v>
      </c>
      <c r="C59" s="112">
        <f t="shared" si="42"/>
        <v>109.86573157337129</v>
      </c>
      <c r="D59" s="112">
        <f t="shared" si="42"/>
        <v>127.33839925227812</v>
      </c>
      <c r="E59" s="112">
        <f t="shared" si="42"/>
        <v>141.44090588339498</v>
      </c>
      <c r="F59" s="112">
        <f t="shared" si="42"/>
        <v>160.5272859635719</v>
      </c>
      <c r="G59" s="112">
        <f t="shared" si="42"/>
        <v>174.02978428049798</v>
      </c>
      <c r="H59" s="112">
        <f t="shared" si="42"/>
        <v>194.48965864371587</v>
      </c>
      <c r="I59" s="112">
        <f t="shared" si="42"/>
        <v>215.9423060220841</v>
      </c>
      <c r="J59" s="112">
        <f t="shared" si="42"/>
        <v>237.81496742809819</v>
      </c>
      <c r="K59" s="112">
        <f t="shared" si="42"/>
        <v>261.75125220903425</v>
      </c>
      <c r="L59" s="112">
        <f t="shared" si="42"/>
        <v>285.4284131657414</v>
      </c>
      <c r="M59" s="112">
        <f t="shared" si="42"/>
        <v>307.64957349009887</v>
      </c>
      <c r="N59" s="112">
        <f t="shared" si="42"/>
        <v>333.18207450152283</v>
      </c>
      <c r="O59" s="112">
        <f t="shared" si="42"/>
        <v>363.72039305552948</v>
      </c>
      <c r="P59" s="112">
        <f t="shared" si="42"/>
        <v>393.99809651121348</v>
      </c>
      <c r="R59" s="57">
        <f>(J59/D59)^(1/6)-1</f>
        <v>0.10971971002355319</v>
      </c>
      <c r="S59" s="57">
        <f>(P59/J59)^(1/6)-1</f>
        <v>8.7783557399063517E-2</v>
      </c>
    </row>
    <row r="60" spans="1:19" x14ac:dyDescent="0.2">
      <c r="A60" s="62" t="s">
        <v>4</v>
      </c>
      <c r="C60" s="63">
        <f t="shared" ref="C60:P60" si="43">C59/B59-1</f>
        <v>0.13003044928054885</v>
      </c>
      <c r="D60" s="63">
        <f t="shared" si="43"/>
        <v>0.15903655697443853</v>
      </c>
      <c r="E60" s="63">
        <f t="shared" si="43"/>
        <v>0.11074826379101466</v>
      </c>
      <c r="F60" s="63">
        <f t="shared" si="43"/>
        <v>0.13494243380986193</v>
      </c>
      <c r="G60" s="63">
        <f t="shared" si="43"/>
        <v>8.4113415584626372E-2</v>
      </c>
      <c r="H60" s="63">
        <f t="shared" si="43"/>
        <v>0.11756536070998647</v>
      </c>
      <c r="I60" s="63">
        <f t="shared" si="43"/>
        <v>0.11030225220183643</v>
      </c>
      <c r="J60" s="63">
        <f t="shared" si="43"/>
        <v>0.1012893758936575</v>
      </c>
      <c r="K60" s="63">
        <f t="shared" si="43"/>
        <v>0.10065087593014121</v>
      </c>
      <c r="L60" s="63">
        <f t="shared" si="43"/>
        <v>9.0456724683779521E-2</v>
      </c>
      <c r="M60" s="63">
        <f t="shared" si="43"/>
        <v>7.7851956215214457E-2</v>
      </c>
      <c r="N60" s="63">
        <f t="shared" si="43"/>
        <v>8.2992154748576796E-2</v>
      </c>
      <c r="O60" s="63">
        <f t="shared" si="43"/>
        <v>9.165654724881378E-2</v>
      </c>
      <c r="P60" s="63">
        <f t="shared" si="43"/>
        <v>8.3244448300872298E-2</v>
      </c>
      <c r="R60" s="109"/>
      <c r="S60" s="109"/>
    </row>
    <row r="61" spans="1:19" x14ac:dyDescent="0.2">
      <c r="A61" s="68" t="s">
        <v>10</v>
      </c>
      <c r="B61" s="112">
        <f t="shared" ref="B61:P61" si="44">(B49*1000000)/(B36*1000)</f>
        <v>9583.8915304650782</v>
      </c>
      <c r="C61" s="112">
        <f t="shared" si="44"/>
        <v>9316.5877988058619</v>
      </c>
      <c r="D61" s="112">
        <f t="shared" si="44"/>
        <v>9320.320366730657</v>
      </c>
      <c r="E61" s="112">
        <f t="shared" si="44"/>
        <v>9482.1969782452998</v>
      </c>
      <c r="F61" s="112">
        <f t="shared" si="44"/>
        <v>9815.3091277340336</v>
      </c>
      <c r="G61" s="112">
        <f t="shared" si="44"/>
        <v>9573.8314907328604</v>
      </c>
      <c r="H61" s="112">
        <f t="shared" si="44"/>
        <v>9770.0559869526332</v>
      </c>
      <c r="I61" s="112">
        <f t="shared" si="44"/>
        <v>10122.997350766806</v>
      </c>
      <c r="J61" s="112">
        <f t="shared" si="44"/>
        <v>10517.65435220172</v>
      </c>
      <c r="K61" s="112">
        <f t="shared" si="44"/>
        <v>10725.220094299724</v>
      </c>
      <c r="L61" s="112">
        <f t="shared" si="44"/>
        <v>11254.630538126743</v>
      </c>
      <c r="M61" s="112">
        <f t="shared" si="44"/>
        <v>11867.19322665592</v>
      </c>
      <c r="N61" s="112">
        <f t="shared" si="44"/>
        <v>12513.863666703466</v>
      </c>
      <c r="O61" s="112">
        <f t="shared" si="44"/>
        <v>13269.019857346389</v>
      </c>
      <c r="P61" s="112">
        <f t="shared" si="44"/>
        <v>14030.354540807983</v>
      </c>
      <c r="R61" s="57">
        <f>(J61/D61)^(1/6)-1</f>
        <v>2.0347274946008964E-2</v>
      </c>
      <c r="S61" s="57">
        <f>(P61/J61)^(1/6)-1</f>
        <v>4.9200024096566208E-2</v>
      </c>
    </row>
    <row r="62" spans="1:19" x14ac:dyDescent="0.2">
      <c r="A62" s="62" t="s">
        <v>4</v>
      </c>
      <c r="C62" s="63">
        <f t="shared" ref="C62:P62" si="45">C61/B61-1</f>
        <v>-2.7890938749621341E-2</v>
      </c>
      <c r="D62" s="63">
        <f t="shared" si="45"/>
        <v>4.0063680023205706E-4</v>
      </c>
      <c r="E62" s="63">
        <f t="shared" si="45"/>
        <v>1.7368138126718113E-2</v>
      </c>
      <c r="F62" s="63">
        <f t="shared" si="45"/>
        <v>3.5130270996582613E-2</v>
      </c>
      <c r="G62" s="63">
        <f t="shared" si="45"/>
        <v>-2.4602142821855355E-2</v>
      </c>
      <c r="H62" s="63">
        <f t="shared" si="45"/>
        <v>2.0495921242160042E-2</v>
      </c>
      <c r="I62" s="63">
        <f t="shared" si="45"/>
        <v>3.6124804636278984E-2</v>
      </c>
      <c r="J62" s="63">
        <f t="shared" si="45"/>
        <v>3.8986180452276864E-2</v>
      </c>
      <c r="K62" s="63">
        <f t="shared" si="45"/>
        <v>1.9734984165414637E-2</v>
      </c>
      <c r="L62" s="63">
        <f t="shared" si="45"/>
        <v>4.9361266171907392E-2</v>
      </c>
      <c r="M62" s="63">
        <f t="shared" si="45"/>
        <v>5.4427614167700034E-2</v>
      </c>
      <c r="N62" s="63">
        <f t="shared" si="45"/>
        <v>5.4492282016189275E-2</v>
      </c>
      <c r="O62" s="63">
        <f t="shared" si="45"/>
        <v>6.03455663858814E-2</v>
      </c>
      <c r="P62" s="63">
        <f t="shared" si="45"/>
        <v>5.7376859153623228E-2</v>
      </c>
      <c r="R62" s="109"/>
      <c r="S62" s="109"/>
    </row>
    <row r="63" spans="1:19" x14ac:dyDescent="0.2">
      <c r="A63" s="68" t="s">
        <v>11</v>
      </c>
      <c r="B63" s="112">
        <f t="shared" ref="B63:P63" si="46">(B51*1000000)/(B38*1000)</f>
        <v>20090.362030878063</v>
      </c>
      <c r="C63" s="112">
        <f t="shared" si="46"/>
        <v>21782.638170934257</v>
      </c>
      <c r="D63" s="112">
        <f t="shared" si="46"/>
        <v>24167.970079219704</v>
      </c>
      <c r="E63" s="112">
        <f t="shared" si="46"/>
        <v>28031.691181986349</v>
      </c>
      <c r="F63" s="112">
        <f t="shared" si="46"/>
        <v>33523.268538216638</v>
      </c>
      <c r="G63" s="112">
        <f t="shared" si="46"/>
        <v>40005.115948931903</v>
      </c>
      <c r="H63" s="112">
        <f t="shared" si="46"/>
        <v>48335.287944112963</v>
      </c>
      <c r="I63" s="112">
        <f t="shared" si="46"/>
        <v>59535.197540355388</v>
      </c>
      <c r="J63" s="112">
        <f t="shared" si="46"/>
        <v>72613.925626822718</v>
      </c>
      <c r="K63" s="112">
        <f t="shared" si="46"/>
        <v>87328.628274626375</v>
      </c>
      <c r="L63" s="112">
        <f t="shared" si="46"/>
        <v>106677.9840317545</v>
      </c>
      <c r="M63" s="112">
        <f t="shared" si="46"/>
        <v>129122.0819062533</v>
      </c>
      <c r="N63" s="112">
        <f t="shared" si="46"/>
        <v>153227.72531481672</v>
      </c>
      <c r="O63" s="112">
        <f t="shared" si="46"/>
        <v>181240.61153399639</v>
      </c>
      <c r="P63" s="112">
        <f t="shared" si="46"/>
        <v>211556.51303738047</v>
      </c>
      <c r="R63" s="57">
        <f>(J63/D63)^(1/6)-1</f>
        <v>0.20124047464856432</v>
      </c>
      <c r="S63" s="57">
        <f>(P63/J63)^(1/6)-1</f>
        <v>0.19509128856821301</v>
      </c>
    </row>
    <row r="64" spans="1:19" x14ac:dyDescent="0.2">
      <c r="A64" s="62" t="s">
        <v>4</v>
      </c>
      <c r="C64" s="63">
        <f t="shared" ref="C64:P64" si="47">C63/B63-1</f>
        <v>8.423323270408134E-2</v>
      </c>
      <c r="D64" s="63">
        <f t="shared" si="47"/>
        <v>0.10950610709167097</v>
      </c>
      <c r="E64" s="63">
        <f t="shared" si="47"/>
        <v>0.15986949214608548</v>
      </c>
      <c r="F64" s="63">
        <f t="shared" si="47"/>
        <v>0.19590603080556446</v>
      </c>
      <c r="G64" s="63">
        <f t="shared" si="47"/>
        <v>0.19335368218423987</v>
      </c>
      <c r="H64" s="63">
        <f t="shared" si="47"/>
        <v>0.20822766782665614</v>
      </c>
      <c r="I64" s="63">
        <f t="shared" si="47"/>
        <v>0.23171289698723152</v>
      </c>
      <c r="J64" s="63">
        <f t="shared" si="47"/>
        <v>0.21968060285013813</v>
      </c>
      <c r="K64" s="63">
        <f t="shared" si="47"/>
        <v>0.20264298508560752</v>
      </c>
      <c r="L64" s="63">
        <f t="shared" si="47"/>
        <v>0.2215694456608126</v>
      </c>
      <c r="M64" s="63">
        <f t="shared" si="47"/>
        <v>0.21039109501561204</v>
      </c>
      <c r="N64" s="63">
        <f t="shared" si="47"/>
        <v>0.18668877586766985</v>
      </c>
      <c r="O64" s="63">
        <f t="shared" si="47"/>
        <v>0.18281865218337812</v>
      </c>
      <c r="P64" s="63">
        <f t="shared" si="47"/>
        <v>0.16726881048786102</v>
      </c>
      <c r="R64" s="109"/>
      <c r="S64" s="109"/>
    </row>
    <row r="65" spans="1:19" x14ac:dyDescent="0.2">
      <c r="A65" s="77" t="s">
        <v>23</v>
      </c>
      <c r="B65" s="56">
        <f>(B55*1000000)/(B40*1000)</f>
        <v>1462.4098423827804</v>
      </c>
      <c r="C65" s="56">
        <f t="shared" ref="C65:P65" si="48">(C55*1000000)/(C40*1000)</f>
        <v>1564.801965034738</v>
      </c>
      <c r="D65" s="56">
        <f t="shared" si="48"/>
        <v>1684.9643110780285</v>
      </c>
      <c r="E65" s="56">
        <f t="shared" si="48"/>
        <v>1796.8583257565567</v>
      </c>
      <c r="F65" s="56">
        <f t="shared" si="48"/>
        <v>1910.1336338358351</v>
      </c>
      <c r="G65" s="56">
        <f t="shared" si="48"/>
        <v>1961.464797863508</v>
      </c>
      <c r="H65" s="56">
        <f t="shared" si="48"/>
        <v>2050.8395430614951</v>
      </c>
      <c r="I65" s="56">
        <f t="shared" si="48"/>
        <v>2190.7420744154374</v>
      </c>
      <c r="J65" s="56">
        <f t="shared" si="48"/>
        <v>2326.0785745097974</v>
      </c>
      <c r="K65" s="56">
        <f t="shared" si="48"/>
        <v>2415.2051576671947</v>
      </c>
      <c r="L65" s="56">
        <f t="shared" si="48"/>
        <v>2542.9156412519983</v>
      </c>
      <c r="M65" s="56">
        <f t="shared" si="48"/>
        <v>2667.3937890572738</v>
      </c>
      <c r="N65" s="56">
        <f t="shared" si="48"/>
        <v>2790.8997549637293</v>
      </c>
      <c r="O65" s="56">
        <f t="shared" si="48"/>
        <v>2936.6201801110683</v>
      </c>
      <c r="P65" s="56">
        <f t="shared" si="48"/>
        <v>3077.4345051966693</v>
      </c>
      <c r="R65" s="57">
        <f>(J65/D65)^(1/6)-1</f>
        <v>5.5210115327204656E-2</v>
      </c>
      <c r="S65" s="57">
        <f>(P65/J65)^(1/6)-1</f>
        <v>4.7757406851457906E-2</v>
      </c>
    </row>
    <row r="66" spans="1:19" x14ac:dyDescent="0.2">
      <c r="A66" s="74" t="s">
        <v>4</v>
      </c>
      <c r="B66" s="66"/>
      <c r="C66" s="59">
        <f t="shared" ref="C66:P66" si="49">C65/B65-1</f>
        <v>7.0016024020410628E-2</v>
      </c>
      <c r="D66" s="59">
        <f t="shared" si="49"/>
        <v>7.6790768882133209E-2</v>
      </c>
      <c r="E66" s="59">
        <f t="shared" si="49"/>
        <v>6.6407349961578266E-2</v>
      </c>
      <c r="F66" s="59">
        <f t="shared" si="49"/>
        <v>6.3040756444492807E-2</v>
      </c>
      <c r="G66" s="59">
        <f t="shared" si="49"/>
        <v>2.6873074803982266E-2</v>
      </c>
      <c r="H66" s="59">
        <f t="shared" si="49"/>
        <v>4.5565306752044066E-2</v>
      </c>
      <c r="I66" s="59">
        <f t="shared" si="49"/>
        <v>6.8217200037549386E-2</v>
      </c>
      <c r="J66" s="59">
        <f t="shared" si="49"/>
        <v>6.1776555841459357E-2</v>
      </c>
      <c r="K66" s="59">
        <f t="shared" si="49"/>
        <v>3.8316239242339512E-2</v>
      </c>
      <c r="L66" s="59">
        <f t="shared" si="49"/>
        <v>5.287769578471635E-2</v>
      </c>
      <c r="M66" s="59">
        <f t="shared" si="49"/>
        <v>4.8950954481521425E-2</v>
      </c>
      <c r="N66" s="59">
        <f t="shared" si="49"/>
        <v>4.630211197653944E-2</v>
      </c>
      <c r="O66" s="59">
        <f t="shared" si="49"/>
        <v>5.221270484121443E-2</v>
      </c>
      <c r="P66" s="59">
        <f t="shared" si="49"/>
        <v>4.7951153519715684E-2</v>
      </c>
      <c r="R66" s="109"/>
      <c r="S66" s="109"/>
    </row>
    <row r="67" spans="1:19" ht="17.100000000000001" customHeight="1" x14ac:dyDescent="0.2">
      <c r="R67" s="109"/>
      <c r="S67" s="109"/>
    </row>
    <row r="68" spans="1:19" x14ac:dyDescent="0.2">
      <c r="A68" s="67" t="s">
        <v>25</v>
      </c>
      <c r="R68" s="109"/>
      <c r="S68" s="109"/>
    </row>
    <row r="69" spans="1:19" x14ac:dyDescent="0.2">
      <c r="A69" s="68" t="s">
        <v>26</v>
      </c>
      <c r="B69" s="43">
        <f>Poland!B69+Austria!B69+'Czech Republic'!B69+Greece!B69+Hungary!B69+Slovakia!B69+Croatia!B69</f>
        <v>287.56805164398128</v>
      </c>
      <c r="C69" s="43">
        <f>Poland!C69+Austria!C69+'Czech Republic'!C69+Greece!C69+Hungary!C69+Slovakia!C69+Croatia!C69</f>
        <v>363.94196352433596</v>
      </c>
      <c r="D69" s="43">
        <f>Poland!D69+Austria!D69+'Czech Republic'!D69+Greece!D69+Hungary!D69+Slovakia!D69+Croatia!D69</f>
        <v>459.57878581606218</v>
      </c>
      <c r="E69" s="43">
        <f>Poland!E69+Austria!E69+'Czech Republic'!E69+Greece!E69+Hungary!E69+Slovakia!E69+Croatia!E69</f>
        <v>591.51152113483056</v>
      </c>
      <c r="F69" s="43">
        <f>Poland!F69+Austria!F69+'Czech Republic'!F69+Greece!F69+Hungary!F69+Slovakia!F69+Croatia!F69</f>
        <v>738.77218105343366</v>
      </c>
      <c r="G69" s="43">
        <f>Poland!G69+Austria!G69+'Czech Republic'!G69+Greece!G69+Hungary!G69+Slovakia!G69+Croatia!G69</f>
        <v>933.92757730579376</v>
      </c>
      <c r="H69" s="43">
        <f>Poland!H69+Austria!H69+'Czech Republic'!H69+Greece!H69+Hungary!H69+Slovakia!H69+Croatia!H69</f>
        <v>1183.9028196587656</v>
      </c>
      <c r="I69" s="43">
        <f>Poland!I69+Austria!I69+'Czech Republic'!I69+Greece!I69+Hungary!I69+Slovakia!I69+Croatia!I69</f>
        <v>1481.3078100443813</v>
      </c>
      <c r="J69" s="43">
        <f>Poland!J69+Austria!J69+'Czech Republic'!J69+Greece!J69+Hungary!J69+Slovakia!J69+Croatia!J69</f>
        <v>1827.7012660822475</v>
      </c>
      <c r="K69" s="43">
        <f>Poland!K69+Austria!K69+'Czech Republic'!K69+Greece!K69+Hungary!K69+Slovakia!K69+Croatia!K69</f>
        <v>2201.0172307931516</v>
      </c>
      <c r="L69" s="43">
        <f>Poland!L69+Austria!L69+'Czech Republic'!L69+Greece!L69+Hungary!L69+Slovakia!L69+Croatia!L69</f>
        <v>2665.5601107243824</v>
      </c>
      <c r="M69" s="43">
        <f>Poland!M69+Austria!M69+'Czech Republic'!M69+Greece!M69+Hungary!M69+Slovakia!M69+Croatia!M69</f>
        <v>3180.3343146839998</v>
      </c>
      <c r="N69" s="43">
        <f>Poland!N69+Austria!N69+'Czech Republic'!N69+Greece!N69+Hungary!N69+Slovakia!N69+Croatia!N69</f>
        <v>3734.9141106555408</v>
      </c>
      <c r="O69" s="43">
        <f>Poland!O69+Austria!O69+'Czech Republic'!O69+Greece!O69+Hungary!O69+Slovakia!O69+Croatia!O69</f>
        <v>4357.6471478191006</v>
      </c>
      <c r="P69" s="43">
        <f>Poland!P69+Austria!P69+'Czech Republic'!P69+Greece!P69+Hungary!P69+Slovakia!P69+Croatia!P69</f>
        <v>4999.3393805542692</v>
      </c>
      <c r="R69" s="57">
        <f>(J69/D69)^(1/6)-1</f>
        <v>0.258705722190395</v>
      </c>
      <c r="S69" s="57">
        <f>(P69/J69)^(1/6)-1</f>
        <v>0.18259099549937541</v>
      </c>
    </row>
    <row r="70" spans="1:19" x14ac:dyDescent="0.2">
      <c r="A70" s="62" t="s">
        <v>4</v>
      </c>
      <c r="B70" s="43"/>
      <c r="C70" s="63">
        <f t="shared" ref="C70:P70" si="50">C69/B69-1</f>
        <v>0.26558552469141494</v>
      </c>
      <c r="D70" s="63">
        <f t="shared" si="50"/>
        <v>0.2627804207176323</v>
      </c>
      <c r="E70" s="63">
        <f t="shared" si="50"/>
        <v>0.28707316218806489</v>
      </c>
      <c r="F70" s="63">
        <f t="shared" si="50"/>
        <v>0.24895653703596432</v>
      </c>
      <c r="G70" s="63">
        <f t="shared" si="50"/>
        <v>0.26416180963133074</v>
      </c>
      <c r="H70" s="63">
        <f t="shared" si="50"/>
        <v>0.2676602002417614</v>
      </c>
      <c r="I70" s="63">
        <f t="shared" si="50"/>
        <v>0.2512072658728326</v>
      </c>
      <c r="J70" s="63">
        <f t="shared" si="50"/>
        <v>0.23384299582372958</v>
      </c>
      <c r="K70" s="63">
        <f t="shared" si="50"/>
        <v>0.20425436674950848</v>
      </c>
      <c r="L70" s="63">
        <f t="shared" si="50"/>
        <v>0.21105826589273424</v>
      </c>
      <c r="M70" s="63">
        <f t="shared" si="50"/>
        <v>0.19312046345851286</v>
      </c>
      <c r="N70" s="63">
        <f t="shared" si="50"/>
        <v>0.174377829843541</v>
      </c>
      <c r="O70" s="63">
        <f t="shared" si="50"/>
        <v>0.16673289363922206</v>
      </c>
      <c r="P70" s="63">
        <f t="shared" si="50"/>
        <v>0.14725658387837126</v>
      </c>
      <c r="R70" s="109"/>
      <c r="S70" s="109"/>
    </row>
    <row r="71" spans="1:19" x14ac:dyDescent="0.2">
      <c r="A71" s="68" t="s">
        <v>27</v>
      </c>
      <c r="B71" s="43">
        <f>Poland!B71+Austria!B71+'Czech Republic'!B71+Greece!B71+Hungary!B71+Slovakia!B71+Croatia!B71</f>
        <v>138.48391983713242</v>
      </c>
      <c r="C71" s="15" t="s">
        <v>181</v>
      </c>
      <c r="D71" s="43">
        <f>Poland!D71+Austria!D71+'Czech Republic'!D71+Greece!D71+Hungary!D71+Slovakia!D71+Croatia!D71</f>
        <v>226.69220082891877</v>
      </c>
      <c r="E71" s="43">
        <f>Poland!E71+Austria!E71+'Czech Republic'!E71+Greece!E71+Hungary!E71+Slovakia!E71+Croatia!E71</f>
        <v>297.85704635845246</v>
      </c>
      <c r="F71" s="43">
        <f>Poland!F71+Austria!F71+'Czech Republic'!F71+Greece!F71+Hungary!F71+Slovakia!F71+Croatia!F71</f>
        <v>378.0210635138526</v>
      </c>
      <c r="G71" s="43">
        <f>Poland!G71+Austria!G71+'Czech Republic'!G71+Greece!G71+Hungary!G71+Slovakia!G71+Croatia!G71</f>
        <v>489.71700918255578</v>
      </c>
      <c r="H71" s="43">
        <f>Poland!H71+Austria!H71+'Czech Republic'!H71+Greece!H71+Hungary!H71+Slovakia!H71+Croatia!H71</f>
        <v>629.81948542007899</v>
      </c>
      <c r="I71" s="43">
        <f>Poland!I71+Austria!I71+'Czech Republic'!I71+Greece!I71+Hungary!I71+Slovakia!I71+Croatia!I71</f>
        <v>787.0002915209418</v>
      </c>
      <c r="J71" s="43">
        <f>Poland!J71+Austria!J71+'Czech Republic'!J71+Greece!J71+Hungary!J71+Slovakia!J71+Croatia!J71</f>
        <v>971.90566073543175</v>
      </c>
      <c r="K71" s="43">
        <f>Poland!K71+Austria!K71+'Czech Republic'!K71+Greece!K71+Hungary!K71+Slovakia!K71+Croatia!K71</f>
        <v>1160.8880246132046</v>
      </c>
      <c r="L71" s="43">
        <f>Poland!L71+Austria!L71+'Czech Republic'!L71+Greece!L71+Hungary!L71+Slovakia!L71+Croatia!L71</f>
        <v>1392.1707678921912</v>
      </c>
      <c r="M71" s="43">
        <f>Poland!M71+Austria!M71+'Czech Republic'!M71+Greece!M71+Hungary!M71+Slovakia!M71+Croatia!M71</f>
        <v>1651.3019460889825</v>
      </c>
      <c r="N71" s="43">
        <f>Poland!N71+Austria!N71+'Czech Republic'!N71+Greece!N71+Hungary!N71+Slovakia!N71+Croatia!N71</f>
        <v>1922.9976859304422</v>
      </c>
      <c r="O71" s="43">
        <f>Poland!O71+Austria!O71+'Czech Republic'!O71+Greece!O71+Hungary!O71+Slovakia!O71+Croatia!O71</f>
        <v>2222.5757345477077</v>
      </c>
      <c r="P71" s="43">
        <f>Poland!P71+Austria!P71+'Czech Republic'!P71+Greece!P71+Hungary!P71+Slovakia!P71+Croatia!P71</f>
        <v>2534.8544880259524</v>
      </c>
      <c r="R71" s="57">
        <f>(J71/D71)^(1/6)-1</f>
        <v>0.27457263157958756</v>
      </c>
      <c r="S71" s="57">
        <f>(P71/J71)^(1/6)-1</f>
        <v>0.17324349163985464</v>
      </c>
    </row>
    <row r="72" spans="1:19" x14ac:dyDescent="0.2">
      <c r="A72" s="62" t="s">
        <v>4</v>
      </c>
      <c r="B72" s="43"/>
      <c r="C72" s="63" t="e" vm="1">
        <f t="shared" ref="C72:P72" si="51">C71/B71-1</f>
        <v>#VALUE!</v>
      </c>
      <c r="D72" s="63" t="e" vm="1">
        <f t="shared" si="51"/>
        <v>#VALUE!</v>
      </c>
      <c r="E72" s="63">
        <f t="shared" si="51"/>
        <v>0.31392718968413358</v>
      </c>
      <c r="F72" s="63">
        <f t="shared" si="51"/>
        <v>0.26913587620461299</v>
      </c>
      <c r="G72" s="63">
        <f t="shared" si="51"/>
        <v>0.29547545480785109</v>
      </c>
      <c r="H72" s="63">
        <f t="shared" si="51"/>
        <v>0.28608864632123909</v>
      </c>
      <c r="I72" s="63">
        <f t="shared" si="51"/>
        <v>0.24956485110336946</v>
      </c>
      <c r="J72" s="63">
        <f t="shared" si="51"/>
        <v>0.2349495561903101</v>
      </c>
      <c r="K72" s="63">
        <f t="shared" si="51"/>
        <v>0.19444517252299121</v>
      </c>
      <c r="L72" s="63">
        <f t="shared" si="51"/>
        <v>0.19922915765803295</v>
      </c>
      <c r="M72" s="63">
        <f t="shared" si="51"/>
        <v>0.18613462096257605</v>
      </c>
      <c r="N72" s="63">
        <f t="shared" si="51"/>
        <v>0.16453425764134533</v>
      </c>
      <c r="O72" s="63">
        <f t="shared" si="51"/>
        <v>0.15578700422216829</v>
      </c>
      <c r="P72" s="63">
        <f t="shared" si="51"/>
        <v>0.14050308775722908</v>
      </c>
      <c r="R72" s="109"/>
      <c r="S72" s="109"/>
    </row>
    <row r="73" spans="1:19" x14ac:dyDescent="0.2">
      <c r="A73" s="68" t="s">
        <v>28</v>
      </c>
      <c r="B73" s="43">
        <f>Poland!B73+Austria!B73+'Czech Republic'!B73+Greece!B73+Hungary!B73+Slovakia!B73+Croatia!B73</f>
        <v>19.428443390645747</v>
      </c>
      <c r="C73" s="43">
        <f>Poland!C73+Austria!C73+'Czech Republic'!C73+Greece!C73+Hungary!C73+Slovakia!C73+Croatia!C73</f>
        <v>25.495292640338064</v>
      </c>
      <c r="D73" s="43">
        <f>Poland!D73+Austria!D73+'Czech Republic'!D73+Greece!D73+Hungary!D73+Slovakia!D73+Croatia!D73</f>
        <v>33.720118174484163</v>
      </c>
      <c r="E73" s="43">
        <f>Poland!E73+Austria!E73+'Czech Republic'!E73+Greece!E73+Hungary!E73+Slovakia!E73+Croatia!E73</f>
        <v>44.922068856083264</v>
      </c>
      <c r="F73" s="43">
        <f>Poland!F73+Austria!F73+'Czech Republic'!F73+Greece!F73+Hungary!F73+Slovakia!F73+Croatia!F73</f>
        <v>57.892537708430886</v>
      </c>
      <c r="G73" s="43">
        <f>Poland!G73+Austria!G73+'Czech Republic'!G73+Greece!G73+Hungary!G73+Slovakia!G73+Croatia!G73</f>
        <v>76.713665894630708</v>
      </c>
      <c r="H73" s="43">
        <f>Poland!H73+Austria!H73+'Czech Republic'!H73+Greece!H73+Hungary!H73+Slovakia!H73+Croatia!H73</f>
        <v>99.789045866504367</v>
      </c>
      <c r="I73" s="43">
        <f>Poland!I73+Austria!I73+'Czech Republic'!I73+Greece!I73+Hungary!I73+Slovakia!I73+Croatia!I73</f>
        <v>128.98433379364337</v>
      </c>
      <c r="J73" s="43">
        <f>Poland!J73+Austria!J73+'Czech Republic'!J73+Greece!J73+Hungary!J73+Slovakia!J73+Croatia!J73</f>
        <v>167.88799059477509</v>
      </c>
      <c r="K73" s="43">
        <f>Poland!K73+Austria!K73+'Czech Republic'!K73+Greece!K73+Hungary!K73+Slovakia!K73+Croatia!K73</f>
        <v>214.64231904413546</v>
      </c>
      <c r="L73" s="43">
        <f>Poland!L73+Austria!L73+'Czech Republic'!L73+Greece!L73+Hungary!L73+Slovakia!L73+Croatia!L73</f>
        <v>275.02712760710392</v>
      </c>
      <c r="M73" s="43">
        <f>Poland!M73+Austria!M73+'Czech Republic'!M73+Greece!M73+Hungary!M73+Slovakia!M73+Croatia!M73</f>
        <v>343.34867978882249</v>
      </c>
      <c r="N73" s="43">
        <f>Poland!N73+Austria!N73+'Czech Republic'!N73+Greece!N73+Hungary!N73+Slovakia!N73+Croatia!N73</f>
        <v>419.45015949547991</v>
      </c>
      <c r="O73" s="43">
        <f>Poland!O73+Austria!O73+'Czech Republic'!O73+Greece!O73+Hungary!O73+Slovakia!O73+Croatia!O73</f>
        <v>512.22645387826913</v>
      </c>
      <c r="P73" s="43">
        <f>Poland!P73+Austria!P73+'Czech Republic'!P73+Greece!P73+Hungary!P73+Slovakia!P73+Croatia!P73</f>
        <v>608.60172872480996</v>
      </c>
      <c r="R73" s="57">
        <f>(J73/D73)^(1/6)-1</f>
        <v>0.30673770898955244</v>
      </c>
      <c r="S73" s="57">
        <f>(P73/J73)^(1/6)-1</f>
        <v>0.23942121339729816</v>
      </c>
    </row>
    <row r="74" spans="1:19" x14ac:dyDescent="0.2">
      <c r="A74" s="62" t="s">
        <v>4</v>
      </c>
      <c r="B74" s="63"/>
      <c r="C74" s="63">
        <f t="shared" ref="C74:P74" si="52">C73/B73-1</f>
        <v>0.31226635751031595</v>
      </c>
      <c r="D74" s="63">
        <f t="shared" si="52"/>
        <v>0.32260173084395083</v>
      </c>
      <c r="E74" s="63">
        <f t="shared" si="52"/>
        <v>0.33220377887274299</v>
      </c>
      <c r="F74" s="63">
        <f t="shared" si="52"/>
        <v>0.28873266932342512</v>
      </c>
      <c r="G74" s="63">
        <f t="shared" si="52"/>
        <v>0.32510456323387094</v>
      </c>
      <c r="H74" s="63">
        <f t="shared" si="52"/>
        <v>0.30079881730027891</v>
      </c>
      <c r="I74" s="63">
        <f t="shared" si="52"/>
        <v>0.29257006792304474</v>
      </c>
      <c r="J74" s="63">
        <f t="shared" si="52"/>
        <v>0.30161536410593892</v>
      </c>
      <c r="K74" s="63">
        <f t="shared" si="52"/>
        <v>0.2784852465249259</v>
      </c>
      <c r="L74" s="63">
        <f t="shared" si="52"/>
        <v>0.28132760040927396</v>
      </c>
      <c r="M74" s="63">
        <f t="shared" si="52"/>
        <v>0.24841750257931228</v>
      </c>
      <c r="N74" s="63">
        <f t="shared" si="52"/>
        <v>0.22164488808713001</v>
      </c>
      <c r="O74" s="63">
        <f t="shared" si="52"/>
        <v>0.22118550269329207</v>
      </c>
      <c r="P74" s="63">
        <f t="shared" si="52"/>
        <v>0.18814974142168084</v>
      </c>
      <c r="R74" s="109"/>
      <c r="S74" s="109"/>
    </row>
    <row r="75" spans="1:19" x14ac:dyDescent="0.2">
      <c r="A75" s="77" t="s">
        <v>23</v>
      </c>
      <c r="B75" s="56">
        <f t="shared" ref="B75:P75" si="53">B69+B71+B73</f>
        <v>445.48041487175942</v>
      </c>
      <c r="C75" s="56" t="e" vm="2">
        <f t="shared" si="53"/>
        <v>#VALUE!</v>
      </c>
      <c r="D75" s="56">
        <f t="shared" si="53"/>
        <v>719.99110481946502</v>
      </c>
      <c r="E75" s="56">
        <f t="shared" si="53"/>
        <v>934.29063634936631</v>
      </c>
      <c r="F75" s="56">
        <f t="shared" si="53"/>
        <v>1174.6857822757172</v>
      </c>
      <c r="G75" s="56">
        <f t="shared" si="53"/>
        <v>1500.35825238298</v>
      </c>
      <c r="H75" s="56">
        <f t="shared" si="53"/>
        <v>1913.511350945349</v>
      </c>
      <c r="I75" s="56">
        <f t="shared" si="53"/>
        <v>2397.2924353589669</v>
      </c>
      <c r="J75" s="56">
        <f t="shared" si="53"/>
        <v>2967.4949174124545</v>
      </c>
      <c r="K75" s="56">
        <f t="shared" si="53"/>
        <v>3576.547574450492</v>
      </c>
      <c r="L75" s="56">
        <f t="shared" si="53"/>
        <v>4332.7580062236775</v>
      </c>
      <c r="M75" s="56">
        <f t="shared" si="53"/>
        <v>5174.9849405618052</v>
      </c>
      <c r="N75" s="56">
        <f t="shared" si="53"/>
        <v>6077.3619560814632</v>
      </c>
      <c r="O75" s="56">
        <f t="shared" si="53"/>
        <v>7092.4493362450776</v>
      </c>
      <c r="P75" s="56">
        <f t="shared" si="53"/>
        <v>8142.7955973050312</v>
      </c>
      <c r="R75" s="57">
        <f>(J75/D75)^(1/6)-1</f>
        <v>0.26622380931009215</v>
      </c>
      <c r="S75" s="57">
        <f>(P75/J75)^(1/6)-1</f>
        <v>0.18321570339433535</v>
      </c>
    </row>
    <row r="76" spans="1:19" x14ac:dyDescent="0.2">
      <c r="A76" s="74" t="s">
        <v>4</v>
      </c>
      <c r="B76" s="66"/>
      <c r="C76" s="59" t="e" vm="3">
        <f t="shared" ref="C76:P76" si="54">C75/B75-1</f>
        <v>#VALUE!</v>
      </c>
      <c r="D76" s="59" t="e" vm="3">
        <f t="shared" si="54"/>
        <v>#VALUE!</v>
      </c>
      <c r="E76" s="59">
        <f t="shared" si="54"/>
        <v>0.29764191542843577</v>
      </c>
      <c r="F76" s="59">
        <f t="shared" si="54"/>
        <v>0.25730231747335863</v>
      </c>
      <c r="G76" s="59">
        <f t="shared" si="54"/>
        <v>0.27724219959173935</v>
      </c>
      <c r="H76" s="59">
        <f t="shared" si="54"/>
        <v>0.27536963115720448</v>
      </c>
      <c r="I76" s="59">
        <f t="shared" si="54"/>
        <v>0.25282373379944212</v>
      </c>
      <c r="J76" s="59">
        <f t="shared" si="54"/>
        <v>0.23785270150744298</v>
      </c>
      <c r="K76" s="59">
        <f t="shared" si="54"/>
        <v>0.20524134800173766</v>
      </c>
      <c r="L76" s="59">
        <f t="shared" si="54"/>
        <v>0.21143586546290272</v>
      </c>
      <c r="M76" s="59">
        <f t="shared" si="54"/>
        <v>0.19438586995357987</v>
      </c>
      <c r="N76" s="59">
        <f t="shared" si="54"/>
        <v>0.17437287758014119</v>
      </c>
      <c r="O76" s="59">
        <f t="shared" si="54"/>
        <v>0.16702763263060905</v>
      </c>
      <c r="P76" s="59">
        <f t="shared" si="54"/>
        <v>0.14809358675179962</v>
      </c>
      <c r="R76" s="109"/>
      <c r="S76" s="109"/>
    </row>
    <row r="77" spans="1:19" ht="17.100000000000001" customHeight="1" x14ac:dyDescent="0.2">
      <c r="R77" s="109"/>
      <c r="S77" s="109"/>
    </row>
    <row r="78" spans="1:19" x14ac:dyDescent="0.2">
      <c r="A78" s="67" t="s">
        <v>29</v>
      </c>
      <c r="R78" s="109"/>
      <c r="S78" s="109"/>
    </row>
    <row r="79" spans="1:19" x14ac:dyDescent="0.2">
      <c r="A79" s="68" t="s">
        <v>30</v>
      </c>
      <c r="B79" s="43">
        <f>Poland!B79+Austria!B79+'Czech Republic'!B79+Greece!B79+Hungary!B79+Slovakia!B79+Croatia!B79</f>
        <v>195.96539710535626</v>
      </c>
      <c r="C79" s="43">
        <f>Poland!C79+Austria!C79+'Czech Republic'!C79+Greece!C79+Hungary!C79+Slovakia!C79+Croatia!C79</f>
        <v>242.89976666817796</v>
      </c>
      <c r="D79" s="43">
        <f>Poland!D79+Austria!D79+'Czech Republic'!D79+Greece!D79+Hungary!D79+Slovakia!D79+Croatia!D79</f>
        <v>302.49235289550484</v>
      </c>
      <c r="E79" s="43">
        <f>Poland!E79+Austria!E79+'Czech Republic'!E79+Greece!E79+Hungary!E79+Slovakia!E79+Croatia!E79</f>
        <v>377.06691093374604</v>
      </c>
      <c r="F79" s="43">
        <f>Poland!F79+Austria!F79+'Czech Republic'!F79+Greece!F79+Hungary!F79+Slovakia!F79+Croatia!F79</f>
        <v>459.93715219294484</v>
      </c>
      <c r="G79" s="43">
        <f>Poland!G79+Austria!G79+'Czech Republic'!G79+Greece!G79+Hungary!G79+Slovakia!G79+Croatia!G79</f>
        <v>561.81895579107766</v>
      </c>
      <c r="H79" s="43">
        <f>Poland!H79+Austria!H79+'Czech Republic'!H79+Greece!H79+Hungary!H79+Slovakia!H79+Croatia!H79</f>
        <v>700.70801101721372</v>
      </c>
      <c r="I79" s="43">
        <f>Poland!I79+Austria!I79+'Czech Republic'!I79+Greece!I79+Hungary!I79+Slovakia!I79+Croatia!I79</f>
        <v>865.82944288262456</v>
      </c>
      <c r="J79" s="43">
        <f>Poland!J79+Austria!J79+'Czech Republic'!J79+Greece!J79+Hungary!J79+Slovakia!J79+Croatia!J79</f>
        <v>1045.0955229117105</v>
      </c>
      <c r="K79" s="43">
        <f>Poland!K79+Austria!K79+'Czech Republic'!K79+Greece!K79+Hungary!K79+Slovakia!K79+Croatia!K79</f>
        <v>1233.2028615032889</v>
      </c>
      <c r="L79" s="43">
        <f>Poland!L79+Austria!L79+'Czech Republic'!L79+Greece!L79+Hungary!L79+Slovakia!L79+Croatia!L79</f>
        <v>1465.2057447184441</v>
      </c>
      <c r="M79" s="43">
        <f>Poland!M79+Austria!M79+'Czech Republic'!M79+Greece!M79+Hungary!M79+Slovakia!M79+Croatia!M79</f>
        <v>1718.7127596884793</v>
      </c>
      <c r="N79" s="43">
        <f>Poland!N79+Austria!N79+'Czech Republic'!N79+Greece!N79+Hungary!N79+Slovakia!N79+Croatia!N79</f>
        <v>1988.9699331712131</v>
      </c>
      <c r="O79" s="43">
        <f>Poland!O79+Austria!O79+'Czech Republic'!O79+Greece!O79+Hungary!O79+Slovakia!O79+Croatia!O79</f>
        <v>2290.7940307381737</v>
      </c>
      <c r="P79" s="43">
        <f>Poland!P79+Austria!P79+'Czech Republic'!P79+Greece!P79+Hungary!P79+Slovakia!P79+Croatia!P79</f>
        <v>2599.4362802090641</v>
      </c>
      <c r="R79" s="57">
        <f>(J79/D79)^(1/6)-1</f>
        <v>0.22953321256209525</v>
      </c>
      <c r="S79" s="57">
        <f>(P79/J79)^(1/6)-1</f>
        <v>0.16400237061176792</v>
      </c>
    </row>
    <row r="80" spans="1:19" x14ac:dyDescent="0.2">
      <c r="A80" s="62" t="s">
        <v>4</v>
      </c>
      <c r="B80" s="43"/>
      <c r="C80" s="63">
        <f t="shared" ref="C80:P80" si="55">C79/B79-1</f>
        <v>0.2395033524086323</v>
      </c>
      <c r="D80" s="63">
        <f t="shared" si="55"/>
        <v>0.24533817814957182</v>
      </c>
      <c r="E80" s="63">
        <f t="shared" si="55"/>
        <v>0.246533696883249</v>
      </c>
      <c r="F80" s="63">
        <f t="shared" si="55"/>
        <v>0.2197759571477218</v>
      </c>
      <c r="G80" s="63">
        <f t="shared" si="55"/>
        <v>0.22151244602087106</v>
      </c>
      <c r="H80" s="63">
        <f t="shared" si="55"/>
        <v>0.2472131881534172</v>
      </c>
      <c r="I80" s="63">
        <f t="shared" si="55"/>
        <v>0.23564941354916868</v>
      </c>
      <c r="J80" s="63">
        <f t="shared" si="55"/>
        <v>0.20704548858058192</v>
      </c>
      <c r="K80" s="63">
        <f t="shared" si="55"/>
        <v>0.17999056973040894</v>
      </c>
      <c r="L80" s="63">
        <f t="shared" si="55"/>
        <v>0.18813034777777027</v>
      </c>
      <c r="M80" s="63">
        <f t="shared" si="55"/>
        <v>0.17301803237111213</v>
      </c>
      <c r="N80" s="63">
        <f t="shared" si="55"/>
        <v>0.15724394431779198</v>
      </c>
      <c r="O80" s="63">
        <f t="shared" si="55"/>
        <v>0.15174894930952143</v>
      </c>
      <c r="P80" s="63">
        <f t="shared" si="55"/>
        <v>0.13473155828480787</v>
      </c>
      <c r="R80" s="109"/>
      <c r="S80" s="109"/>
    </row>
    <row r="81" spans="1:19" x14ac:dyDescent="0.2">
      <c r="A81" s="68" t="s">
        <v>31</v>
      </c>
      <c r="B81" s="43">
        <f>Poland!B81+Austria!B81+'Czech Republic'!B81+Greece!B81+Hungary!B81+Slovakia!B81+Croatia!B81</f>
        <v>91.602654538624975</v>
      </c>
      <c r="C81" s="43">
        <f>Poland!C81+Austria!C81+'Czech Republic'!C81+Greece!C81+Hungary!C81+Slovakia!C81+Croatia!C81</f>
        <v>121.04219685615797</v>
      </c>
      <c r="D81" s="43">
        <f>Poland!D81+Austria!D81+'Czech Republic'!D81+Greece!D81+Hungary!D81+Slovakia!D81+Croatia!D81</f>
        <v>157.08643292055737</v>
      </c>
      <c r="E81" s="43">
        <f>Poland!E81+Austria!E81+'Czech Republic'!E81+Greece!E81+Hungary!E81+Slovakia!E81+Croatia!E81</f>
        <v>214.44461020108452</v>
      </c>
      <c r="F81" s="43">
        <f>Poland!F81+Austria!F81+'Czech Republic'!F81+Greece!F81+Hungary!F81+Slovakia!F81+Croatia!F81</f>
        <v>278.83502886048871</v>
      </c>
      <c r="G81" s="43">
        <f>Poland!G81+Austria!G81+'Czech Republic'!G81+Greece!G81+Hungary!G81+Slovakia!G81+Croatia!G81</f>
        <v>372.10862151471605</v>
      </c>
      <c r="H81" s="43">
        <f>Poland!H81+Austria!H81+'Czech Republic'!H81+Greece!H81+Hungary!H81+Slovakia!H81+Croatia!H81</f>
        <v>483.19480864155196</v>
      </c>
      <c r="I81" s="43">
        <f>Poland!I81+Austria!I81+'Czech Republic'!I81+Greece!I81+Hungary!I81+Slovakia!I81+Croatia!I81</f>
        <v>615.47836716175698</v>
      </c>
      <c r="J81" s="43">
        <f>Poland!J81+Austria!J81+'Czech Republic'!J81+Greece!J81+Hungary!J81+Slovakia!J81+Croatia!J81</f>
        <v>782.60574317053761</v>
      </c>
      <c r="K81" s="43">
        <f>Poland!K81+Austria!K81+'Czech Republic'!K81+Greece!K81+Hungary!K81+Slovakia!K81+Croatia!K81</f>
        <v>967.81436928986284</v>
      </c>
      <c r="L81" s="43">
        <f>Poland!L81+Austria!L81+'Czech Republic'!L81+Greece!L81+Hungary!L81+Slovakia!L81+Croatia!L81</f>
        <v>1200.3543660059383</v>
      </c>
      <c r="M81" s="43">
        <f>Poland!M81+Austria!M81+'Czech Republic'!M81+Greece!M81+Hungary!M81+Slovakia!M81+Croatia!M81</f>
        <v>1461.62155499552</v>
      </c>
      <c r="N81" s="43">
        <f>Poland!N81+Austria!N81+'Czech Republic'!N81+Greece!N81+Hungary!N81+Slovakia!N81+Croatia!N81</f>
        <v>1745.9441774843274</v>
      </c>
      <c r="O81" s="43">
        <f>Poland!O81+Austria!O81+'Czech Republic'!O81+Greece!O81+Hungary!O81+Slovakia!O81+Croatia!O81</f>
        <v>2066.853117080926</v>
      </c>
      <c r="P81" s="43">
        <f>Poland!P81+Austria!P81+'Czech Republic'!P81+Greece!P81+Hungary!P81+Slovakia!P81+Croatia!P81</f>
        <v>2399.9031003452055</v>
      </c>
      <c r="R81" s="57">
        <f>(J81/D81)^(1/6)-1</f>
        <v>0.30687502594198124</v>
      </c>
      <c r="S81" s="57">
        <f>(P81/J81)^(1/6)-1</f>
        <v>0.20533688287793672</v>
      </c>
    </row>
    <row r="82" spans="1:19" x14ac:dyDescent="0.2">
      <c r="A82" s="62" t="s">
        <v>4</v>
      </c>
      <c r="B82" s="63"/>
      <c r="C82" s="63">
        <f t="shared" ref="C82:P82" si="56">C81/B81-1</f>
        <v>0.32138306980088216</v>
      </c>
      <c r="D82" s="63">
        <f t="shared" si="56"/>
        <v>0.29778240151434976</v>
      </c>
      <c r="E82" s="63">
        <f t="shared" si="56"/>
        <v>0.3651376902137351</v>
      </c>
      <c r="F82" s="63">
        <f t="shared" si="56"/>
        <v>0.30026596890929258</v>
      </c>
      <c r="G82" s="63">
        <f t="shared" si="56"/>
        <v>0.33451174709076992</v>
      </c>
      <c r="H82" s="63">
        <f t="shared" si="56"/>
        <v>0.29853161336237055</v>
      </c>
      <c r="I82" s="63">
        <f t="shared" si="56"/>
        <v>0.2737685839218873</v>
      </c>
      <c r="J82" s="63">
        <f t="shared" si="56"/>
        <v>0.27154061771411864</v>
      </c>
      <c r="K82" s="63">
        <f t="shared" si="56"/>
        <v>0.2366563595214588</v>
      </c>
      <c r="L82" s="63">
        <f t="shared" si="56"/>
        <v>0.24027334589659222</v>
      </c>
      <c r="M82" s="63">
        <f t="shared" si="56"/>
        <v>0.21765838188177944</v>
      </c>
      <c r="N82" s="63">
        <f t="shared" si="56"/>
        <v>0.19452547173859847</v>
      </c>
      <c r="O82" s="63">
        <f t="shared" si="56"/>
        <v>0.18380251999750974</v>
      </c>
      <c r="P82" s="63">
        <f t="shared" si="56"/>
        <v>0.16113868010836452</v>
      </c>
      <c r="R82" s="109"/>
      <c r="S82" s="109"/>
    </row>
    <row r="83" spans="1:19" x14ac:dyDescent="0.2">
      <c r="A83" s="77" t="s">
        <v>23</v>
      </c>
      <c r="B83" s="56">
        <f t="shared" ref="B83:P83" si="57">B79+B81</f>
        <v>287.56805164398122</v>
      </c>
      <c r="C83" s="56">
        <f t="shared" si="57"/>
        <v>363.94196352433596</v>
      </c>
      <c r="D83" s="56">
        <f t="shared" si="57"/>
        <v>459.57878581606224</v>
      </c>
      <c r="E83" s="56">
        <f t="shared" si="57"/>
        <v>591.51152113483056</v>
      </c>
      <c r="F83" s="56">
        <f t="shared" si="57"/>
        <v>738.77218105343354</v>
      </c>
      <c r="G83" s="56">
        <f t="shared" si="57"/>
        <v>933.92757730579365</v>
      </c>
      <c r="H83" s="56">
        <f t="shared" si="57"/>
        <v>1183.9028196587656</v>
      </c>
      <c r="I83" s="56">
        <f t="shared" si="57"/>
        <v>1481.3078100443815</v>
      </c>
      <c r="J83" s="56">
        <f t="shared" si="57"/>
        <v>1827.7012660822481</v>
      </c>
      <c r="K83" s="56">
        <f t="shared" si="57"/>
        <v>2201.0172307931516</v>
      </c>
      <c r="L83" s="56">
        <f t="shared" si="57"/>
        <v>2665.5601107243824</v>
      </c>
      <c r="M83" s="56">
        <f t="shared" si="57"/>
        <v>3180.3343146839993</v>
      </c>
      <c r="N83" s="56">
        <f t="shared" si="57"/>
        <v>3734.9141106555408</v>
      </c>
      <c r="O83" s="56">
        <f t="shared" si="57"/>
        <v>4357.6471478190997</v>
      </c>
      <c r="P83" s="56">
        <f t="shared" si="57"/>
        <v>4999.3393805542692</v>
      </c>
      <c r="R83" s="57">
        <f>(J83/D83)^(1/6)-1</f>
        <v>0.258705722190395</v>
      </c>
      <c r="S83" s="57">
        <f>(P83/J83)^(1/6)-1</f>
        <v>0.18259099549937519</v>
      </c>
    </row>
    <row r="84" spans="1:19" x14ac:dyDescent="0.2">
      <c r="A84" s="74" t="s">
        <v>4</v>
      </c>
      <c r="B84" s="66"/>
      <c r="C84" s="59">
        <f t="shared" ref="C84:P84" si="58">C83/B83-1</f>
        <v>0.26558552469141516</v>
      </c>
      <c r="D84" s="59">
        <f t="shared" si="58"/>
        <v>0.26278042071763252</v>
      </c>
      <c r="E84" s="59">
        <f t="shared" si="58"/>
        <v>0.28707316218806489</v>
      </c>
      <c r="F84" s="59">
        <f t="shared" si="58"/>
        <v>0.24895653703596432</v>
      </c>
      <c r="G84" s="59">
        <f t="shared" si="58"/>
        <v>0.26416180963133074</v>
      </c>
      <c r="H84" s="59">
        <f t="shared" si="58"/>
        <v>0.2676602002417614</v>
      </c>
      <c r="I84" s="59">
        <f t="shared" si="58"/>
        <v>0.25120726587283282</v>
      </c>
      <c r="J84" s="59">
        <f t="shared" si="58"/>
        <v>0.2338429958237298</v>
      </c>
      <c r="K84" s="59">
        <f t="shared" si="58"/>
        <v>0.20425436674950781</v>
      </c>
      <c r="L84" s="59">
        <f t="shared" si="58"/>
        <v>0.21105826589273424</v>
      </c>
      <c r="M84" s="59">
        <f t="shared" si="58"/>
        <v>0.19312046345851264</v>
      </c>
      <c r="N84" s="59">
        <f t="shared" si="58"/>
        <v>0.17437782984354122</v>
      </c>
      <c r="O84" s="59">
        <f t="shared" si="58"/>
        <v>0.16673289363922184</v>
      </c>
      <c r="P84" s="59">
        <f t="shared" si="58"/>
        <v>0.14725658387837148</v>
      </c>
      <c r="R84" s="109"/>
      <c r="S84" s="109"/>
    </row>
    <row r="85" spans="1:19" ht="17.100000000000001" customHeight="1" x14ac:dyDescent="0.2">
      <c r="R85" s="109"/>
      <c r="S85" s="109"/>
    </row>
    <row r="86" spans="1:19" ht="17.100000000000001" customHeight="1" x14ac:dyDescent="0.2">
      <c r="A86" s="67" t="s">
        <v>47</v>
      </c>
      <c r="R86" s="109"/>
      <c r="S86" s="109"/>
    </row>
    <row r="87" spans="1:19" ht="17.100000000000001" customHeight="1" x14ac:dyDescent="0.2">
      <c r="A87" s="68" t="s">
        <v>48</v>
      </c>
      <c r="B87" s="43">
        <f>Poland!B87+Austria!B87+'Czech Republic'!B87+Greece!B87+Hungary!B87+Slovakia!B87+Croatia!B87</f>
        <v>55.812283737890411</v>
      </c>
      <c r="C87" s="43">
        <f>Poland!C87+Austria!C87+'Czech Republic'!C87+Greece!C87+Hungary!C87+Slovakia!C87+Croatia!C87</f>
        <v>71.922029215716847</v>
      </c>
      <c r="D87" s="43">
        <f>Poland!D87+Austria!D87+'Czech Republic'!D87+Greece!D87+Hungary!D87+Slovakia!D87+Croatia!D87</f>
        <v>97.83785251437584</v>
      </c>
      <c r="E87" s="43">
        <f>Poland!E87+Austria!E87+'Czech Republic'!E87+Greece!E87+Hungary!E87+Slovakia!E87+Croatia!E87</f>
        <v>133.16901755241517</v>
      </c>
      <c r="F87" s="43">
        <f>Poland!F87+Austria!F87+'Czech Republic'!F87+Greece!F87+Hungary!F87+Slovakia!F87+Croatia!F87</f>
        <v>175.67276871280126</v>
      </c>
      <c r="G87" s="43">
        <f>Poland!G87+Austria!G87+'Czech Republic'!G87+Greece!G87+Hungary!G87+Slovakia!G87+Croatia!G87</f>
        <v>237.19934771736629</v>
      </c>
      <c r="H87" s="43">
        <f>Poland!H87+Austria!H87+'Czech Republic'!H87+Greece!H87+Hungary!H87+Slovakia!H87+Croatia!H87</f>
        <v>315.9395874438955</v>
      </c>
      <c r="I87" s="43">
        <f>Poland!I87+Austria!I87+'Czech Republic'!I87+Greece!I87+Hungary!I87+Slovakia!I87+Croatia!I87</f>
        <v>407.91515502034912</v>
      </c>
      <c r="J87" s="43">
        <f>Poland!J87+Austria!J87+'Czech Republic'!J87+Greece!J87+Hungary!J87+Slovakia!J87+Croatia!J87</f>
        <v>523.29895745757665</v>
      </c>
      <c r="K87" s="43">
        <f>Poland!K87+Austria!K87+'Czech Republic'!K87+Greece!K87+Hungary!K87+Slovakia!K87+Croatia!K87</f>
        <v>647.61313411873459</v>
      </c>
      <c r="L87" s="43">
        <f>Poland!L87+Austria!L87+'Czech Republic'!L87+Greece!L87+Hungary!L87+Slovakia!L87+Croatia!L87</f>
        <v>805.25856950430648</v>
      </c>
      <c r="M87" s="43">
        <f>Poland!M87+Austria!M87+'Czech Republic'!M87+Greece!M87+Hungary!M87+Slovakia!M87+Croatia!M87</f>
        <v>988.69981151125887</v>
      </c>
      <c r="N87" s="43">
        <f>Poland!N87+Austria!N87+'Czech Republic'!N87+Greece!N87+Hungary!N87+Slovakia!N87+Croatia!N87</f>
        <v>1189.8060003831497</v>
      </c>
      <c r="O87" s="43">
        <f>Poland!O87+Austria!O87+'Czech Republic'!O87+Greece!O87+Hungary!O87+Slovakia!O87+Croatia!O87</f>
        <v>1420.6770916336834</v>
      </c>
      <c r="P87" s="43">
        <f>Poland!P87+Austria!P87+'Czech Republic'!P87+Greece!P87+Hungary!P87+Slovakia!P87+Croatia!P87</f>
        <v>1673.0554631885086</v>
      </c>
      <c r="R87" s="57">
        <f>(J87/D87)^(1/6)-1</f>
        <v>0.32243345136806356</v>
      </c>
      <c r="S87" s="57">
        <f>(P87/J87)^(1/6)-1</f>
        <v>0.21374301842947396</v>
      </c>
    </row>
    <row r="88" spans="1:19" ht="17.100000000000001" customHeight="1" x14ac:dyDescent="0.2">
      <c r="A88" s="62" t="s">
        <v>4</v>
      </c>
      <c r="B88" s="63"/>
      <c r="C88" s="63">
        <f t="shared" ref="C88:P88" si="59">C87/B87-1</f>
        <v>0.28864157491713049</v>
      </c>
      <c r="D88" s="63">
        <f t="shared" si="59"/>
        <v>0.36033220393336318</v>
      </c>
      <c r="E88" s="63">
        <f t="shared" si="59"/>
        <v>0.36111958848287196</v>
      </c>
      <c r="F88" s="63">
        <f t="shared" si="59"/>
        <v>0.31917147052358974</v>
      </c>
      <c r="G88" s="63">
        <f t="shared" si="59"/>
        <v>0.3502340143858711</v>
      </c>
      <c r="H88" s="63">
        <f t="shared" si="59"/>
        <v>0.33195807865522364</v>
      </c>
      <c r="I88" s="63">
        <f t="shared" si="59"/>
        <v>0.29111757827051865</v>
      </c>
      <c r="J88" s="63">
        <f t="shared" si="59"/>
        <v>0.28286225950950894</v>
      </c>
      <c r="K88" s="63">
        <f t="shared" si="59"/>
        <v>0.23755861709553661</v>
      </c>
      <c r="L88" s="63">
        <f t="shared" si="59"/>
        <v>0.24342532150786944</v>
      </c>
      <c r="M88" s="63">
        <f t="shared" si="59"/>
        <v>0.2278041475794208</v>
      </c>
      <c r="N88" s="63">
        <f t="shared" si="59"/>
        <v>0.20340470032505986</v>
      </c>
      <c r="O88" s="63">
        <f t="shared" si="59"/>
        <v>0.19404095388339515</v>
      </c>
      <c r="P88" s="63">
        <f t="shared" si="59"/>
        <v>0.17764654124506718</v>
      </c>
      <c r="R88" s="109"/>
      <c r="S88" s="109"/>
    </row>
    <row r="89" spans="1:19" ht="17.100000000000001" customHeight="1" x14ac:dyDescent="0.2">
      <c r="A89" s="68" t="s">
        <v>49</v>
      </c>
      <c r="B89" s="43">
        <f>Poland!B89+Austria!B89+'Czech Republic'!B89+Greece!B89+Hungary!B89+Slovakia!B89+Croatia!B89</f>
        <v>82.671636099242008</v>
      </c>
      <c r="C89" s="43">
        <f>Poland!C89+Austria!C89+'Czech Republic'!C89+Greece!C89+Hungary!C89+Slovakia!C89+Croatia!C89</f>
        <v>100.27367962979787</v>
      </c>
      <c r="D89" s="43">
        <f>Poland!D89+Austria!D89+'Czech Republic'!D89+Greece!D89+Hungary!D89+Slovakia!D89+Croatia!D89</f>
        <v>128.85434831454293</v>
      </c>
      <c r="E89" s="43">
        <f>Poland!E89+Austria!E89+'Czech Republic'!E89+Greece!E89+Hungary!E89+Slovakia!E89+Croatia!E89</f>
        <v>164.68802880603732</v>
      </c>
      <c r="F89" s="43">
        <f>Poland!F89+Austria!F89+'Czech Republic'!F89+Greece!F89+Hungary!F89+Slovakia!F89+Croatia!F89</f>
        <v>202.34829480105131</v>
      </c>
      <c r="G89" s="43">
        <f>Poland!G89+Austria!G89+'Czech Republic'!G89+Greece!G89+Hungary!G89+Slovakia!G89+Croatia!G89</f>
        <v>252.51766146518955</v>
      </c>
      <c r="H89" s="43">
        <f>Poland!H89+Austria!H89+'Czech Republic'!H89+Greece!H89+Hungary!H89+Slovakia!H89+Croatia!H89</f>
        <v>313.87989797618354</v>
      </c>
      <c r="I89" s="43">
        <f>Poland!I89+Austria!I89+'Czech Republic'!I89+Greece!I89+Hungary!I89+Slovakia!I89+Croatia!I89</f>
        <v>379.08513650059268</v>
      </c>
      <c r="J89" s="43">
        <f>Poland!J89+Austria!J89+'Czech Republic'!J89+Greece!J89+Hungary!J89+Slovakia!J89+Croatia!J89</f>
        <v>448.60670327785522</v>
      </c>
      <c r="K89" s="43">
        <f>Poland!K89+Austria!K89+'Czech Republic'!K89+Greece!K89+Hungary!K89+Slovakia!K89+Croatia!K89</f>
        <v>513.27489049447001</v>
      </c>
      <c r="L89" s="43">
        <f>Poland!L89+Austria!L89+'Czech Republic'!L89+Greece!L89+Hungary!L89+Slovakia!L89+Croatia!L89</f>
        <v>586.91219838788436</v>
      </c>
      <c r="M89" s="43">
        <f>Poland!M89+Austria!M89+'Czech Republic'!M89+Greece!M89+Hungary!M89+Slovakia!M89+Croatia!M89</f>
        <v>662.60213457772375</v>
      </c>
      <c r="N89" s="43">
        <f>Poland!N89+Austria!N89+'Czech Republic'!N89+Greece!N89+Hungary!N89+Slovakia!N89+Croatia!N89</f>
        <v>733.19168554729242</v>
      </c>
      <c r="O89" s="43">
        <f>Poland!O89+Austria!O89+'Czech Republic'!O89+Greece!O89+Hungary!O89+Slovakia!O89+Croatia!O89</f>
        <v>801.89864291402478</v>
      </c>
      <c r="P89" s="43">
        <f>Poland!P89+Austria!P89+'Czech Republic'!P89+Greece!P89+Hungary!P89+Slovakia!P89+Croatia!P89</f>
        <v>861.79902483744399</v>
      </c>
      <c r="R89" s="57">
        <f>(J89/D89)^(1/6)-1</f>
        <v>0.23110316166844536</v>
      </c>
      <c r="S89" s="57">
        <f>(P89/J89)^(1/6)-1</f>
        <v>0.11495337530440874</v>
      </c>
    </row>
    <row r="90" spans="1:19" ht="17.100000000000001" customHeight="1" x14ac:dyDescent="0.2">
      <c r="A90" s="62" t="s">
        <v>4</v>
      </c>
      <c r="B90" s="63"/>
      <c r="C90" s="63">
        <f t="shared" ref="C90:P90" si="60">C89/B89-1</f>
        <v>0.21291514673092626</v>
      </c>
      <c r="D90" s="63">
        <f t="shared" si="60"/>
        <v>0.28502662702977011</v>
      </c>
      <c r="E90" s="63">
        <f t="shared" si="60"/>
        <v>0.27809446060773779</v>
      </c>
      <c r="F90" s="63">
        <f t="shared" si="60"/>
        <v>0.22867640269936484</v>
      </c>
      <c r="G90" s="63">
        <f t="shared" si="60"/>
        <v>0.24793570271231946</v>
      </c>
      <c r="H90" s="63">
        <f t="shared" si="60"/>
        <v>0.24300176136176121</v>
      </c>
      <c r="I90" s="63">
        <f t="shared" si="60"/>
        <v>0.20773945367268065</v>
      </c>
      <c r="J90" s="63">
        <f t="shared" si="60"/>
        <v>0.18339301672186203</v>
      </c>
      <c r="K90" s="63">
        <f t="shared" si="60"/>
        <v>0.14415341265322335</v>
      </c>
      <c r="L90" s="63">
        <f t="shared" si="60"/>
        <v>0.14346563460853279</v>
      </c>
      <c r="M90" s="63">
        <f t="shared" si="60"/>
        <v>0.12896296311056843</v>
      </c>
      <c r="N90" s="63">
        <f t="shared" si="60"/>
        <v>0.10653384178207537</v>
      </c>
      <c r="O90" s="63">
        <f t="shared" si="60"/>
        <v>9.370940604085809E-2</v>
      </c>
      <c r="P90" s="63">
        <f t="shared" si="60"/>
        <v>7.4698195903844855E-2</v>
      </c>
      <c r="R90" s="109"/>
      <c r="S90" s="109"/>
    </row>
    <row r="91" spans="1:19" ht="17.100000000000001" customHeight="1" x14ac:dyDescent="0.2">
      <c r="A91" s="77" t="s">
        <v>23</v>
      </c>
      <c r="B91" s="56">
        <f t="shared" ref="B91:P91" si="61">B89+B87</f>
        <v>138.48391983713242</v>
      </c>
      <c r="C91" s="56">
        <f t="shared" si="61"/>
        <v>172.19570884551473</v>
      </c>
      <c r="D91" s="56">
        <f t="shared" si="61"/>
        <v>226.69220082891877</v>
      </c>
      <c r="E91" s="56">
        <f t="shared" si="61"/>
        <v>297.85704635845252</v>
      </c>
      <c r="F91" s="56">
        <f t="shared" si="61"/>
        <v>378.0210635138526</v>
      </c>
      <c r="G91" s="56">
        <f t="shared" si="61"/>
        <v>489.71700918255584</v>
      </c>
      <c r="H91" s="56">
        <f t="shared" si="61"/>
        <v>629.81948542007899</v>
      </c>
      <c r="I91" s="56">
        <f t="shared" si="61"/>
        <v>787.0002915209418</v>
      </c>
      <c r="J91" s="56">
        <f t="shared" si="61"/>
        <v>971.90566073543187</v>
      </c>
      <c r="K91" s="56">
        <f t="shared" si="61"/>
        <v>1160.8880246132046</v>
      </c>
      <c r="L91" s="56">
        <f t="shared" si="61"/>
        <v>1392.1707678921907</v>
      </c>
      <c r="M91" s="56">
        <f t="shared" si="61"/>
        <v>1651.3019460889827</v>
      </c>
      <c r="N91" s="56">
        <f t="shared" si="61"/>
        <v>1922.997685930442</v>
      </c>
      <c r="O91" s="56">
        <f t="shared" si="61"/>
        <v>2222.5757345477082</v>
      </c>
      <c r="P91" s="56">
        <f t="shared" si="61"/>
        <v>2534.8544880259524</v>
      </c>
      <c r="R91" s="57">
        <f>(J91/D91)^(1/6)-1</f>
        <v>0.27457263157958756</v>
      </c>
      <c r="S91" s="57">
        <f>(P91/J91)^(1/6)-1</f>
        <v>0.17324349163985464</v>
      </c>
    </row>
    <row r="92" spans="1:19" ht="17.100000000000001" customHeight="1" x14ac:dyDescent="0.2">
      <c r="A92" s="74" t="s">
        <v>4</v>
      </c>
      <c r="B92" s="66"/>
      <c r="C92" s="59">
        <f t="shared" ref="C92:P92" si="62">C91/B91-1</f>
        <v>0.24343468214959496</v>
      </c>
      <c r="D92" s="59">
        <f t="shared" si="62"/>
        <v>0.31647996543453671</v>
      </c>
      <c r="E92" s="59">
        <f t="shared" si="62"/>
        <v>0.3139271896841338</v>
      </c>
      <c r="F92" s="59">
        <f t="shared" si="62"/>
        <v>0.26913587620461277</v>
      </c>
      <c r="G92" s="59">
        <f t="shared" si="62"/>
        <v>0.29547545480785131</v>
      </c>
      <c r="H92" s="59">
        <f t="shared" si="62"/>
        <v>0.28608864632123887</v>
      </c>
      <c r="I92" s="59">
        <f t="shared" si="62"/>
        <v>0.24956485110336946</v>
      </c>
      <c r="J92" s="59">
        <f t="shared" si="62"/>
        <v>0.23494955619031033</v>
      </c>
      <c r="K92" s="59">
        <f t="shared" si="62"/>
        <v>0.19444517252299121</v>
      </c>
      <c r="L92" s="59">
        <f t="shared" si="62"/>
        <v>0.19922915765803251</v>
      </c>
      <c r="M92" s="59">
        <f t="shared" si="62"/>
        <v>0.18613462096257649</v>
      </c>
      <c r="N92" s="59">
        <f t="shared" si="62"/>
        <v>0.16453425764134511</v>
      </c>
      <c r="O92" s="59">
        <f t="shared" si="62"/>
        <v>0.15578700422216851</v>
      </c>
      <c r="P92" s="59">
        <f t="shared" si="62"/>
        <v>0.14050308775722886</v>
      </c>
      <c r="R92" s="109"/>
      <c r="S92" s="109"/>
    </row>
    <row r="93" spans="1:19" ht="17.100000000000001" customHeight="1" x14ac:dyDescent="0.2">
      <c r="R93" s="109"/>
      <c r="S93" s="109"/>
    </row>
    <row r="94" spans="1:19" ht="17.100000000000001" customHeight="1" x14ac:dyDescent="0.2">
      <c r="A94" s="67" t="s">
        <v>50</v>
      </c>
      <c r="R94" s="109"/>
      <c r="S94" s="109"/>
    </row>
    <row r="95" spans="1:19" ht="17.100000000000001" customHeight="1" x14ac:dyDescent="0.2">
      <c r="A95" s="68" t="s">
        <v>48</v>
      </c>
      <c r="B95" s="43">
        <f>Poland!B95+Austria!B95+'Czech Republic'!B95+Greece!B95+Hungary!B95+Slovakia!B95+Croatia!B95</f>
        <v>10.234813248218446</v>
      </c>
      <c r="C95" s="43">
        <f>Poland!C95+Austria!C95+'Czech Republic'!C95+Greece!C95+Hungary!C95+Slovakia!C95+Croatia!C95</f>
        <v>13.904101833753257</v>
      </c>
      <c r="D95" s="43">
        <f>Poland!D95+Austria!D95+'Czech Republic'!D95+Greece!D95+Hungary!D95+Slovakia!D95+Croatia!D95</f>
        <v>18.967297655280269</v>
      </c>
      <c r="E95" s="43">
        <f>Poland!E95+Austria!E95+'Czech Republic'!E95+Greece!E95+Hungary!E95+Slovakia!E95+Croatia!E95</f>
        <v>26.071540866967887</v>
      </c>
      <c r="F95" s="43">
        <f>Poland!F95+Austria!F95+'Czech Republic'!F95+Greece!F95+Hungary!F95+Slovakia!F95+Croatia!F95</f>
        <v>34.653334651868732</v>
      </c>
      <c r="G95" s="43">
        <f>Poland!G95+Austria!G95+'Czech Republic'!G95+Greece!G95+Hungary!G95+Slovakia!G95+Croatia!G95</f>
        <v>47.431025302994669</v>
      </c>
      <c r="H95" s="43">
        <f>Poland!H95+Austria!H95+'Czech Republic'!H95+Greece!H95+Hungary!H95+Slovakia!H95+Croatia!H95</f>
        <v>63.703847241045437</v>
      </c>
      <c r="I95" s="43">
        <f>Poland!I95+Austria!I95+'Czech Republic'!I95+Greece!I95+Hungary!I95+Slovakia!I95+Croatia!I95</f>
        <v>85.109311709620485</v>
      </c>
      <c r="J95" s="43">
        <f>Poland!J95+Austria!J95+'Czech Republic'!J95+Greece!J95+Hungary!J95+Slovakia!J95+Croatia!J95</f>
        <v>114.54435099230547</v>
      </c>
      <c r="K95" s="43">
        <f>Poland!K95+Austria!K95+'Czech Republic'!K95+Greece!K95+Hungary!K95+Slovakia!K95+Croatia!K95</f>
        <v>151.58087427838063</v>
      </c>
      <c r="L95" s="43">
        <f>Poland!L95+Austria!L95+'Czech Republic'!L95+Greece!L95+Hungary!L95+Slovakia!L95+Croatia!L95</f>
        <v>199.11312902092578</v>
      </c>
      <c r="M95" s="43">
        <f>Poland!M95+Austria!M95+'Czech Republic'!M95+Greece!M95+Hungary!M95+Slovakia!M95+Croatia!M95</f>
        <v>254.49685502595338</v>
      </c>
      <c r="N95" s="43">
        <f>Poland!N95+Austria!N95+'Czech Republic'!N95+Greece!N95+Hungary!N95+Slovakia!N95+Croatia!N95</f>
        <v>318.01156218517872</v>
      </c>
      <c r="O95" s="43">
        <f>Poland!O95+Austria!O95+'Czech Republic'!O95+Greece!O95+Hungary!O95+Slovakia!O95+Croatia!O95</f>
        <v>397.48633902690625</v>
      </c>
      <c r="P95" s="43">
        <f>Poland!P95+Austria!P95+'Czech Republic'!P95+Greece!P95+Hungary!P95+Slovakia!P95+Croatia!P95</f>
        <v>483.0076467895841</v>
      </c>
      <c r="R95" s="57">
        <f>(J95/D95)^(1/6)-1</f>
        <v>0.34946420540282253</v>
      </c>
      <c r="S95" s="57">
        <f>(P95/J95)^(1/6)-1</f>
        <v>0.27105220511762407</v>
      </c>
    </row>
    <row r="96" spans="1:19" ht="17.100000000000001" customHeight="1" x14ac:dyDescent="0.2">
      <c r="A96" s="62" t="s">
        <v>4</v>
      </c>
      <c r="B96" s="63"/>
      <c r="C96" s="63">
        <f t="shared" ref="C96:P96" si="63">C95/B95-1</f>
        <v>0.35851055574204227</v>
      </c>
      <c r="D96" s="63">
        <f t="shared" si="63"/>
        <v>0.36415123264098392</v>
      </c>
      <c r="E96" s="63">
        <f t="shared" si="63"/>
        <v>0.37455220774214415</v>
      </c>
      <c r="F96" s="63">
        <f t="shared" si="63"/>
        <v>0.32916327533881229</v>
      </c>
      <c r="G96" s="63">
        <f t="shared" si="63"/>
        <v>0.36872903515612698</v>
      </c>
      <c r="H96" s="63">
        <f t="shared" si="63"/>
        <v>0.34308391678438688</v>
      </c>
      <c r="I96" s="63">
        <f t="shared" si="63"/>
        <v>0.33601525489630335</v>
      </c>
      <c r="J96" s="63">
        <f t="shared" si="63"/>
        <v>0.34584980998451353</v>
      </c>
      <c r="K96" s="63">
        <f t="shared" si="63"/>
        <v>0.32333784220020689</v>
      </c>
      <c r="L96" s="63">
        <f t="shared" si="63"/>
        <v>0.31357686099139004</v>
      </c>
      <c r="M96" s="63">
        <f t="shared" si="63"/>
        <v>0.2781520549516705</v>
      </c>
      <c r="N96" s="63">
        <f t="shared" si="63"/>
        <v>0.24956971335755074</v>
      </c>
      <c r="O96" s="63">
        <f t="shared" si="63"/>
        <v>0.2499115953383142</v>
      </c>
      <c r="P96" s="63">
        <f t="shared" si="63"/>
        <v>0.2151553383496001</v>
      </c>
      <c r="R96" s="109"/>
      <c r="S96" s="109"/>
    </row>
    <row r="97" spans="1:19" ht="17.100000000000001" customHeight="1" x14ac:dyDescent="0.2">
      <c r="A97" s="68" t="s">
        <v>49</v>
      </c>
      <c r="B97" s="43">
        <f>Poland!B97+Austria!B97+'Czech Republic'!B97+Greece!B97+Hungary!B97+Slovakia!B97+Croatia!B97</f>
        <v>9.1936301424272973</v>
      </c>
      <c r="C97" s="43">
        <f>Poland!C97+Austria!C97+'Czech Republic'!C97+Greece!C97+Hungary!C97+Slovakia!C97+Croatia!C97</f>
        <v>11.591190806584809</v>
      </c>
      <c r="D97" s="43">
        <f>Poland!D97+Austria!D97+'Czech Republic'!D97+Greece!D97+Hungary!D97+Slovakia!D97+Croatia!D97</f>
        <v>14.752820519203894</v>
      </c>
      <c r="E97" s="43">
        <f>Poland!E97+Austria!E97+'Czech Republic'!E97+Greece!E97+Hungary!E97+Slovakia!E97+Croatia!E97</f>
        <v>18.850527989115392</v>
      </c>
      <c r="F97" s="43">
        <f>Poland!F97+Austria!F97+'Czech Republic'!F97+Greece!F97+Hungary!F97+Slovakia!F97+Croatia!F97</f>
        <v>23.239203056562165</v>
      </c>
      <c r="G97" s="43">
        <f>Poland!G97+Austria!G97+'Czech Republic'!G97+Greece!G97+Hungary!G97+Slovakia!G97+Croatia!G97</f>
        <v>29.282640591636028</v>
      </c>
      <c r="H97" s="43">
        <f>Poland!H97+Austria!H97+'Czech Republic'!H97+Greece!H97+Hungary!H97+Slovakia!H97+Croatia!H97</f>
        <v>36.085198625458936</v>
      </c>
      <c r="I97" s="43">
        <f>Poland!I97+Austria!I97+'Czech Republic'!I97+Greece!I97+Hungary!I97+Slovakia!I97+Croatia!I97</f>
        <v>43.875022084022859</v>
      </c>
      <c r="J97" s="43">
        <f>Poland!J97+Austria!J97+'Czech Republic'!J97+Greece!J97+Hungary!J97+Slovakia!J97+Croatia!J97</f>
        <v>53.343639602469622</v>
      </c>
      <c r="K97" s="43">
        <f>Poland!K97+Austria!K97+'Czech Republic'!K97+Greece!K97+Hungary!K97+Slovakia!K97+Croatia!K97</f>
        <v>63.061444765754842</v>
      </c>
      <c r="L97" s="43">
        <f>Poland!L97+Austria!L97+'Czech Republic'!L97+Greece!L97+Hungary!L97+Slovakia!L97+Croatia!L97</f>
        <v>75.913998586178081</v>
      </c>
      <c r="M97" s="43">
        <f>Poland!M97+Austria!M97+'Czech Republic'!M97+Greece!M97+Hungary!M97+Slovakia!M97+Croatia!M97</f>
        <v>88.851824762869114</v>
      </c>
      <c r="N97" s="43">
        <f>Poland!N97+Austria!N97+'Czech Republic'!N97+Greece!N97+Hungary!N97+Slovakia!N97+Croatia!N97</f>
        <v>101.43859731030116</v>
      </c>
      <c r="O97" s="43">
        <f>Poland!O97+Austria!O97+'Czech Republic'!O97+Greece!O97+Hungary!O97+Slovakia!O97+Croatia!O97</f>
        <v>114.74011485136292</v>
      </c>
      <c r="P97" s="43">
        <f>Poland!P97+Austria!P97+'Czech Republic'!P97+Greece!P97+Hungary!P97+Slovakia!P97+Croatia!P97</f>
        <v>125.59408193522592</v>
      </c>
      <c r="R97" s="57">
        <f>(J97/D97)^(1/6)-1</f>
        <v>0.23889527762356422</v>
      </c>
      <c r="S97" s="57">
        <f>(P97/J97)^(1/6)-1</f>
        <v>0.1534030317035322</v>
      </c>
    </row>
    <row r="98" spans="1:19" ht="17.100000000000001" customHeight="1" x14ac:dyDescent="0.2">
      <c r="A98" s="62" t="s">
        <v>4</v>
      </c>
      <c r="B98" s="63"/>
      <c r="C98" s="63">
        <f t="shared" ref="C98:P98" si="64">C97/B97-1</f>
        <v>0.26078498123315952</v>
      </c>
      <c r="D98" s="63">
        <f t="shared" si="64"/>
        <v>0.27276142420354277</v>
      </c>
      <c r="E98" s="63">
        <f t="shared" si="64"/>
        <v>0.27775756266928564</v>
      </c>
      <c r="F98" s="63">
        <f t="shared" si="64"/>
        <v>0.2328144373452492</v>
      </c>
      <c r="G98" s="63">
        <f t="shared" si="64"/>
        <v>0.26005356209353092</v>
      </c>
      <c r="H98" s="63">
        <f t="shared" si="64"/>
        <v>0.23230685130786721</v>
      </c>
      <c r="I98" s="63">
        <f t="shared" si="64"/>
        <v>0.21587309354778017</v>
      </c>
      <c r="J98" s="63">
        <f t="shared" si="64"/>
        <v>0.21580883766426107</v>
      </c>
      <c r="K98" s="63">
        <f t="shared" si="64"/>
        <v>0.18217364311293305</v>
      </c>
      <c r="L98" s="63">
        <f t="shared" si="64"/>
        <v>0.203810012094787</v>
      </c>
      <c r="M98" s="63">
        <f t="shared" si="64"/>
        <v>0.17042741019634122</v>
      </c>
      <c r="N98" s="63">
        <f t="shared" si="64"/>
        <v>0.14166025943782334</v>
      </c>
      <c r="O98" s="63">
        <f t="shared" si="64"/>
        <v>0.13112876058777068</v>
      </c>
      <c r="P98" s="63">
        <f t="shared" si="64"/>
        <v>9.4596097432214421E-2</v>
      </c>
      <c r="R98" s="109"/>
      <c r="S98" s="109"/>
    </row>
    <row r="99" spans="1:19" ht="17.100000000000001" customHeight="1" x14ac:dyDescent="0.2">
      <c r="A99" s="77" t="s">
        <v>23</v>
      </c>
      <c r="B99" s="56">
        <f t="shared" ref="B99:P99" si="65">B97+B95</f>
        <v>19.428443390645743</v>
      </c>
      <c r="C99" s="56">
        <f t="shared" si="65"/>
        <v>25.495292640338064</v>
      </c>
      <c r="D99" s="56">
        <f t="shared" si="65"/>
        <v>33.720118174484163</v>
      </c>
      <c r="E99" s="56">
        <f t="shared" si="65"/>
        <v>44.922068856083278</v>
      </c>
      <c r="F99" s="56">
        <f t="shared" si="65"/>
        <v>57.892537708430893</v>
      </c>
      <c r="G99" s="56">
        <f t="shared" si="65"/>
        <v>76.713665894630694</v>
      </c>
      <c r="H99" s="56">
        <f t="shared" si="65"/>
        <v>99.789045866504381</v>
      </c>
      <c r="I99" s="56">
        <f t="shared" si="65"/>
        <v>128.98433379364334</v>
      </c>
      <c r="J99" s="56">
        <f t="shared" si="65"/>
        <v>167.88799059477509</v>
      </c>
      <c r="K99" s="56">
        <f t="shared" si="65"/>
        <v>214.64231904413549</v>
      </c>
      <c r="L99" s="56">
        <f t="shared" si="65"/>
        <v>275.02712760710386</v>
      </c>
      <c r="M99" s="56">
        <f t="shared" si="65"/>
        <v>343.34867978882249</v>
      </c>
      <c r="N99" s="56">
        <f t="shared" si="65"/>
        <v>419.45015949547985</v>
      </c>
      <c r="O99" s="56">
        <f t="shared" si="65"/>
        <v>512.22645387826913</v>
      </c>
      <c r="P99" s="56">
        <f t="shared" si="65"/>
        <v>608.60172872481007</v>
      </c>
      <c r="R99" s="57">
        <f>(J99/D99)^(1/6)-1</f>
        <v>0.30673770898955244</v>
      </c>
      <c r="S99" s="57">
        <f>(P99/J99)^(1/6)-1</f>
        <v>0.23942121339729816</v>
      </c>
    </row>
    <row r="100" spans="1:19" ht="17.100000000000001" customHeight="1" x14ac:dyDescent="0.2">
      <c r="A100" s="74" t="s">
        <v>4</v>
      </c>
      <c r="B100" s="66"/>
      <c r="C100" s="59">
        <f t="shared" ref="C100:P100" si="66">C99/B99-1</f>
        <v>0.31226635751031617</v>
      </c>
      <c r="D100" s="59">
        <f t="shared" si="66"/>
        <v>0.32260173084395083</v>
      </c>
      <c r="E100" s="59">
        <f t="shared" si="66"/>
        <v>0.33220377887274344</v>
      </c>
      <c r="F100" s="59">
        <f t="shared" si="66"/>
        <v>0.2887326693234249</v>
      </c>
      <c r="G100" s="59">
        <f t="shared" si="66"/>
        <v>0.32510456323387049</v>
      </c>
      <c r="H100" s="59">
        <f t="shared" si="66"/>
        <v>0.30079881730027935</v>
      </c>
      <c r="I100" s="59">
        <f t="shared" si="66"/>
        <v>0.2925700679230443</v>
      </c>
      <c r="J100" s="59">
        <f t="shared" si="66"/>
        <v>0.30161536410593937</v>
      </c>
      <c r="K100" s="59">
        <f t="shared" si="66"/>
        <v>0.27848524652492612</v>
      </c>
      <c r="L100" s="59">
        <f t="shared" si="66"/>
        <v>0.28132760040927374</v>
      </c>
      <c r="M100" s="59">
        <f t="shared" si="66"/>
        <v>0.2484175025793125</v>
      </c>
      <c r="N100" s="59">
        <f t="shared" si="66"/>
        <v>0.22164488808712979</v>
      </c>
      <c r="O100" s="59">
        <f t="shared" si="66"/>
        <v>0.22118550269329207</v>
      </c>
      <c r="P100" s="59">
        <f t="shared" si="66"/>
        <v>0.18814974142168106</v>
      </c>
      <c r="R100" s="109"/>
      <c r="S100" s="109"/>
    </row>
    <row r="101" spans="1:19" ht="17.100000000000001" customHeight="1" x14ac:dyDescent="0.2">
      <c r="R101" s="109"/>
      <c r="S101" s="109"/>
    </row>
    <row r="102" spans="1:19" x14ac:dyDescent="0.2">
      <c r="A102" s="67" t="s">
        <v>32</v>
      </c>
      <c r="R102" s="109"/>
      <c r="S102" s="109"/>
    </row>
    <row r="103" spans="1:19" x14ac:dyDescent="0.2">
      <c r="A103" s="68" t="s">
        <v>82</v>
      </c>
      <c r="B103" s="43">
        <f>Poland!B103+Austria!B103+'Czech Republic'!B103+Greece!B103+Hungary!B103+Slovakia!B103+Croatia!B103</f>
        <v>5.5089332984091105E-3</v>
      </c>
      <c r="C103" s="43">
        <f>Poland!C103+Austria!C103+'Czech Republic'!C103+Greece!C103+Hungary!C103+Slovakia!C103+Croatia!C103</f>
        <v>8.2482177556410605E-3</v>
      </c>
      <c r="D103" s="43">
        <f>Poland!D103+Austria!D103+'Czech Republic'!D103+Greece!D103+Hungary!D103+Slovakia!D103+Croatia!D103</f>
        <v>1.1248019803999955E-2</v>
      </c>
      <c r="E103" s="43">
        <f>Poland!E103+Austria!E103+'Czech Republic'!E103+Greece!E103+Hungary!E103+Slovakia!E103+Croatia!E103</f>
        <v>1.7069486725763978E-2</v>
      </c>
      <c r="F103" s="43">
        <f>Poland!F103+Austria!F103+'Czech Republic'!F103+Greece!F103+Hungary!F103+Slovakia!F103+Croatia!F103</f>
        <v>2.2581516663959425E-2</v>
      </c>
      <c r="G103" s="43">
        <f>Poland!G103+Austria!G103+'Czech Republic'!G103+Greece!G103+Hungary!G103+Slovakia!G103+Croatia!G103</f>
        <v>3.2235735130285992E-2</v>
      </c>
      <c r="H103" s="43">
        <f>Poland!H103+Austria!H103+'Czech Republic'!H103+Greece!H103+Hungary!H103+Slovakia!H103+Croatia!H103</f>
        <v>4.3642619989075551E-2</v>
      </c>
      <c r="I103" s="43">
        <f>Poland!I103+Austria!I103+'Czech Republic'!I103+Greece!I103+Hungary!I103+Slovakia!I103+Croatia!I103</f>
        <v>5.5844606466980237E-2</v>
      </c>
      <c r="J103" s="43">
        <f>Poland!J103+Austria!J103+'Czech Republic'!J103+Greece!J103+Hungary!J103+Slovakia!J103+Croatia!J103</f>
        <v>7.0050209488356552E-2</v>
      </c>
      <c r="K103" s="43">
        <f>Poland!K103+Austria!K103+'Czech Republic'!K103+Greece!K103+Hungary!K103+Slovakia!K103+Croatia!K103</f>
        <v>8.7698857683059836E-2</v>
      </c>
      <c r="L103" s="43">
        <f>Poland!L103+Austria!L103+'Czech Republic'!L103+Greece!L103+Hungary!L103+Slovakia!L103+Croatia!L103</f>
        <v>0.10662612174668026</v>
      </c>
      <c r="M103" s="43">
        <f>Poland!M103+Austria!M103+'Czech Republic'!M103+Greece!M103+Hungary!M103+Slovakia!M103+Croatia!M103</f>
        <v>0.1273459558824766</v>
      </c>
      <c r="N103" s="43">
        <f>Poland!N103+Austria!N103+'Czech Republic'!N103+Greece!N103+Hungary!N103+Slovakia!N103+Croatia!N103</f>
        <v>0.1506334852148318</v>
      </c>
      <c r="O103" s="43">
        <f>Poland!O103+Austria!O103+'Czech Republic'!O103+Greece!O103+Hungary!O103+Slovakia!O103+Croatia!O103</f>
        <v>0.17797647904520422</v>
      </c>
      <c r="P103" s="43">
        <f>Poland!P103+Austria!P103+'Czech Republic'!P103+Greece!P103+Hungary!P103+Slovakia!P103+Croatia!P103</f>
        <v>0.20721543861370278</v>
      </c>
      <c r="R103" s="57">
        <f>(J103/D103)^(1/6)-1</f>
        <v>0.35640347690568519</v>
      </c>
      <c r="S103" s="57">
        <f>(P103/J103)^(1/6)-1</f>
        <v>0.19812494929007252</v>
      </c>
    </row>
    <row r="104" spans="1:19" x14ac:dyDescent="0.2">
      <c r="A104" s="62" t="s">
        <v>4</v>
      </c>
      <c r="B104" s="75"/>
      <c r="C104" s="63">
        <f t="shared" ref="C104:P104" si="67">C103/B103-1</f>
        <v>0.4972440777278988</v>
      </c>
      <c r="D104" s="63">
        <f t="shared" si="67"/>
        <v>0.36369093751280901</v>
      </c>
      <c r="E104" s="63">
        <f t="shared" si="67"/>
        <v>0.51755482504518957</v>
      </c>
      <c r="F104" s="63">
        <f t="shared" si="67"/>
        <v>0.32291714606015742</v>
      </c>
      <c r="G104" s="63">
        <f t="shared" si="67"/>
        <v>0.42752746017874443</v>
      </c>
      <c r="H104" s="63">
        <f t="shared" si="67"/>
        <v>0.35385837526852648</v>
      </c>
      <c r="I104" s="63">
        <f t="shared" si="67"/>
        <v>0.27958877081529576</v>
      </c>
      <c r="J104" s="63">
        <f t="shared" si="67"/>
        <v>0.25437735029569586</v>
      </c>
      <c r="K104" s="63">
        <f t="shared" si="67"/>
        <v>0.25194283248555838</v>
      </c>
      <c r="L104" s="63">
        <f t="shared" si="67"/>
        <v>0.21582110147914135</v>
      </c>
      <c r="M104" s="63">
        <f t="shared" si="67"/>
        <v>0.19432230860859789</v>
      </c>
      <c r="N104" s="63">
        <f t="shared" si="67"/>
        <v>0.18286822829180771</v>
      </c>
      <c r="O104" s="63">
        <f t="shared" si="67"/>
        <v>0.18152002386040622</v>
      </c>
      <c r="P104" s="63">
        <f t="shared" si="67"/>
        <v>0.16428552652214323</v>
      </c>
      <c r="R104" s="109"/>
      <c r="S104" s="109"/>
    </row>
    <row r="105" spans="1:19" x14ac:dyDescent="0.2">
      <c r="A105" s="68" t="s">
        <v>10</v>
      </c>
      <c r="B105" s="43">
        <f>Poland!B105+Austria!B105+'Czech Republic'!B105+Greece!B105+Hungary!B105+Slovakia!B105+Croatia!B105</f>
        <v>25.694036207638533</v>
      </c>
      <c r="C105" s="43">
        <f>Poland!C105+Austria!C105+'Czech Republic'!C105+Greece!C105+Hungary!C105+Slovakia!C105+Croatia!C105</f>
        <v>32.181613505428501</v>
      </c>
      <c r="D105" s="43">
        <f>Poland!D105+Austria!D105+'Czech Republic'!D105+Greece!D105+Hungary!D105+Slovakia!D105+Croatia!D105</f>
        <v>40.538972472335097</v>
      </c>
      <c r="E105" s="43">
        <f>Poland!E105+Austria!E105+'Czech Republic'!E105+Greece!E105+Hungary!E105+Slovakia!E105+Croatia!E105</f>
        <v>51.68532058117291</v>
      </c>
      <c r="F105" s="43">
        <f>Poland!F105+Austria!F105+'Czech Republic'!F105+Greece!F105+Hungary!F105+Slovakia!F105+Croatia!F105</f>
        <v>61.66752839609115</v>
      </c>
      <c r="G105" s="43">
        <f>Poland!G105+Austria!G105+'Czech Republic'!G105+Greece!G105+Hungary!G105+Slovakia!G105+Croatia!G105</f>
        <v>75.722024504267992</v>
      </c>
      <c r="H105" s="43">
        <f>Poland!H105+Austria!H105+'Czech Republic'!H105+Greece!H105+Hungary!H105+Slovakia!H105+Croatia!H105</f>
        <v>94.543459658619582</v>
      </c>
      <c r="I105" s="43">
        <f>Poland!I105+Austria!I105+'Czech Republic'!I105+Greece!I105+Hungary!I105+Slovakia!I105+Croatia!I105</f>
        <v>114.86421368423471</v>
      </c>
      <c r="J105" s="43">
        <f>Poland!J105+Austria!J105+'Czech Republic'!J105+Greece!J105+Hungary!J105+Slovakia!J105+Croatia!J105</f>
        <v>136.95232983045312</v>
      </c>
      <c r="K105" s="43">
        <f>Poland!K105+Austria!K105+'Czech Republic'!K105+Greece!K105+Hungary!K105+Slovakia!K105+Croatia!K105</f>
        <v>158.52111051696787</v>
      </c>
      <c r="L105" s="43">
        <f>Poland!L105+Austria!L105+'Czech Republic'!L105+Greece!L105+Hungary!L105+Slovakia!L105+Croatia!L105</f>
        <v>185.49630922349485</v>
      </c>
      <c r="M105" s="43">
        <f>Poland!M105+Austria!M105+'Czech Republic'!M105+Greece!M105+Hungary!M105+Slovakia!M105+Croatia!M105</f>
        <v>214.34082754136608</v>
      </c>
      <c r="N105" s="43">
        <f>Poland!N105+Austria!N105+'Czech Republic'!N105+Greece!N105+Hungary!N105+Slovakia!N105+Croatia!N105</f>
        <v>246.65598665690027</v>
      </c>
      <c r="O105" s="43">
        <f>Poland!O105+Austria!O105+'Czech Republic'!O105+Greece!O105+Hungary!O105+Slovakia!O105+Croatia!O105</f>
        <v>283.6105649915292</v>
      </c>
      <c r="P105" s="43">
        <f>Poland!P105+Austria!P105+'Czech Republic'!P105+Greece!P105+Hungary!P105+Slovakia!P105+Croatia!P105</f>
        <v>322.56932003337641</v>
      </c>
      <c r="R105" s="57">
        <f>(J105/D105)^(1/6)-1</f>
        <v>0.22494366133495536</v>
      </c>
      <c r="S105" s="57">
        <f>(P105/J105)^(1/6)-1</f>
        <v>0.15347699931497916</v>
      </c>
    </row>
    <row r="106" spans="1:19" x14ac:dyDescent="0.2">
      <c r="A106" s="62" t="s">
        <v>4</v>
      </c>
      <c r="B106" s="75"/>
      <c r="C106" s="63">
        <f t="shared" ref="C106:P106" si="68">C105/B105-1</f>
        <v>0.25249350648386204</v>
      </c>
      <c r="D106" s="63">
        <f t="shared" si="68"/>
        <v>0.25969359695084426</v>
      </c>
      <c r="E106" s="63">
        <f t="shared" si="68"/>
        <v>0.27495388829710432</v>
      </c>
      <c r="F106" s="63">
        <f t="shared" si="68"/>
        <v>0.19313429234207735</v>
      </c>
      <c r="G106" s="63">
        <f t="shared" si="68"/>
        <v>0.22790756292200776</v>
      </c>
      <c r="H106" s="63">
        <f t="shared" si="68"/>
        <v>0.24855958722142635</v>
      </c>
      <c r="I106" s="63">
        <f t="shared" si="68"/>
        <v>0.21493558728430218</v>
      </c>
      <c r="J106" s="63">
        <f t="shared" si="68"/>
        <v>0.19229763072195261</v>
      </c>
      <c r="K106" s="63">
        <f t="shared" si="68"/>
        <v>0.15749115559565041</v>
      </c>
      <c r="L106" s="63">
        <f t="shared" si="68"/>
        <v>0.17016786356438995</v>
      </c>
      <c r="M106" s="63">
        <f t="shared" si="68"/>
        <v>0.1554991494904514</v>
      </c>
      <c r="N106" s="63">
        <f t="shared" si="68"/>
        <v>0.1507652997621165</v>
      </c>
      <c r="O106" s="63">
        <f t="shared" si="68"/>
        <v>0.14982234502190672</v>
      </c>
      <c r="P106" s="63">
        <f t="shared" si="68"/>
        <v>0.13736707954800909</v>
      </c>
      <c r="R106" s="109"/>
      <c r="S106" s="109"/>
    </row>
    <row r="107" spans="1:19" x14ac:dyDescent="0.2">
      <c r="A107" s="68" t="s">
        <v>11</v>
      </c>
      <c r="B107" s="43">
        <f>Poland!B107+Austria!B107+'Czech Republic'!B107+Greece!B107+Hungary!B107+Slovakia!B107+Croatia!B107</f>
        <v>115.98915305110171</v>
      </c>
      <c r="C107" s="43">
        <f>Poland!C107+Austria!C107+'Czech Republic'!C107+Greece!C107+Hungary!C107+Slovakia!C107+Croatia!C107</f>
        <v>149.99156897104442</v>
      </c>
      <c r="D107" s="43">
        <f>Poland!D107+Austria!D107+'Czech Republic'!D107+Greece!D107+Hungary!D107+Slovakia!D107+Croatia!D107</f>
        <v>192.10441532058627</v>
      </c>
      <c r="E107" s="43">
        <f>Poland!E107+Austria!E107+'Czech Republic'!E107+Greece!E107+Hungary!E107+Slovakia!E107+Croatia!E107</f>
        <v>243.93120208294678</v>
      </c>
      <c r="F107" s="43">
        <f>Poland!F107+Austria!F107+'Czech Republic'!F107+Greece!F107+Hungary!F107+Slovakia!F107+Croatia!F107</f>
        <v>287.77773563399768</v>
      </c>
      <c r="G107" s="43">
        <f>Poland!G107+Austria!G107+'Czech Republic'!G107+Greece!G107+Hungary!G107+Slovakia!G107+Croatia!G107</f>
        <v>350.16772410813252</v>
      </c>
      <c r="H107" s="43">
        <f>Poland!H107+Austria!H107+'Czech Republic'!H107+Greece!H107+Hungary!H107+Slovakia!H107+Croatia!H107</f>
        <v>434.65965848255001</v>
      </c>
      <c r="I107" s="43">
        <f>Poland!I107+Austria!I107+'Czech Republic'!I107+Greece!I107+Hungary!I107+Slovakia!I107+Croatia!I107</f>
        <v>537.13340346272378</v>
      </c>
      <c r="J107" s="43">
        <f>Poland!J107+Austria!J107+'Czech Republic'!J107+Greece!J107+Hungary!J107+Slovakia!J107+Croatia!J107</f>
        <v>651.88590732333682</v>
      </c>
      <c r="K107" s="43">
        <f>Poland!K107+Austria!K107+'Czech Republic'!K107+Greece!K107+Hungary!K107+Slovakia!K107+Croatia!K107</f>
        <v>771.52535279006543</v>
      </c>
      <c r="L107" s="43">
        <f>Poland!L107+Austria!L107+'Czech Republic'!L107+Greece!L107+Hungary!L107+Slovakia!L107+Croatia!L107</f>
        <v>904.26391826824499</v>
      </c>
      <c r="M107" s="43">
        <f>Poland!M107+Austria!M107+'Czech Republic'!M107+Greece!M107+Hungary!M107+Slovakia!M107+Croatia!M107</f>
        <v>1044.2874377064652</v>
      </c>
      <c r="N107" s="43">
        <f>Poland!N107+Austria!N107+'Czech Republic'!N107+Greece!N107+Hungary!N107+Slovakia!N107+Croatia!N107</f>
        <v>1195.6555978285608</v>
      </c>
      <c r="O107" s="43">
        <f>Poland!O107+Austria!O107+'Czech Republic'!O107+Greece!O107+Hungary!O107+Slovakia!O107+Croatia!O107</f>
        <v>1368.0047363887884</v>
      </c>
      <c r="P107" s="43">
        <f>Poland!P107+Austria!P107+'Czech Republic'!P107+Greece!P107+Hungary!P107+Slovakia!P107+Croatia!P107</f>
        <v>1540.8834414343792</v>
      </c>
      <c r="R107" s="57">
        <f>(J107/D107)^(1/6)-1</f>
        <v>0.22585482542293644</v>
      </c>
      <c r="S107" s="57">
        <f>(P107/J107)^(1/6)-1</f>
        <v>0.15416092263898085</v>
      </c>
    </row>
    <row r="108" spans="1:19" x14ac:dyDescent="0.2">
      <c r="A108" s="62" t="s">
        <v>4</v>
      </c>
      <c r="B108" s="75"/>
      <c r="C108" s="63">
        <f t="shared" ref="C108:P108" si="69">C107/B107-1</f>
        <v>0.29315168725270513</v>
      </c>
      <c r="D108" s="63">
        <f t="shared" si="69"/>
        <v>0.2807680900895948</v>
      </c>
      <c r="E108" s="63">
        <f t="shared" si="69"/>
        <v>0.26978446422416336</v>
      </c>
      <c r="F108" s="63">
        <f t="shared" si="69"/>
        <v>0.17974958995258516</v>
      </c>
      <c r="G108" s="63">
        <f t="shared" si="69"/>
        <v>0.21679921949724368</v>
      </c>
      <c r="H108" s="63">
        <f t="shared" si="69"/>
        <v>0.24128989783286303</v>
      </c>
      <c r="I108" s="63">
        <f t="shared" si="69"/>
        <v>0.23575628191013198</v>
      </c>
      <c r="J108" s="63">
        <f t="shared" si="69"/>
        <v>0.21363874061981836</v>
      </c>
      <c r="K108" s="63">
        <f t="shared" si="69"/>
        <v>0.18352819737731685</v>
      </c>
      <c r="L108" s="63">
        <f t="shared" si="69"/>
        <v>0.17204692625868656</v>
      </c>
      <c r="M108" s="63">
        <f t="shared" si="69"/>
        <v>0.15484806659805583</v>
      </c>
      <c r="N108" s="63">
        <f t="shared" si="69"/>
        <v>0.14494875132706819</v>
      </c>
      <c r="O108" s="63">
        <f t="shared" si="69"/>
        <v>0.1441461394679473</v>
      </c>
      <c r="P108" s="63">
        <f t="shared" si="69"/>
        <v>0.12637288486438281</v>
      </c>
      <c r="R108" s="109"/>
      <c r="S108" s="109"/>
    </row>
    <row r="109" spans="1:19" x14ac:dyDescent="0.2">
      <c r="A109" s="68" t="s">
        <v>22</v>
      </c>
      <c r="B109" s="43">
        <f>Poland!B109+Austria!B109+'Czech Republic'!B109+Greece!B109+Hungary!B109+Slovakia!B109+Croatia!B109</f>
        <v>17.234146181292928</v>
      </c>
      <c r="C109" s="43">
        <f>Poland!C109+Austria!C109+'Czech Republic'!C109+Greece!C109+Hungary!C109+Slovakia!C109+Croatia!C109</f>
        <v>22.774041635467</v>
      </c>
      <c r="D109" s="43">
        <f>Poland!D109+Austria!D109+'Czech Republic'!D109+Greece!D109+Hungary!D109+Slovakia!D109+Croatia!D109</f>
        <v>29.773972144718979</v>
      </c>
      <c r="E109" s="43">
        <f>Poland!E109+Austria!E109+'Czech Republic'!E109+Greece!E109+Hungary!E109+Slovakia!E109+Croatia!E109</f>
        <v>39.157079235476438</v>
      </c>
      <c r="F109" s="43">
        <f>Poland!F109+Austria!F109+'Czech Republic'!F109+Greece!F109+Hungary!F109+Slovakia!F109+Croatia!F109</f>
        <v>47.562090963599104</v>
      </c>
      <c r="G109" s="43">
        <f>Poland!G109+Austria!G109+'Czech Republic'!G109+Greece!G109+Hungary!G109+Slovakia!G109+Croatia!G109</f>
        <v>60.701065928640865</v>
      </c>
      <c r="H109" s="43">
        <f>Poland!H109+Austria!H109+'Czech Republic'!H109+Greece!H109+Hungary!H109+Slovakia!H109+Croatia!H109</f>
        <v>78.006170056482006</v>
      </c>
      <c r="I109" s="43">
        <f>Poland!I109+Austria!I109+'Czech Republic'!I109+Greece!I109+Hungary!I109+Slovakia!I109+Croatia!I109</f>
        <v>98.092084740852812</v>
      </c>
      <c r="J109" s="43">
        <f>Poland!J109+Austria!J109+'Czech Republic'!J109+Greece!J109+Hungary!J109+Slovakia!J109+Croatia!J109</f>
        <v>121.56393808658868</v>
      </c>
      <c r="K109" s="43">
        <f>Poland!K109+Austria!K109+'Czech Republic'!K109+Greece!K109+Hungary!K109+Slovakia!K109+Croatia!K109</f>
        <v>148.29940203113799</v>
      </c>
      <c r="L109" s="43">
        <f>Poland!L109+Austria!L109+'Czech Republic'!L109+Greece!L109+Hungary!L109+Slovakia!L109+Croatia!L109</f>
        <v>180.1057184602447</v>
      </c>
      <c r="M109" s="43">
        <f>Poland!M109+Austria!M109+'Czech Republic'!M109+Greece!M109+Hungary!M109+Slovakia!M109+Croatia!M109</f>
        <v>210.85841955136925</v>
      </c>
      <c r="N109" s="43">
        <f>Poland!N109+Austria!N109+'Czech Republic'!N109+Greece!N109+Hungary!N109+Slovakia!N109+Croatia!N109</f>
        <v>244.09745156605712</v>
      </c>
      <c r="O109" s="43">
        <f>Poland!O109+Austria!O109+'Czech Republic'!O109+Greece!O109+Hungary!O109+Slovakia!O109+Croatia!O109</f>
        <v>284.96944585616018</v>
      </c>
      <c r="P109" s="43">
        <f>Poland!P109+Austria!P109+'Czech Republic'!P109+Greece!P109+Hungary!P109+Slovakia!P109+Croatia!P109</f>
        <v>325.33706397981712</v>
      </c>
      <c r="R109" s="57">
        <f>(J109/D109)^(1/6)-1</f>
        <v>0.26423554633296131</v>
      </c>
      <c r="S109" s="57">
        <f>(P109/J109)^(1/6)-1</f>
        <v>0.17829706812741586</v>
      </c>
    </row>
    <row r="110" spans="1:19" x14ac:dyDescent="0.2">
      <c r="A110" s="62" t="s">
        <v>4</v>
      </c>
      <c r="B110" s="63"/>
      <c r="C110" s="63">
        <f t="shared" ref="C110:P110" si="70">C109/B109-1</f>
        <v>0.32144879101625801</v>
      </c>
      <c r="D110" s="63">
        <f t="shared" si="70"/>
        <v>0.30736443804294633</v>
      </c>
      <c r="E110" s="63">
        <f t="shared" si="70"/>
        <v>0.31514461843216801</v>
      </c>
      <c r="F110" s="63">
        <f t="shared" si="70"/>
        <v>0.21464858697907419</v>
      </c>
      <c r="G110" s="63">
        <f t="shared" si="70"/>
        <v>0.27624889273891395</v>
      </c>
      <c r="H110" s="63">
        <f t="shared" si="70"/>
        <v>0.28508731870021409</v>
      </c>
      <c r="I110" s="63">
        <f t="shared" si="70"/>
        <v>0.25749135830956926</v>
      </c>
      <c r="J110" s="63">
        <f t="shared" si="70"/>
        <v>0.23928386686597203</v>
      </c>
      <c r="K110" s="63">
        <f t="shared" si="70"/>
        <v>0.21992923530912534</v>
      </c>
      <c r="L110" s="63">
        <f t="shared" si="70"/>
        <v>0.21447366606662666</v>
      </c>
      <c r="M110" s="63">
        <f t="shared" si="70"/>
        <v>0.17074805483154432</v>
      </c>
      <c r="N110" s="63">
        <f t="shared" si="70"/>
        <v>0.15763673125032684</v>
      </c>
      <c r="O110" s="63">
        <f t="shared" si="70"/>
        <v>0.16744129866117174</v>
      </c>
      <c r="P110" s="63">
        <f t="shared" si="70"/>
        <v>0.14165595192978242</v>
      </c>
      <c r="R110" s="109"/>
      <c r="S110" s="109"/>
    </row>
    <row r="111" spans="1:19" x14ac:dyDescent="0.2">
      <c r="A111" s="77" t="s">
        <v>23</v>
      </c>
      <c r="B111" s="56">
        <f t="shared" ref="B111:P111" si="71">B109+B107+B105+B103</f>
        <v>158.9228443733316</v>
      </c>
      <c r="C111" s="56">
        <f t="shared" si="71"/>
        <v>204.95547232969557</v>
      </c>
      <c r="D111" s="56">
        <f t="shared" si="71"/>
        <v>262.42860795744434</v>
      </c>
      <c r="E111" s="56">
        <f t="shared" si="71"/>
        <v>334.79067138632189</v>
      </c>
      <c r="F111" s="56">
        <f t="shared" si="71"/>
        <v>397.02993651035189</v>
      </c>
      <c r="G111" s="56">
        <f t="shared" si="71"/>
        <v>486.62305027617168</v>
      </c>
      <c r="H111" s="56">
        <f t="shared" si="71"/>
        <v>607.25293081764062</v>
      </c>
      <c r="I111" s="56">
        <f t="shared" si="71"/>
        <v>750.14554649427828</v>
      </c>
      <c r="J111" s="56">
        <f t="shared" si="71"/>
        <v>910.47222544986698</v>
      </c>
      <c r="K111" s="56">
        <f t="shared" si="71"/>
        <v>1078.4335641958544</v>
      </c>
      <c r="L111" s="56">
        <f t="shared" si="71"/>
        <v>1269.9725720737313</v>
      </c>
      <c r="M111" s="56">
        <f t="shared" si="71"/>
        <v>1469.6140307550829</v>
      </c>
      <c r="N111" s="56">
        <f t="shared" si="71"/>
        <v>1686.5596695367331</v>
      </c>
      <c r="O111" s="56">
        <f t="shared" si="71"/>
        <v>1936.762723715523</v>
      </c>
      <c r="P111" s="56">
        <f t="shared" si="71"/>
        <v>2188.9970408861864</v>
      </c>
      <c r="R111" s="57">
        <f>(J111/D111)^(1/6)-1</f>
        <v>0.23038941860730722</v>
      </c>
      <c r="S111" s="57">
        <f>(P111/J111)^(1/6)-1</f>
        <v>0.15743446996590471</v>
      </c>
    </row>
    <row r="112" spans="1:19" x14ac:dyDescent="0.2">
      <c r="A112" s="74" t="s">
        <v>4</v>
      </c>
      <c r="B112" s="66"/>
      <c r="C112" s="59">
        <f t="shared" ref="C112:P112" si="72">C111/B111-1</f>
        <v>0.28965393954456919</v>
      </c>
      <c r="D112" s="59">
        <f t="shared" si="72"/>
        <v>0.28041766816206937</v>
      </c>
      <c r="E112" s="59">
        <f t="shared" si="72"/>
        <v>0.27573999645881542</v>
      </c>
      <c r="F112" s="59">
        <f t="shared" si="72"/>
        <v>0.18590501600987208</v>
      </c>
      <c r="G112" s="59">
        <f t="shared" si="72"/>
        <v>0.22565833335714669</v>
      </c>
      <c r="H112" s="59">
        <f t="shared" si="72"/>
        <v>0.24789183429146688</v>
      </c>
      <c r="I112" s="59">
        <f t="shared" si="72"/>
        <v>0.23530988229935557</v>
      </c>
      <c r="J112" s="59">
        <f t="shared" si="72"/>
        <v>0.21372742890344099</v>
      </c>
      <c r="K112" s="59">
        <f t="shared" si="72"/>
        <v>0.18447716915581602</v>
      </c>
      <c r="L112" s="59">
        <f t="shared" si="72"/>
        <v>0.17760853726831094</v>
      </c>
      <c r="M112" s="59">
        <f t="shared" si="72"/>
        <v>0.15720139400755584</v>
      </c>
      <c r="N112" s="59">
        <f t="shared" si="72"/>
        <v>0.14762082712981739</v>
      </c>
      <c r="O112" s="59">
        <f t="shared" si="72"/>
        <v>0.148351142682972</v>
      </c>
      <c r="P112" s="59">
        <f t="shared" si="72"/>
        <v>0.13023501231310997</v>
      </c>
      <c r="R112" s="109"/>
      <c r="S112" s="109"/>
    </row>
    <row r="113" spans="1:19" ht="17.100000000000001" customHeight="1" x14ac:dyDescent="0.2">
      <c r="R113" s="109"/>
      <c r="S113" s="109"/>
    </row>
    <row r="114" spans="1:19" x14ac:dyDescent="0.2">
      <c r="A114" s="67" t="s">
        <v>33</v>
      </c>
      <c r="R114" s="109"/>
      <c r="S114" s="109"/>
    </row>
    <row r="115" spans="1:19" x14ac:dyDescent="0.2">
      <c r="A115" s="68" t="s">
        <v>82</v>
      </c>
      <c r="B115" s="78">
        <f t="shared" ref="B115:P115" si="73">(B103*1000000)/(B34*1000)</f>
        <v>2.0695497843544724E-2</v>
      </c>
      <c r="C115" s="78">
        <f t="shared" si="73"/>
        <v>2.6585653657497224E-2</v>
      </c>
      <c r="D115" s="78">
        <f t="shared" si="73"/>
        <v>3.0687945942816257E-2</v>
      </c>
      <c r="E115" s="78">
        <f t="shared" si="73"/>
        <v>3.8403817290117173E-2</v>
      </c>
      <c r="F115" s="78">
        <f t="shared" si="73"/>
        <v>4.2909058593002626E-2</v>
      </c>
      <c r="G115" s="78">
        <f t="shared" si="73"/>
        <v>4.934669467043553E-2</v>
      </c>
      <c r="H115" s="78">
        <f t="shared" si="73"/>
        <v>5.4674655544207314E-2</v>
      </c>
      <c r="I115" s="78">
        <f t="shared" si="73"/>
        <v>5.9649259923325329E-2</v>
      </c>
      <c r="J115" s="78">
        <f t="shared" si="73"/>
        <v>6.4067967871838466E-2</v>
      </c>
      <c r="K115" s="78">
        <f t="shared" si="73"/>
        <v>6.8852289926522425E-2</v>
      </c>
      <c r="L115" s="78">
        <f t="shared" si="73"/>
        <v>7.2401656155683197E-2</v>
      </c>
      <c r="M115" s="78">
        <f t="shared" si="73"/>
        <v>7.5512165624737948E-2</v>
      </c>
      <c r="N115" s="78">
        <f t="shared" si="73"/>
        <v>7.9125659074562427E-2</v>
      </c>
      <c r="O115" s="78">
        <f t="shared" si="73"/>
        <v>8.3827379966105856E-2</v>
      </c>
      <c r="P115" s="78">
        <f t="shared" si="73"/>
        <v>8.8614089595938056E-2</v>
      </c>
      <c r="R115" s="57">
        <f>(J115/D115)^(1/6)-1</f>
        <v>0.13052157471125136</v>
      </c>
      <c r="S115" s="57">
        <f>(P115/J115)^(1/6)-1</f>
        <v>5.554553209947577E-2</v>
      </c>
    </row>
    <row r="116" spans="1:19" x14ac:dyDescent="0.2">
      <c r="A116" s="62" t="s">
        <v>4</v>
      </c>
      <c r="B116" s="75"/>
      <c r="C116" s="63">
        <f t="shared" ref="C116" si="74">C115/B115-1</f>
        <v>0.28461049154175044</v>
      </c>
      <c r="D116" s="63">
        <f t="shared" ref="D116" si="75">D115/C115-1</f>
        <v>0.15430473661354482</v>
      </c>
      <c r="E116" s="63">
        <f t="shared" ref="E116" si="76">E115/D115-1</f>
        <v>0.25143003580880352</v>
      </c>
      <c r="F116" s="63">
        <f t="shared" ref="F116" si="77">F115/E115-1</f>
        <v>0.11731233040848865</v>
      </c>
      <c r="G116" s="63">
        <f t="shared" ref="G116" si="78">G115/F115-1</f>
        <v>0.15002976733874829</v>
      </c>
      <c r="H116" s="63">
        <f t="shared" ref="H116" si="79">H115/G115-1</f>
        <v>0.10796996454078323</v>
      </c>
      <c r="I116" s="63">
        <f t="shared" ref="I116" si="80">I115/H115-1</f>
        <v>9.0985564144904219E-2</v>
      </c>
      <c r="J116" s="63">
        <f t="shared" ref="J116" si="81">J115/I115-1</f>
        <v>7.4078168852271808E-2</v>
      </c>
      <c r="K116" s="63">
        <f t="shared" ref="K116" si="82">K115/J115-1</f>
        <v>7.4675726632293271E-2</v>
      </c>
      <c r="L116" s="63">
        <f t="shared" ref="L116" si="83">L115/K115-1</f>
        <v>5.1550445641656673E-2</v>
      </c>
      <c r="M116" s="63">
        <f t="shared" ref="M116" si="84">M115/L115-1</f>
        <v>4.2961855214558975E-2</v>
      </c>
      <c r="N116" s="63">
        <f t="shared" ref="N116" si="85">N115/M115-1</f>
        <v>4.7853129623932844E-2</v>
      </c>
      <c r="O116" s="63">
        <f t="shared" ref="O116" si="86">O115/N115-1</f>
        <v>5.942093811961624E-2</v>
      </c>
      <c r="P116" s="63">
        <f t="shared" ref="P116" si="87">P115/O115-1</f>
        <v>5.7101983048589045E-2</v>
      </c>
      <c r="R116" s="109"/>
      <c r="S116" s="109"/>
    </row>
    <row r="117" spans="1:19" x14ac:dyDescent="0.2">
      <c r="A117" s="68" t="s">
        <v>10</v>
      </c>
      <c r="B117" s="78">
        <f t="shared" ref="B117:P117" si="88">(B105*1000000)/(B36*1000)</f>
        <v>721.25359566315569</v>
      </c>
      <c r="C117" s="78">
        <f t="shared" si="88"/>
        <v>715.25793758164696</v>
      </c>
      <c r="D117" s="78">
        <f t="shared" si="88"/>
        <v>722.5674197769373</v>
      </c>
      <c r="E117" s="78">
        <f t="shared" si="88"/>
        <v>739.7963742231982</v>
      </c>
      <c r="F117" s="78">
        <f t="shared" si="88"/>
        <v>748.39700445601056</v>
      </c>
      <c r="G117" s="78">
        <f t="shared" si="88"/>
        <v>725.46657158128392</v>
      </c>
      <c r="H117" s="78">
        <f t="shared" si="88"/>
        <v>746.5010946513928</v>
      </c>
      <c r="I117" s="78">
        <f t="shared" si="88"/>
        <v>769.26602678274867</v>
      </c>
      <c r="J117" s="78">
        <f t="shared" si="88"/>
        <v>791.39575575524202</v>
      </c>
      <c r="K117" s="78">
        <f t="shared" si="88"/>
        <v>803.48061160283328</v>
      </c>
      <c r="L117" s="78">
        <f t="shared" si="88"/>
        <v>839.65357747104144</v>
      </c>
      <c r="M117" s="78">
        <f t="shared" si="88"/>
        <v>881.72597768652565</v>
      </c>
      <c r="N117" s="78">
        <f t="shared" si="88"/>
        <v>937.88719678554753</v>
      </c>
      <c r="O117" s="78">
        <f t="shared" si="88"/>
        <v>1009.4287534795551</v>
      </c>
      <c r="P117" s="78">
        <f t="shared" si="88"/>
        <v>1088.6615764602182</v>
      </c>
      <c r="R117" s="57">
        <f>(J117/D117)^(1/6)-1</f>
        <v>1.52801381893235E-2</v>
      </c>
      <c r="S117" s="57">
        <f>(P117/J117)^(1/6)-1</f>
        <v>5.4588901193699524E-2</v>
      </c>
    </row>
    <row r="118" spans="1:19" x14ac:dyDescent="0.2">
      <c r="A118" s="62" t="s">
        <v>4</v>
      </c>
      <c r="B118" s="75"/>
      <c r="C118" s="63">
        <f t="shared" ref="C118" si="89">C117/B117-1</f>
        <v>-8.3128293814549448E-3</v>
      </c>
      <c r="D118" s="63">
        <f t="shared" ref="D118" si="90">D117/C117-1</f>
        <v>1.0219365366296307E-2</v>
      </c>
      <c r="E118" s="63">
        <f t="shared" ref="E118" si="91">E117/D117-1</f>
        <v>2.3844078731891427E-2</v>
      </c>
      <c r="F118" s="63">
        <f t="shared" ref="F118" si="92">F117/E117-1</f>
        <v>1.1625672323473113E-2</v>
      </c>
      <c r="G118" s="63">
        <f t="shared" ref="G118" si="93">G117/F117-1</f>
        <v>-3.0639396921950723E-2</v>
      </c>
      <c r="H118" s="63">
        <f t="shared" ref="H118" si="94">H117/G117-1</f>
        <v>2.8994475960843147E-2</v>
      </c>
      <c r="I118" s="63">
        <f t="shared" ref="I118" si="95">I117/H117-1</f>
        <v>3.0495510715877527E-2</v>
      </c>
      <c r="J118" s="63">
        <f t="shared" ref="J118" si="96">J117/I117-1</f>
        <v>2.8767329118959184E-2</v>
      </c>
      <c r="K118" s="63">
        <f t="shared" ref="K118" si="97">K117/J117-1</f>
        <v>1.527030661929496E-2</v>
      </c>
      <c r="L118" s="63">
        <f t="shared" ref="L118" si="98">L117/K117-1</f>
        <v>4.5020334462144707E-2</v>
      </c>
      <c r="M118" s="63">
        <f t="shared" ref="M118" si="99">M117/L117-1</f>
        <v>5.0106855189258281E-2</v>
      </c>
      <c r="N118" s="63">
        <f t="shared" ref="N118" si="100">N117/M117-1</f>
        <v>6.3694640421480875E-2</v>
      </c>
      <c r="O118" s="63">
        <f t="shared" ref="O118" si="101">O117/N117-1</f>
        <v>7.6279489622210761E-2</v>
      </c>
      <c r="P118" s="63">
        <f t="shared" ref="P118" si="102">P117/O117-1</f>
        <v>7.8492734338647674E-2</v>
      </c>
      <c r="R118" s="109"/>
      <c r="S118" s="109"/>
    </row>
    <row r="119" spans="1:19" x14ac:dyDescent="0.2">
      <c r="A119" s="68" t="s">
        <v>11</v>
      </c>
      <c r="B119" s="78">
        <f t="shared" ref="B119:P119" si="103">(B107*1000000)/(B38*1000)</f>
        <v>41325.851203889652</v>
      </c>
      <c r="C119" s="78">
        <f t="shared" si="103"/>
        <v>40840.711030680483</v>
      </c>
      <c r="D119" s="78">
        <f t="shared" si="103"/>
        <v>41131.607273527625</v>
      </c>
      <c r="E119" s="78">
        <f t="shared" si="103"/>
        <v>43404.719689603829</v>
      </c>
      <c r="F119" s="78">
        <f t="shared" si="103"/>
        <v>45594.58027111087</v>
      </c>
      <c r="G119" s="78">
        <f t="shared" si="103"/>
        <v>48033.27121984939</v>
      </c>
      <c r="H119" s="78">
        <f t="shared" si="103"/>
        <v>53232.452701277383</v>
      </c>
      <c r="I119" s="78">
        <f t="shared" si="103"/>
        <v>61383.858799550108</v>
      </c>
      <c r="J119" s="78">
        <f t="shared" si="103"/>
        <v>69906.756702316881</v>
      </c>
      <c r="K119" s="78">
        <f t="shared" si="103"/>
        <v>78497.708699258204</v>
      </c>
      <c r="L119" s="78">
        <f t="shared" si="103"/>
        <v>88379.935968194375</v>
      </c>
      <c r="M119" s="78">
        <f t="shared" si="103"/>
        <v>98812.726908130586</v>
      </c>
      <c r="N119" s="78">
        <f t="shared" si="103"/>
        <v>110221.91582294255</v>
      </c>
      <c r="O119" s="78">
        <f t="shared" si="103"/>
        <v>123442.47287652695</v>
      </c>
      <c r="P119" s="78">
        <f t="shared" si="103"/>
        <v>136761.38184201837</v>
      </c>
      <c r="R119" s="57">
        <f>(J119/D119)^(1/6)-1</f>
        <v>9.2422355085053365E-2</v>
      </c>
      <c r="S119" s="57">
        <f>(P119/J119)^(1/6)-1</f>
        <v>0.11834050398838913</v>
      </c>
    </row>
    <row r="120" spans="1:19" x14ac:dyDescent="0.2">
      <c r="A120" s="62" t="s">
        <v>4</v>
      </c>
      <c r="B120" s="75"/>
      <c r="C120" s="63">
        <f t="shared" ref="C120" si="104">C119/B119-1</f>
        <v>-1.1739387310272908E-2</v>
      </c>
      <c r="D120" s="63">
        <f t="shared" ref="D120" si="105">D119/C119-1</f>
        <v>7.122702702913708E-3</v>
      </c>
      <c r="E120" s="63">
        <f t="shared" ref="E120" si="106">E119/D119-1</f>
        <v>5.5264371288966885E-2</v>
      </c>
      <c r="F120" s="63">
        <f t="shared" ref="F120" si="107">F119/E119-1</f>
        <v>5.0452130486435376E-2</v>
      </c>
      <c r="G120" s="63">
        <f t="shared" ref="G120" si="108">G119/F119-1</f>
        <v>5.3486421724638467E-2</v>
      </c>
      <c r="H120" s="63">
        <f t="shared" ref="H120" si="109">H119/G119-1</f>
        <v>0.10824125339353263</v>
      </c>
      <c r="I120" s="63">
        <f t="shared" ref="I120" si="110">I119/H119-1</f>
        <v>0.15312850873161299</v>
      </c>
      <c r="J120" s="63">
        <f t="shared" ref="J120" si="111">J119/I119-1</f>
        <v>0.13884591274390923</v>
      </c>
      <c r="K120" s="63">
        <f t="shared" ref="K120" si="112">K119/J119-1</f>
        <v>0.12289158304860393</v>
      </c>
      <c r="L120" s="63">
        <f t="shared" ref="L120" si="113">L119/K119-1</f>
        <v>0.12589192006606376</v>
      </c>
      <c r="M120" s="63">
        <f t="shared" ref="M120" si="114">M119/L119-1</f>
        <v>0.11804478952882125</v>
      </c>
      <c r="N120" s="63">
        <f t="shared" ref="N120" si="115">N119/M119-1</f>
        <v>0.1154627472776808</v>
      </c>
      <c r="O120" s="63">
        <f t="shared" ref="O120" si="116">O119/N119-1</f>
        <v>0.11994490346930231</v>
      </c>
      <c r="P120" s="63">
        <f t="shared" ref="P120" si="117">P119/O119-1</f>
        <v>0.10789567524958454</v>
      </c>
      <c r="R120" s="109"/>
      <c r="S120" s="109"/>
    </row>
    <row r="121" spans="1:19" x14ac:dyDescent="0.2">
      <c r="A121" s="77" t="s">
        <v>23</v>
      </c>
      <c r="B121" s="56">
        <f t="shared" ref="B121:P121" si="118">(B111*1000000)/(B40*1000)</f>
        <v>521.70718180266385</v>
      </c>
      <c r="C121" s="56">
        <f t="shared" si="118"/>
        <v>571.03971067708301</v>
      </c>
      <c r="D121" s="56">
        <f t="shared" si="118"/>
        <v>614.150418879212</v>
      </c>
      <c r="E121" s="56">
        <f t="shared" si="118"/>
        <v>643.88037497272944</v>
      </c>
      <c r="F121" s="56">
        <f t="shared" si="118"/>
        <v>645.60263417755891</v>
      </c>
      <c r="G121" s="56">
        <f t="shared" si="118"/>
        <v>636.17738058872055</v>
      </c>
      <c r="H121" s="56">
        <f t="shared" si="118"/>
        <v>650.8340400204778</v>
      </c>
      <c r="I121" s="56">
        <f t="shared" si="118"/>
        <v>685.51311738248603</v>
      </c>
      <c r="J121" s="56">
        <f t="shared" si="118"/>
        <v>713.67601133142239</v>
      </c>
      <c r="K121" s="56">
        <f t="shared" si="118"/>
        <v>728.25490287164007</v>
      </c>
      <c r="L121" s="56">
        <f t="shared" si="118"/>
        <v>745.35275518468518</v>
      </c>
      <c r="M121" s="56">
        <f t="shared" si="118"/>
        <v>757.49772858700692</v>
      </c>
      <c r="N121" s="56">
        <f t="shared" si="118"/>
        <v>774.51680555764472</v>
      </c>
      <c r="O121" s="56">
        <f t="shared" si="118"/>
        <v>801.91429348454233</v>
      </c>
      <c r="P121" s="56">
        <f t="shared" si="118"/>
        <v>827.29511565120117</v>
      </c>
      <c r="R121" s="109"/>
      <c r="S121" s="109"/>
    </row>
    <row r="122" spans="1:19" x14ac:dyDescent="0.2">
      <c r="A122" s="74" t="s">
        <v>4</v>
      </c>
      <c r="B122" s="66"/>
      <c r="C122" s="59">
        <f t="shared" ref="C122:P122" si="119">C121/B121-1</f>
        <v>9.4559804034055395E-2</v>
      </c>
      <c r="D122" s="59">
        <f t="shared" si="119"/>
        <v>7.5495114255736295E-2</v>
      </c>
      <c r="E122" s="59">
        <f t="shared" si="119"/>
        <v>4.8408264782710431E-2</v>
      </c>
      <c r="F122" s="59">
        <f t="shared" si="119"/>
        <v>2.6748123902711196E-3</v>
      </c>
      <c r="G122" s="59">
        <f t="shared" si="119"/>
        <v>-1.4599156028607729E-2</v>
      </c>
      <c r="H122" s="59">
        <f t="shared" si="119"/>
        <v>2.3038636517057398E-2</v>
      </c>
      <c r="I122" s="59">
        <f t="shared" si="119"/>
        <v>5.3284055887607096E-2</v>
      </c>
      <c r="J122" s="59">
        <f t="shared" si="119"/>
        <v>4.1082939530714624E-2</v>
      </c>
      <c r="K122" s="59">
        <f t="shared" si="119"/>
        <v>2.0427885074936869E-2</v>
      </c>
      <c r="L122" s="59">
        <f t="shared" si="119"/>
        <v>2.3477840307871922E-2</v>
      </c>
      <c r="M122" s="59">
        <f t="shared" si="119"/>
        <v>1.6294262438611984E-2</v>
      </c>
      <c r="N122" s="59">
        <f t="shared" si="119"/>
        <v>2.2467495714322716E-2</v>
      </c>
      <c r="O122" s="59">
        <f t="shared" si="119"/>
        <v>3.5373651972821607E-2</v>
      </c>
      <c r="P122" s="59">
        <f t="shared" si="119"/>
        <v>3.1650292771777444E-2</v>
      </c>
      <c r="R122" s="109"/>
      <c r="S122" s="109"/>
    </row>
    <row r="123" spans="1:19" x14ac:dyDescent="0.2">
      <c r="R123" s="109"/>
      <c r="S123" s="109"/>
    </row>
    <row r="124" spans="1:19" x14ac:dyDescent="0.2">
      <c r="A124" s="67" t="s">
        <v>51</v>
      </c>
      <c r="R124" s="109"/>
      <c r="S124" s="109"/>
    </row>
    <row r="125" spans="1:19" x14ac:dyDescent="0.2">
      <c r="A125" s="68" t="s">
        <v>52</v>
      </c>
      <c r="B125" s="43">
        <f>Poland!B125+Austria!B125+'Czech Republic'!B125+Greece!B125+Hungary!B125+Slovakia!B125+Croatia!B125</f>
        <v>70.469158275493839</v>
      </c>
      <c r="C125" s="43">
        <f>Poland!C125+Austria!C125+'Czech Republic'!C125+Greece!C125+Hungary!C125+Slovakia!C125+Croatia!C125</f>
        <v>94.179886321536571</v>
      </c>
      <c r="D125" s="43">
        <f>Poland!D125+Austria!D125+'Czech Republic'!D125+Greece!D125+Hungary!D125+Slovakia!D125+Croatia!D125</f>
        <v>125.17312071945277</v>
      </c>
      <c r="E125" s="43">
        <f>Poland!E125+Austria!E125+'Czech Republic'!E125+Greece!E125+Hungary!E125+Slovakia!E125+Croatia!E125</f>
        <v>165.86357702939452</v>
      </c>
      <c r="F125" s="43">
        <f>Poland!F125+Austria!F125+'Czech Republic'!F125+Greece!F125+Hungary!F125+Slovakia!F125+Croatia!F125</f>
        <v>204.74422457568423</v>
      </c>
      <c r="G125" s="43">
        <f>Poland!G125+Austria!G125+'Czech Republic'!G125+Greece!G125+Hungary!G125+Slovakia!G125+Croatia!G125</f>
        <v>260.66574282160218</v>
      </c>
      <c r="H125" s="43">
        <f>Poland!H125+Austria!H125+'Czech Republic'!H125+Greece!H125+Hungary!H125+Slovakia!H125+Croatia!H125</f>
        <v>337.63362263555445</v>
      </c>
      <c r="I125" s="43">
        <f>Poland!I125+Austria!I125+'Czech Republic'!I125+Greece!I125+Hungary!I125+Slovakia!I125+Croatia!I125</f>
        <v>431.97554086425748</v>
      </c>
      <c r="J125" s="43">
        <f>Poland!J125+Austria!J125+'Czech Republic'!J125+Greece!J125+Hungary!J125+Slovakia!J125+Croatia!J125</f>
        <v>543.35924861631599</v>
      </c>
      <c r="K125" s="43">
        <f>Poland!K125+Austria!K125+'Czech Republic'!K125+Greece!K125+Hungary!K125+Slovakia!K125+Croatia!K125</f>
        <v>666.98630622169514</v>
      </c>
      <c r="L125" s="43">
        <f>Poland!L125+Austria!L125+'Czech Republic'!L125+Greece!L125+Hungary!L125+Slovakia!L125+Croatia!L125</f>
        <v>814.52045436044386</v>
      </c>
      <c r="M125" s="43">
        <f>Poland!M125+Austria!M125+'Czech Republic'!M125+Greece!M125+Hungary!M125+Slovakia!M125+Croatia!M125</f>
        <v>978.21192206395199</v>
      </c>
      <c r="N125" s="43">
        <f>Poland!N125+Austria!N125+'Czech Republic'!N125+Greece!N125+Hungary!N125+Slovakia!N125+Croatia!N125</f>
        <v>1166.0209791729465</v>
      </c>
      <c r="O125" s="43">
        <f>Poland!O125+Austria!O125+'Czech Republic'!O125+Greece!O125+Hungary!O125+Slovakia!O125+Croatia!O125</f>
        <v>1390.6270817246138</v>
      </c>
      <c r="P125" s="43">
        <f>Poland!P125+Austria!P125+'Czech Republic'!P125+Greece!P125+Hungary!P125+Slovakia!P125+Croatia!P125</f>
        <v>1632.2841084420959</v>
      </c>
      <c r="R125" s="57">
        <f>(J125/D125)^(1/6)-1</f>
        <v>0.27721104033623623</v>
      </c>
      <c r="S125" s="57">
        <f>(P125/J125)^(1/6)-1</f>
        <v>0.20120772030352074</v>
      </c>
    </row>
    <row r="126" spans="1:19" x14ac:dyDescent="0.2">
      <c r="A126" s="62" t="s">
        <v>4</v>
      </c>
      <c r="B126" s="75"/>
      <c r="C126" s="63">
        <f t="shared" ref="C126:P126" si="120">C125/B125-1</f>
        <v>0.33646957940589317</v>
      </c>
      <c r="D126" s="63">
        <f t="shared" si="120"/>
        <v>0.32908549381874574</v>
      </c>
      <c r="E126" s="63">
        <f t="shared" si="120"/>
        <v>0.32507343490412932</v>
      </c>
      <c r="F126" s="63">
        <f t="shared" si="120"/>
        <v>0.23441341518517489</v>
      </c>
      <c r="G126" s="63">
        <f t="shared" si="120"/>
        <v>0.27312867242927497</v>
      </c>
      <c r="H126" s="63">
        <f t="shared" si="120"/>
        <v>0.29527424271715108</v>
      </c>
      <c r="I126" s="63">
        <f t="shared" si="120"/>
        <v>0.27942098151325645</v>
      </c>
      <c r="J126" s="63">
        <f t="shared" si="120"/>
        <v>0.25784725572473866</v>
      </c>
      <c r="K126" s="63">
        <f t="shared" si="120"/>
        <v>0.2275236096932185</v>
      </c>
      <c r="L126" s="63">
        <f t="shared" si="120"/>
        <v>0.22119516812045448</v>
      </c>
      <c r="M126" s="63">
        <f t="shared" si="120"/>
        <v>0.20096667533295731</v>
      </c>
      <c r="N126" s="63">
        <f t="shared" si="120"/>
        <v>0.19199219808396095</v>
      </c>
      <c r="O126" s="63">
        <f t="shared" si="120"/>
        <v>0.19262612471259266</v>
      </c>
      <c r="P126" s="63">
        <f t="shared" si="120"/>
        <v>0.17377557930037302</v>
      </c>
      <c r="R126" s="109"/>
      <c r="S126" s="109"/>
    </row>
    <row r="127" spans="1:19" x14ac:dyDescent="0.2">
      <c r="A127" s="68" t="s">
        <v>53</v>
      </c>
      <c r="B127" s="43">
        <f>Poland!B127+Austria!B127+'Czech Republic'!B127+Greece!B127+Hungary!B127+Slovakia!B127+Croatia!B127</f>
        <v>88.45368609783776</v>
      </c>
      <c r="C127" s="43">
        <f>Poland!C127+Austria!C127+'Czech Republic'!C127+Greece!C127+Hungary!C127+Slovakia!C127+Croatia!C127</f>
        <v>110.775586008159</v>
      </c>
      <c r="D127" s="43">
        <f>Poland!D127+Austria!D127+'Czech Republic'!D127+Greece!D127+Hungary!D127+Slovakia!D127+Croatia!D127</f>
        <v>137.25548723799159</v>
      </c>
      <c r="E127" s="43">
        <f>Poland!E127+Austria!E127+'Czech Republic'!E127+Greece!E127+Hungary!E127+Slovakia!E127+Croatia!E127</f>
        <v>168.92709435692737</v>
      </c>
      <c r="F127" s="43">
        <f>Poland!F127+Austria!F127+'Czech Republic'!F127+Greece!F127+Hungary!F127+Slovakia!F127+Croatia!F127</f>
        <v>192.28571193466763</v>
      </c>
      <c r="G127" s="43">
        <f>Poland!G127+Austria!G127+'Czech Republic'!G127+Greece!G127+Hungary!G127+Slovakia!G127+Croatia!G127</f>
        <v>225.95730745456959</v>
      </c>
      <c r="H127" s="43">
        <f>Poland!H127+Austria!H127+'Czech Republic'!H127+Greece!H127+Hungary!H127+Slovakia!H127+Croatia!H127</f>
        <v>269.61930818208617</v>
      </c>
      <c r="I127" s="43">
        <f>Poland!I127+Austria!I127+'Czech Republic'!I127+Greece!I127+Hungary!I127+Slovakia!I127+Croatia!I127</f>
        <v>318.17000563002063</v>
      </c>
      <c r="J127" s="43">
        <f>Poland!J127+Austria!J127+'Czech Republic'!J127+Greece!J127+Hungary!J127+Slovakia!J127+Croatia!J127</f>
        <v>367.11297683355099</v>
      </c>
      <c r="K127" s="43">
        <f>Poland!K127+Austria!K127+'Czech Republic'!K127+Greece!K127+Hungary!K127+Slovakia!K127+Croatia!K127</f>
        <v>411.44725797415936</v>
      </c>
      <c r="L127" s="43">
        <f>Poland!L127+Austria!L127+'Czech Republic'!L127+Greece!L127+Hungary!L127+Slovakia!L127+Croatia!L127</f>
        <v>455.45211771328735</v>
      </c>
      <c r="M127" s="43">
        <f>Poland!M127+Austria!M127+'Czech Republic'!M127+Greece!M127+Hungary!M127+Slovakia!M127+Croatia!M127</f>
        <v>491.40210869113071</v>
      </c>
      <c r="N127" s="43">
        <f>Poland!N127+Austria!N127+'Czech Republic'!N127+Greece!N127+Hungary!N127+Slovakia!N127+Croatia!N127</f>
        <v>520.53869036378683</v>
      </c>
      <c r="O127" s="43">
        <f>Poland!O127+Austria!O127+'Czech Republic'!O127+Greece!O127+Hungary!O127+Slovakia!O127+Croatia!O127</f>
        <v>546.13564199090797</v>
      </c>
      <c r="P127" s="43">
        <f>Poland!P127+Austria!P127+'Czech Republic'!P127+Greece!P127+Hungary!P127+Slovakia!P127+Croatia!P127</f>
        <v>556.71293244409037</v>
      </c>
      <c r="R127" s="57">
        <f>(J127/D127)^(1/6)-1</f>
        <v>0.178180064900197</v>
      </c>
      <c r="S127" s="57">
        <f>(P127/J127)^(1/6)-1</f>
        <v>7.1861311844489073E-2</v>
      </c>
    </row>
    <row r="128" spans="1:19" x14ac:dyDescent="0.2">
      <c r="A128" s="62" t="s">
        <v>4</v>
      </c>
      <c r="B128" s="63"/>
      <c r="C128" s="63">
        <f t="shared" ref="C128:P128" si="121">C127/B127-1</f>
        <v>0.25235692140213573</v>
      </c>
      <c r="D128" s="63">
        <f t="shared" si="121"/>
        <v>0.23904094922036578</v>
      </c>
      <c r="E128" s="63">
        <f t="shared" si="121"/>
        <v>0.23074929648546139</v>
      </c>
      <c r="F128" s="63">
        <f t="shared" si="121"/>
        <v>0.13827632368070963</v>
      </c>
      <c r="G128" s="63">
        <f t="shared" si="121"/>
        <v>0.17511231167993624</v>
      </c>
      <c r="H128" s="63">
        <f t="shared" si="121"/>
        <v>0.19323119583682935</v>
      </c>
      <c r="I128" s="63">
        <f t="shared" si="121"/>
        <v>0.18007129302158864</v>
      </c>
      <c r="J128" s="63">
        <f t="shared" si="121"/>
        <v>0.15382647747268474</v>
      </c>
      <c r="K128" s="63">
        <f t="shared" si="121"/>
        <v>0.12076467991680273</v>
      </c>
      <c r="L128" s="63">
        <f t="shared" si="121"/>
        <v>0.10695139871825732</v>
      </c>
      <c r="M128" s="63">
        <f t="shared" si="121"/>
        <v>7.8932536659044095E-2</v>
      </c>
      <c r="N128" s="63">
        <f t="shared" si="121"/>
        <v>5.9292748560364483E-2</v>
      </c>
      <c r="O128" s="63">
        <f t="shared" si="121"/>
        <v>4.9173965549481613E-2</v>
      </c>
      <c r="P128" s="63">
        <f t="shared" si="121"/>
        <v>1.936751539347159E-2</v>
      </c>
      <c r="R128" s="109"/>
      <c r="S128" s="109"/>
    </row>
    <row r="129" spans="1:19" x14ac:dyDescent="0.2">
      <c r="A129" s="77" t="s">
        <v>23</v>
      </c>
      <c r="B129" s="56">
        <f t="shared" ref="B129:P129" si="122">B125+B127</f>
        <v>158.9228443733316</v>
      </c>
      <c r="C129" s="56">
        <f t="shared" si="122"/>
        <v>204.95547232969557</v>
      </c>
      <c r="D129" s="56">
        <f t="shared" si="122"/>
        <v>262.42860795744434</v>
      </c>
      <c r="E129" s="56">
        <f t="shared" si="122"/>
        <v>334.79067138632189</v>
      </c>
      <c r="F129" s="56">
        <f t="shared" si="122"/>
        <v>397.02993651035183</v>
      </c>
      <c r="G129" s="56">
        <f t="shared" si="122"/>
        <v>486.62305027617174</v>
      </c>
      <c r="H129" s="56">
        <f t="shared" si="122"/>
        <v>607.25293081764062</v>
      </c>
      <c r="I129" s="56">
        <f t="shared" si="122"/>
        <v>750.14554649427805</v>
      </c>
      <c r="J129" s="56">
        <f t="shared" si="122"/>
        <v>910.47222544986698</v>
      </c>
      <c r="K129" s="56">
        <f t="shared" si="122"/>
        <v>1078.4335641958546</v>
      </c>
      <c r="L129" s="56">
        <f t="shared" si="122"/>
        <v>1269.9725720737313</v>
      </c>
      <c r="M129" s="56">
        <f t="shared" si="122"/>
        <v>1469.6140307550827</v>
      </c>
      <c r="N129" s="56">
        <f t="shared" si="122"/>
        <v>1686.5596695367333</v>
      </c>
      <c r="O129" s="56">
        <f t="shared" si="122"/>
        <v>1936.7627237155218</v>
      </c>
      <c r="P129" s="56">
        <f t="shared" si="122"/>
        <v>2188.9970408861864</v>
      </c>
      <c r="R129" s="57">
        <f>(J129/D129)^(1/6)-1</f>
        <v>0.23038941860730722</v>
      </c>
      <c r="S129" s="57">
        <f>(P129/J129)^(1/6)-1</f>
        <v>0.15743446996590471</v>
      </c>
    </row>
    <row r="130" spans="1:19" x14ac:dyDescent="0.2">
      <c r="A130" s="74" t="s">
        <v>4</v>
      </c>
      <c r="B130" s="66"/>
      <c r="C130" s="59">
        <f t="shared" ref="C130:P130" si="123">C129/B129-1</f>
        <v>0.28965393954456919</v>
      </c>
      <c r="D130" s="59">
        <f t="shared" si="123"/>
        <v>0.28041766816206937</v>
      </c>
      <c r="E130" s="59">
        <f t="shared" si="123"/>
        <v>0.27573999645881542</v>
      </c>
      <c r="F130" s="59">
        <f t="shared" si="123"/>
        <v>0.18590501600987186</v>
      </c>
      <c r="G130" s="59">
        <f t="shared" si="123"/>
        <v>0.22565833335714713</v>
      </c>
      <c r="H130" s="59">
        <f t="shared" si="123"/>
        <v>0.24789183429146688</v>
      </c>
      <c r="I130" s="59">
        <f t="shared" si="123"/>
        <v>0.23530988229935512</v>
      </c>
      <c r="J130" s="59">
        <f t="shared" si="123"/>
        <v>0.21372742890344121</v>
      </c>
      <c r="K130" s="59">
        <f t="shared" si="123"/>
        <v>0.18447716915581625</v>
      </c>
      <c r="L130" s="59">
        <f t="shared" si="123"/>
        <v>0.17760853726831072</v>
      </c>
      <c r="M130" s="59">
        <f t="shared" si="123"/>
        <v>0.15720139400755562</v>
      </c>
      <c r="N130" s="59">
        <f t="shared" si="123"/>
        <v>0.14762082712981761</v>
      </c>
      <c r="O130" s="59">
        <f t="shared" si="123"/>
        <v>0.14835114268297112</v>
      </c>
      <c r="P130" s="59">
        <f t="shared" si="123"/>
        <v>0.13023501231311063</v>
      </c>
      <c r="R130" s="109"/>
      <c r="S130" s="109"/>
    </row>
    <row r="131" spans="1:19" x14ac:dyDescent="0.2">
      <c r="R131" s="109"/>
      <c r="S131" s="109"/>
    </row>
    <row r="132" spans="1:19" x14ac:dyDescent="0.2">
      <c r="A132" s="67" t="s">
        <v>34</v>
      </c>
      <c r="R132" s="109"/>
      <c r="S132" s="109"/>
    </row>
    <row r="133" spans="1:19" x14ac:dyDescent="0.2">
      <c r="A133" s="79" t="s">
        <v>35</v>
      </c>
      <c r="B133" s="43">
        <f>Poland!B133+Austria!B133+'Czech Republic'!B133+Greece!B133+Hungary!B133+Slovakia!B133+Croatia!B133</f>
        <v>333439.03498665302</v>
      </c>
      <c r="C133" s="43">
        <f>Poland!C133+Austria!C133+'Czech Republic'!C133+Greece!C133+Hungary!C133+Slovakia!C133+Croatia!C133</f>
        <v>347104.93863525003</v>
      </c>
      <c r="D133" s="43">
        <f>Poland!D133+Austria!D133+'Czech Republic'!D133+Greece!D133+Hungary!D133+Slovakia!D133+Croatia!D133</f>
        <v>367024.85680322128</v>
      </c>
      <c r="E133" s="43">
        <f>Poland!E133+Austria!E133+'Czech Republic'!E133+Greece!E133+Hungary!E133+Slovakia!E133+Croatia!E133</f>
        <v>377001.62231397757</v>
      </c>
      <c r="F133" s="43">
        <f>Poland!F133+Austria!F133+'Czech Republic'!F133+Greece!F133+Hungary!F133+Slovakia!F133+Croatia!F133</f>
        <v>397485.18519786617</v>
      </c>
      <c r="G133" s="43">
        <f>Poland!G133+Austria!G133+'Czech Republic'!G133+Greece!G133+Hungary!G133+Slovakia!G133+Croatia!G133</f>
        <v>438122.16583765775</v>
      </c>
      <c r="H133" s="43">
        <f>Poland!H133+Austria!H133+'Czech Republic'!H133+Greece!H133+Hungary!H133+Slovakia!H133+Croatia!H133</f>
        <v>465582.63082375895</v>
      </c>
      <c r="I133" s="43">
        <f>Poland!I133+Austria!I133+'Czech Republic'!I133+Greece!I133+Hungary!I133+Slovakia!I133+Croatia!I133</f>
        <v>544593.28204706241</v>
      </c>
      <c r="J133" s="43">
        <f>Poland!J133+Austria!J133+'Czech Republic'!J133+Greece!J133+Hungary!J133+Slovakia!J133+Croatia!J133</f>
        <v>577257.70652696141</v>
      </c>
      <c r="K133" s="43">
        <f>Poland!K133+Austria!K133+'Czech Republic'!K133+Greece!K133+Hungary!K133+Slovakia!K133+Croatia!K133</f>
        <v>646006.67712917202</v>
      </c>
      <c r="L133" s="43">
        <f>Poland!L133+Austria!L133+'Czech Republic'!L133+Greece!L133+Hungary!L133+Slovakia!L133+Croatia!L133</f>
        <v>710867.16716193152</v>
      </c>
      <c r="M133" s="43">
        <f>Poland!M133+Austria!M133+'Czech Republic'!M133+Greece!M133+Hungary!M133+Slovakia!M133+Croatia!M133</f>
        <v>782313.07790721336</v>
      </c>
      <c r="N133" s="43">
        <f>Poland!N133+Austria!N133+'Czech Republic'!N133+Greece!N133+Hungary!N133+Slovakia!N133+Croatia!N133</f>
        <v>871904.09737603134</v>
      </c>
      <c r="O133" s="43">
        <f>Poland!O133+Austria!O133+'Czech Republic'!O133+Greece!O133+Hungary!O133+Slovakia!O133+Croatia!O133</f>
        <v>937744.49229855568</v>
      </c>
      <c r="P133" s="43">
        <f>Poland!P133+Austria!P133+'Czech Republic'!P133+Greece!P133+Hungary!P133+Slovakia!P133+Croatia!P133</f>
        <v>1001092.5692964841</v>
      </c>
      <c r="R133" s="57">
        <f>(J133/D133)^(1/6)-1</f>
        <v>7.8397925166654225E-2</v>
      </c>
      <c r="S133" s="57">
        <f>(P133/J133)^(1/6)-1</f>
        <v>9.6101443539367892E-2</v>
      </c>
    </row>
    <row r="134" spans="1:19" x14ac:dyDescent="0.2">
      <c r="A134" s="80" t="s">
        <v>36</v>
      </c>
      <c r="B134" s="75"/>
      <c r="C134" s="63">
        <f t="shared" ref="C134:P134" si="124">C133/B133-1</f>
        <v>4.0984714489543883E-2</v>
      </c>
      <c r="D134" s="63">
        <f t="shared" si="124"/>
        <v>5.7388748907729603E-2</v>
      </c>
      <c r="E134" s="63">
        <f t="shared" si="124"/>
        <v>2.7182806084725897E-2</v>
      </c>
      <c r="F134" s="63">
        <f t="shared" si="124"/>
        <v>5.4332824241348554E-2</v>
      </c>
      <c r="G134" s="63">
        <f t="shared" si="124"/>
        <v>0.10223520813627984</v>
      </c>
      <c r="H134" s="63">
        <f t="shared" si="124"/>
        <v>6.2677643651283477E-2</v>
      </c>
      <c r="I134" s="63">
        <f t="shared" si="124"/>
        <v>0.16970274660699713</v>
      </c>
      <c r="J134" s="63">
        <f t="shared" si="124"/>
        <v>5.9979484794812743E-2</v>
      </c>
      <c r="K134" s="63">
        <f t="shared" si="124"/>
        <v>0.11909580387559471</v>
      </c>
      <c r="L134" s="63">
        <f t="shared" si="124"/>
        <v>0.10040219757634228</v>
      </c>
      <c r="M134" s="63">
        <f t="shared" si="124"/>
        <v>0.10050528994118935</v>
      </c>
      <c r="N134" s="63">
        <f t="shared" si="124"/>
        <v>0.11452067209266814</v>
      </c>
      <c r="O134" s="63">
        <f t="shared" si="124"/>
        <v>7.5513345011990474E-2</v>
      </c>
      <c r="P134" s="63">
        <f t="shared" si="124"/>
        <v>6.7553664690317206E-2</v>
      </c>
      <c r="R134" s="109"/>
      <c r="S134" s="109"/>
    </row>
    <row r="135" spans="1:19" x14ac:dyDescent="0.2">
      <c r="A135" s="79" t="s">
        <v>37</v>
      </c>
      <c r="B135" s="43">
        <f>Poland!B135+Austria!B135+'Czech Republic'!B135+Greece!B137+Hungary!B135+Slovakia!B135+Croatia!B135</f>
        <v>166582.29087410419</v>
      </c>
      <c r="C135" s="43">
        <f>Poland!C135+Austria!C135+'Czech Republic'!C135+Greece!C137+Hungary!C135+Slovakia!C135+Croatia!C135</f>
        <v>172056.40685943826</v>
      </c>
      <c r="D135" s="43">
        <f>Poland!D135+Austria!D135+'Czech Republic'!D135+Greece!D137+Hungary!D135+Slovakia!D135+Croatia!D135</f>
        <v>180521.7955496533</v>
      </c>
      <c r="E135" s="43">
        <f>Poland!E135+Austria!E135+'Czech Republic'!E135+Greece!E137+Hungary!E135+Slovakia!E135+Croatia!E135</f>
        <v>185460.13467391755</v>
      </c>
      <c r="F135" s="43">
        <f>Poland!F135+Austria!F135+'Czech Republic'!F135+Greece!F137+Hungary!F135+Slovakia!F135+Croatia!F135</f>
        <v>194757.58759337722</v>
      </c>
      <c r="G135" s="43">
        <f>Poland!G135+Austria!G135+'Czech Republic'!G135+Greece!G137+Hungary!G135+Slovakia!G135+Croatia!G135</f>
        <v>212354.22393787774</v>
      </c>
      <c r="H135" s="43">
        <f>Poland!H135+Austria!H135+'Czech Republic'!H135+Greece!H137+Hungary!H135+Slovakia!H135+Croatia!H135</f>
        <v>224074.60458880299</v>
      </c>
      <c r="I135" s="43">
        <f>Poland!I135+Austria!I135+'Czech Republic'!I135+Greece!I137+Hungary!I135+Slovakia!I135+Croatia!I135</f>
        <v>258715.41765229273</v>
      </c>
      <c r="J135" s="43">
        <f>Poland!J135+Austria!J135+'Czech Republic'!J135+Greece!J137+Hungary!J135+Slovakia!J135+Croatia!J135</f>
        <v>273179.00877192977</v>
      </c>
      <c r="K135" s="43">
        <f>Poland!K135+Austria!K135+'Czech Republic'!K135+Greece!K137+Hungary!K135+Slovakia!K135+Croatia!K135</f>
        <v>306377.76948039414</v>
      </c>
      <c r="L135" s="43">
        <f>Poland!L135+Austria!L135+'Czech Republic'!L135+Greece!L137+Hungary!L135+Slovakia!L135+Croatia!L135</f>
        <v>336673.719997112</v>
      </c>
      <c r="M135" s="43">
        <f>Poland!M135+Austria!M135+'Czech Republic'!M135+Greece!M137+Hungary!M135+Slovakia!M135+Croatia!M135</f>
        <v>366284.49904508237</v>
      </c>
      <c r="N135" s="43">
        <f>Poland!N135+Austria!N135+'Czech Republic'!N135+Greece!N137+Hungary!N135+Slovakia!N135+Croatia!N135</f>
        <v>407593.94495692692</v>
      </c>
      <c r="O135" s="43">
        <f>Poland!O135+Austria!O135+'Czech Republic'!O135+Greece!O137+Hungary!O135+Slovakia!O135+Croatia!O135</f>
        <v>437625.92439458531</v>
      </c>
      <c r="P135" s="43">
        <f>Poland!P135+Austria!P135+'Czech Republic'!P135+Greece!P137+Hungary!P135+Slovakia!P135+Croatia!P135</f>
        <v>465808.95943713177</v>
      </c>
      <c r="R135" s="57">
        <f>(J135/D135)^(1/6)-1</f>
        <v>7.1485455030688039E-2</v>
      </c>
      <c r="S135" s="57">
        <f>(P135/J135)^(1/6)-1</f>
        <v>9.3016585767888849E-2</v>
      </c>
    </row>
    <row r="136" spans="1:19" x14ac:dyDescent="0.2">
      <c r="A136" s="80" t="s">
        <v>36</v>
      </c>
      <c r="B136" s="75"/>
      <c r="C136" s="63">
        <f t="shared" ref="C136:P136" si="125">C135/B135-1</f>
        <v>3.2861332117656961E-2</v>
      </c>
      <c r="D136" s="63">
        <f t="shared" si="125"/>
        <v>4.9201240713639072E-2</v>
      </c>
      <c r="E136" s="63">
        <f t="shared" si="125"/>
        <v>2.7355916271650127E-2</v>
      </c>
      <c r="F136" s="63">
        <f t="shared" si="125"/>
        <v>5.0131813695739824E-2</v>
      </c>
      <c r="G136" s="63">
        <f t="shared" si="125"/>
        <v>9.0351480329688094E-2</v>
      </c>
      <c r="H136" s="63">
        <f t="shared" si="125"/>
        <v>5.5192594870888678E-2</v>
      </c>
      <c r="I136" s="63">
        <f t="shared" si="125"/>
        <v>0.15459499806798149</v>
      </c>
      <c r="J136" s="63">
        <f t="shared" si="125"/>
        <v>5.5905408540730006E-2</v>
      </c>
      <c r="K136" s="63">
        <f t="shared" si="125"/>
        <v>0.12152749531418494</v>
      </c>
      <c r="L136" s="63">
        <f t="shared" si="125"/>
        <v>9.8884297539272303E-2</v>
      </c>
      <c r="M136" s="63">
        <f t="shared" si="125"/>
        <v>8.7950966437844835E-2</v>
      </c>
      <c r="N136" s="63">
        <f t="shared" si="125"/>
        <v>0.11277967268486622</v>
      </c>
      <c r="O136" s="63">
        <f t="shared" si="125"/>
        <v>7.3681122620288253E-2</v>
      </c>
      <c r="P136" s="63">
        <f t="shared" si="125"/>
        <v>6.4399829789642871E-2</v>
      </c>
      <c r="R136" s="109"/>
      <c r="S136" s="109"/>
    </row>
    <row r="137" spans="1:19" x14ac:dyDescent="0.2">
      <c r="A137" s="79" t="s">
        <v>38</v>
      </c>
      <c r="B137" s="43">
        <f>Poland!B137+Austria!B137+'Czech Republic'!B137+Greece!B141+Hungary!B137+Slovakia!B137+Croatia!B137</f>
        <v>947.3892878098975</v>
      </c>
      <c r="C137" s="43">
        <f>Poland!C137+Austria!C137+'Czech Republic'!C137+Greece!C141+Hungary!C137+Slovakia!C137+Croatia!C137</f>
        <v>1143.6205950686419</v>
      </c>
      <c r="D137" s="43">
        <f>Poland!D137+Austria!D137+'Czech Republic'!D137+Greece!D141+Hungary!D137+Slovakia!D137+Croatia!D137</f>
        <v>1390.2650138205945</v>
      </c>
      <c r="E137" s="43">
        <f>Poland!E137+Austria!E137+'Czech Republic'!E137+Greece!E141+Hungary!E137+Slovakia!E137+Croatia!E137</f>
        <v>1717.8940838155743</v>
      </c>
      <c r="F137" s="43">
        <f>Poland!F137+Austria!F137+'Czech Republic'!F137+Greece!F141+Hungary!F137+Slovakia!F137+Croatia!F137</f>
        <v>2060.4560653377894</v>
      </c>
      <c r="G137" s="43">
        <f>Poland!G137+Austria!G137+'Czech Republic'!G137+Greece!G141+Hungary!G137+Slovakia!G137+Croatia!G137</f>
        <v>2531.0854457514929</v>
      </c>
      <c r="H137" s="43">
        <f>Poland!H137+Austria!H137+'Czech Republic'!H137+Greece!H141+Hungary!H137+Slovakia!H137+Croatia!H137</f>
        <v>3120.5331484989492</v>
      </c>
      <c r="I137" s="43">
        <f>Poland!I137+Austria!I137+'Czech Republic'!I137+Greece!I141+Hungary!I137+Slovakia!I137+Croatia!I137</f>
        <v>3866.6567528813716</v>
      </c>
      <c r="J137" s="43">
        <f>Poland!J137+Austria!J137+'Czech Republic'!J137+Greece!J141+Hungary!J137+Slovakia!J137+Croatia!J137</f>
        <v>4664.9792202889894</v>
      </c>
      <c r="K137" s="43">
        <f>Poland!K137+Austria!K137+'Czech Republic'!K137+Greece!K141+Hungary!K137+Slovakia!K137+Croatia!K137</f>
        <v>5559.8497051223221</v>
      </c>
      <c r="L137" s="43">
        <f>Poland!L137+Austria!L137+'Czech Republic'!L137+Greece!L141+Hungary!L137+Slovakia!L137+Croatia!L137</f>
        <v>6619.933716960024</v>
      </c>
      <c r="M137" s="43">
        <f>Poland!M137+Austria!M137+'Czech Republic'!M137+Greece!M141+Hungary!M137+Slovakia!M137+Croatia!M137</f>
        <v>7783.9155515386574</v>
      </c>
      <c r="N137" s="43">
        <f>Poland!N137+Austria!N137+'Czech Republic'!N137+Greece!N141+Hungary!N137+Slovakia!N137+Croatia!N137</f>
        <v>9049.3110758901948</v>
      </c>
      <c r="O137" s="43">
        <f>Poland!O137+Austria!O137+'Czech Republic'!O137+Greece!O141+Hungary!O137+Slovakia!O137+Croatia!O137</f>
        <v>10428.591593590112</v>
      </c>
      <c r="P137" s="43">
        <f>Poland!P137+Austria!P137+'Czech Republic'!P137+Greece!P141+Hungary!P137+Slovakia!P137+Croatia!P137</f>
        <v>11847.052858892997</v>
      </c>
      <c r="R137" s="57">
        <f>(J137/D137)^(1/6)-1</f>
        <v>0.22356023236982514</v>
      </c>
      <c r="S137" s="57">
        <f>(P137/J137)^(1/6)-1</f>
        <v>0.16804641849187729</v>
      </c>
    </row>
    <row r="138" spans="1:19" x14ac:dyDescent="0.2">
      <c r="A138" s="80" t="s">
        <v>36</v>
      </c>
      <c r="B138" s="75"/>
      <c r="C138" s="63">
        <f t="shared" ref="C138:P138" si="126">C137/B137-1</f>
        <v>0.20712848433443565</v>
      </c>
      <c r="D138" s="63">
        <f t="shared" si="126"/>
        <v>0.21566979452407331</v>
      </c>
      <c r="E138" s="63">
        <f t="shared" si="126"/>
        <v>0.23565943668151479</v>
      </c>
      <c r="F138" s="63">
        <f t="shared" si="126"/>
        <v>0.19940809200609078</v>
      </c>
      <c r="G138" s="63">
        <f t="shared" si="126"/>
        <v>0.22841029630813736</v>
      </c>
      <c r="H138" s="63">
        <f t="shared" si="126"/>
        <v>0.23288336778075314</v>
      </c>
      <c r="I138" s="63">
        <f t="shared" si="126"/>
        <v>0.23910132303556075</v>
      </c>
      <c r="J138" s="63">
        <f t="shared" si="126"/>
        <v>0.20646323644133147</v>
      </c>
      <c r="K138" s="63">
        <f t="shared" si="126"/>
        <v>0.19182732496242427</v>
      </c>
      <c r="L138" s="63">
        <f t="shared" si="126"/>
        <v>0.19066774608332304</v>
      </c>
      <c r="M138" s="63">
        <f t="shared" si="126"/>
        <v>0.17582983219251203</v>
      </c>
      <c r="N138" s="63">
        <f t="shared" si="126"/>
        <v>0.16256542301533639</v>
      </c>
      <c r="O138" s="63">
        <f t="shared" si="126"/>
        <v>0.15241828976071914</v>
      </c>
      <c r="P138" s="63">
        <f t="shared" si="126"/>
        <v>0.13601657065319706</v>
      </c>
      <c r="R138" s="109"/>
      <c r="S138" s="109"/>
    </row>
    <row r="139" spans="1:19" x14ac:dyDescent="0.2">
      <c r="A139" s="79" t="s">
        <v>60</v>
      </c>
      <c r="B139" s="43">
        <f>Poland!B139+Austria!B139+'Czech Republic'!B139+Greece!B143+Hungary!B139+Slovakia!B139+Croatia!B139</f>
        <v>342.98602856480659</v>
      </c>
      <c r="C139" s="43">
        <f>Poland!C139+Austria!C139+'Czech Republic'!C139+Greece!C143+Hungary!C139+Slovakia!C139+Croatia!C139</f>
        <v>377.03215772875768</v>
      </c>
      <c r="D139" s="43">
        <f>Poland!D139+Austria!D139+'Czech Republic'!D139+Greece!D143+Hungary!D139+Slovakia!D139+Croatia!D139</f>
        <v>407.84530104368469</v>
      </c>
      <c r="E139" s="43">
        <f>Poland!E139+Austria!E139+'Czech Republic'!E139+Greece!E143+Hungary!E139+Slovakia!E139+Croatia!E139</f>
        <v>448.81277607988608</v>
      </c>
      <c r="F139" s="43">
        <f>Poland!F139+Austria!F139+'Czech Republic'!F139+Greece!F143+Hungary!F139+Slovakia!F139+Croatia!F139</f>
        <v>488.74034655172051</v>
      </c>
      <c r="G139" s="43">
        <f>Poland!G139+Austria!G139+'Czech Republic'!G139+Greece!G143+Hungary!G139+Slovakia!G139+Croatia!G139</f>
        <v>544.10414309234068</v>
      </c>
      <c r="H139" s="43">
        <f>Poland!H139+Austria!H139+'Czech Republic'!H139+Greece!H143+Hungary!H139+Slovakia!H139+Croatia!H139</f>
        <v>599.76886673595959</v>
      </c>
      <c r="I139" s="43">
        <f>Poland!I139+Austria!I139+'Czech Republic'!I139+Greece!I143+Hungary!I139+Slovakia!I139+Croatia!I139</f>
        <v>719.21877102812653</v>
      </c>
      <c r="J139" s="43">
        <f>Poland!J139+Austria!J139+'Czech Republic'!J139+Greece!J143+Hungary!J139+Slovakia!J139+Croatia!J139</f>
        <v>787.01207742666736</v>
      </c>
      <c r="K139" s="43">
        <f>Poland!K139+Austria!K139+'Czech Republic'!K139+Greece!K143+Hungary!K139+Slovakia!K139+Croatia!K139</f>
        <v>904.86856647597642</v>
      </c>
      <c r="L139" s="43">
        <f>Poland!L139+Austria!L139+'Czech Republic'!L139+Greece!L143+Hungary!L139+Slovakia!L139+Croatia!L139</f>
        <v>1017.2031386626155</v>
      </c>
      <c r="M139" s="43">
        <f>Poland!M139+Austria!M139+'Czech Republic'!M139+Greece!M143+Hungary!M139+Slovakia!M139+Croatia!M139</f>
        <v>1139.3165802217693</v>
      </c>
      <c r="N139" s="43">
        <f>Poland!N139+Austria!N139+'Czech Republic'!N139+Greece!N143+Hungary!N139+Slovakia!N139+Croatia!N139</f>
        <v>1285.389450272</v>
      </c>
      <c r="O139" s="43">
        <f>Poland!O139+Austria!O139+'Czech Republic'!O139+Greece!O143+Hungary!O139+Slovakia!O139+Croatia!O139</f>
        <v>1399.3795336295161</v>
      </c>
      <c r="P139" s="43">
        <f>Poland!P139+Austria!P139+'Czech Republic'!P139+Greece!P143+Hungary!P139+Slovakia!P139+Croatia!P139</f>
        <v>1515.2602207017812</v>
      </c>
      <c r="R139" s="57">
        <f>(J139/D139)^(1/6)-1</f>
        <v>0.11578620833002318</v>
      </c>
      <c r="S139" s="57">
        <f>(P139/J139)^(1/6)-1</f>
        <v>0.1153666057465248</v>
      </c>
    </row>
    <row r="140" spans="1:19" x14ac:dyDescent="0.2">
      <c r="A140" s="80" t="s">
        <v>36</v>
      </c>
      <c r="B140" s="75"/>
      <c r="C140" s="63">
        <f t="shared" ref="C140:P140" si="127">C139/B139-1</f>
        <v>9.9263895110870859E-2</v>
      </c>
      <c r="D140" s="63">
        <f t="shared" si="127"/>
        <v>8.1725504531352078E-2</v>
      </c>
      <c r="E140" s="63">
        <f t="shared" si="127"/>
        <v>0.10044856452033346</v>
      </c>
      <c r="F140" s="63">
        <f t="shared" si="127"/>
        <v>8.8962642330679964E-2</v>
      </c>
      <c r="G140" s="63">
        <f t="shared" si="127"/>
        <v>0.11327854745620303</v>
      </c>
      <c r="H140" s="63">
        <f t="shared" si="127"/>
        <v>0.10230527436761672</v>
      </c>
      <c r="I140" s="63">
        <f t="shared" si="127"/>
        <v>0.1991598946144586</v>
      </c>
      <c r="J140" s="63">
        <f t="shared" si="127"/>
        <v>9.4259645506234557E-2</v>
      </c>
      <c r="K140" s="63">
        <f t="shared" si="127"/>
        <v>0.14975181757651068</v>
      </c>
      <c r="L140" s="63">
        <f t="shared" si="127"/>
        <v>0.12414462867698872</v>
      </c>
      <c r="M140" s="63">
        <f t="shared" si="127"/>
        <v>0.12004823512411145</v>
      </c>
      <c r="N140" s="63">
        <f t="shared" si="127"/>
        <v>0.12821095785492509</v>
      </c>
      <c r="O140" s="63">
        <f t="shared" si="127"/>
        <v>8.8681359049115338E-2</v>
      </c>
      <c r="P140" s="63">
        <f t="shared" si="127"/>
        <v>8.2808619311238507E-2</v>
      </c>
      <c r="R140" s="109"/>
      <c r="S140" s="109"/>
    </row>
    <row r="141" spans="1:19" x14ac:dyDescent="0.2">
      <c r="A141" s="79" t="s">
        <v>39</v>
      </c>
      <c r="B141" s="43">
        <f>Poland!B141+Austria!B141+'Czech Republic'!B141+Greece!B145+Hungary!B141+Slovakia!B141+Croatia!B141</f>
        <v>289.86665994437919</v>
      </c>
      <c r="C141" s="43">
        <f>Poland!C141+Austria!C141+'Czech Republic'!C141+Greece!C145+Hungary!C141+Slovakia!C141+Croatia!C141</f>
        <v>299.43289241452595</v>
      </c>
      <c r="D141" s="43">
        <f>Poland!D141+Austria!D141+'Czech Republic'!D141+Greece!D145+Hungary!D141+Slovakia!D141+Croatia!D141</f>
        <v>318.93620434046409</v>
      </c>
      <c r="E141" s="43">
        <f>Poland!E141+Austria!E141+'Czech Republic'!E141+Greece!E145+Hungary!E141+Slovakia!E141+Croatia!E141</f>
        <v>328.77528795902043</v>
      </c>
      <c r="F141" s="43">
        <f>Poland!F141+Austria!F141+'Czech Republic'!F141+Greece!F145+Hungary!F141+Slovakia!F141+Croatia!F141</f>
        <v>342.97633183166619</v>
      </c>
      <c r="G141" s="43">
        <f>Poland!G141+Austria!G141+'Czech Republic'!G141+Greece!G145+Hungary!G141+Slovakia!G141+Croatia!G141</f>
        <v>381.49061235102386</v>
      </c>
      <c r="H141" s="43">
        <f>Poland!H141+Austria!H141+'Czech Republic'!H141+Greece!H145+Hungary!H141+Slovakia!H141+Croatia!H141</f>
        <v>409.51861573317058</v>
      </c>
      <c r="I141" s="43">
        <f>Poland!I141+Austria!I141+'Czech Republic'!I141+Greece!I145+Hungary!I141+Slovakia!I141+Croatia!I141</f>
        <v>498.73406050541115</v>
      </c>
      <c r="J141" s="43">
        <f>Poland!J141+Austria!J141+'Czech Republic'!J141+Greece!J145+Hungary!J141+Slovakia!J141+Croatia!J141</f>
        <v>545.93851465003775</v>
      </c>
      <c r="K141" s="43">
        <f>Poland!K141+Austria!K141+'Czech Republic'!K141+Greece!K145+Hungary!K141+Slovakia!K141+Croatia!K141</f>
        <v>653.45627229536501</v>
      </c>
      <c r="L141" s="43">
        <f>Poland!L141+Austria!L141+'Czech Republic'!L141+Greece!L145+Hungary!L141+Slovakia!L141+Croatia!L141</f>
        <v>770.38313146290466</v>
      </c>
      <c r="M141" s="43">
        <f>Poland!M141+Austria!M141+'Czech Republic'!M141+Greece!M145+Hungary!M141+Slovakia!M141+Croatia!M141</f>
        <v>901.78396197473171</v>
      </c>
      <c r="N141" s="43">
        <f>Poland!N141+Austria!N141+'Czech Republic'!N141+Greece!N145+Hungary!N141+Slovakia!N141+Croatia!N141</f>
        <v>1058.7781640918649</v>
      </c>
      <c r="O141" s="43">
        <f>Poland!O141+Austria!O141+'Czech Republic'!O141+Greece!O145+Hungary!O141+Slovakia!O141+Croatia!O141</f>
        <v>1181.5173884499657</v>
      </c>
      <c r="P141" s="43">
        <f>Poland!P141+Austria!P141+'Czech Republic'!P141+Greece!P145+Hungary!P141+Slovakia!P141+Croatia!P141</f>
        <v>1299.9552229429282</v>
      </c>
      <c r="R141" s="57">
        <f>(J141/D141)^(1/6)-1</f>
        <v>9.3721254867400683E-2</v>
      </c>
      <c r="S141" s="57">
        <f>(P141/J141)^(1/6)-1</f>
        <v>0.15557315234064761</v>
      </c>
    </row>
    <row r="142" spans="1:19" x14ac:dyDescent="0.2">
      <c r="A142" s="80" t="s">
        <v>36</v>
      </c>
      <c r="B142" s="75"/>
      <c r="C142" s="63">
        <f t="shared" ref="C142:P142" si="128">C141/B141-1</f>
        <v>3.3002182700081262E-2</v>
      </c>
      <c r="D142" s="63">
        <f t="shared" si="128"/>
        <v>6.51341666864651E-2</v>
      </c>
      <c r="E142" s="63">
        <f t="shared" si="128"/>
        <v>3.0849691833835013E-2</v>
      </c>
      <c r="F142" s="63">
        <f t="shared" si="128"/>
        <v>4.3193769096221857E-2</v>
      </c>
      <c r="G142" s="63">
        <f t="shared" si="128"/>
        <v>0.11229428081428261</v>
      </c>
      <c r="H142" s="63">
        <f t="shared" si="128"/>
        <v>7.3469706657832701E-2</v>
      </c>
      <c r="I142" s="63">
        <f t="shared" si="128"/>
        <v>0.21785443040853258</v>
      </c>
      <c r="J142" s="63">
        <f t="shared" si="128"/>
        <v>9.4648546956648927E-2</v>
      </c>
      <c r="K142" s="63">
        <f t="shared" si="128"/>
        <v>0.19694114769361759</v>
      </c>
      <c r="L142" s="63">
        <f t="shared" si="128"/>
        <v>0.17893601167346085</v>
      </c>
      <c r="M142" s="63">
        <f t="shared" si="128"/>
        <v>0.17056556036255088</v>
      </c>
      <c r="N142" s="63">
        <f t="shared" si="128"/>
        <v>0.17409291885536127</v>
      </c>
      <c r="O142" s="63">
        <f t="shared" si="128"/>
        <v>0.11592534538467425</v>
      </c>
      <c r="P142" s="63">
        <f t="shared" si="128"/>
        <v>0.1002421425624056</v>
      </c>
      <c r="R142" s="109"/>
      <c r="S142" s="109"/>
    </row>
    <row r="143" spans="1:19" x14ac:dyDescent="0.2">
      <c r="R143" s="109"/>
      <c r="S143" s="109"/>
    </row>
    <row r="144" spans="1:19" x14ac:dyDescent="0.2">
      <c r="A144" s="67" t="s">
        <v>176</v>
      </c>
      <c r="R144" s="109"/>
      <c r="S144" s="109"/>
    </row>
    <row r="145" spans="1:19" x14ac:dyDescent="0.2">
      <c r="A145" s="76" t="s">
        <v>177</v>
      </c>
      <c r="B145" s="56">
        <f t="shared" ref="B145:P145" si="129">B147+B153+B159+B165+B171</f>
        <v>947.38928780989761</v>
      </c>
      <c r="C145" s="56">
        <f t="shared" si="129"/>
        <v>1143.6205950686419</v>
      </c>
      <c r="D145" s="56">
        <f t="shared" si="129"/>
        <v>1390.265013820594</v>
      </c>
      <c r="E145" s="56">
        <f t="shared" si="129"/>
        <v>1717.8940838155745</v>
      </c>
      <c r="F145" s="56">
        <f t="shared" si="129"/>
        <v>2060.4560653377894</v>
      </c>
      <c r="G145" s="56">
        <f t="shared" si="129"/>
        <v>2531.0854457514924</v>
      </c>
      <c r="H145" s="56">
        <f t="shared" si="129"/>
        <v>3120.5331484989492</v>
      </c>
      <c r="I145" s="56">
        <f t="shared" si="129"/>
        <v>3866.6567528813716</v>
      </c>
      <c r="J145" s="56">
        <f t="shared" si="129"/>
        <v>4664.9792202889894</v>
      </c>
      <c r="K145" s="56">
        <f t="shared" si="129"/>
        <v>5559.8497051223221</v>
      </c>
      <c r="L145" s="56">
        <f t="shared" si="129"/>
        <v>6619.9337169600249</v>
      </c>
      <c r="M145" s="56">
        <f t="shared" si="129"/>
        <v>7783.9155515386565</v>
      </c>
      <c r="N145" s="56">
        <f t="shared" si="129"/>
        <v>9049.3110758901948</v>
      </c>
      <c r="O145" s="56">
        <f t="shared" si="129"/>
        <v>10428.591593590114</v>
      </c>
      <c r="P145" s="56">
        <f t="shared" si="129"/>
        <v>11847.052858892999</v>
      </c>
      <c r="R145" s="57">
        <f>(J145/D145)^(1/6)-1</f>
        <v>0.22356023236982514</v>
      </c>
      <c r="S145" s="57">
        <f>(P145/J145)^(1/6)-1</f>
        <v>0.16804641849187729</v>
      </c>
    </row>
    <row r="146" spans="1:19" x14ac:dyDescent="0.2">
      <c r="A146" s="58" t="s">
        <v>4</v>
      </c>
      <c r="B146" s="66"/>
      <c r="C146" s="59">
        <f t="shared" ref="C146:P146" si="130">C145/B145-1</f>
        <v>0.20712848433443543</v>
      </c>
      <c r="D146" s="59">
        <f t="shared" si="130"/>
        <v>0.21566979452407309</v>
      </c>
      <c r="E146" s="59">
        <f t="shared" si="130"/>
        <v>0.23565943668151546</v>
      </c>
      <c r="F146" s="59">
        <f t="shared" si="130"/>
        <v>0.19940809200609055</v>
      </c>
      <c r="G146" s="59">
        <f t="shared" si="130"/>
        <v>0.22841029630813714</v>
      </c>
      <c r="H146" s="59">
        <f t="shared" si="130"/>
        <v>0.23288336778075336</v>
      </c>
      <c r="I146" s="59">
        <f t="shared" si="130"/>
        <v>0.23910132303556075</v>
      </c>
      <c r="J146" s="59">
        <f t="shared" si="130"/>
        <v>0.20646323644133147</v>
      </c>
      <c r="K146" s="59">
        <f t="shared" si="130"/>
        <v>0.19182732496242427</v>
      </c>
      <c r="L146" s="59">
        <f t="shared" si="130"/>
        <v>0.19066774608332326</v>
      </c>
      <c r="M146" s="59">
        <f t="shared" si="130"/>
        <v>0.1758298321925118</v>
      </c>
      <c r="N146" s="59">
        <f t="shared" si="130"/>
        <v>0.16256542301533661</v>
      </c>
      <c r="O146" s="59">
        <f t="shared" si="130"/>
        <v>0.15241828976071936</v>
      </c>
      <c r="P146" s="59">
        <f t="shared" si="130"/>
        <v>0.13601657065319683</v>
      </c>
      <c r="R146" s="109"/>
      <c r="S146" s="109"/>
    </row>
    <row r="147" spans="1:19" x14ac:dyDescent="0.2">
      <c r="A147" s="68" t="s">
        <v>26</v>
      </c>
      <c r="B147" s="46">
        <f t="shared" ref="B147:P147" si="131">B149+B151</f>
        <v>287.56805164398122</v>
      </c>
      <c r="C147" s="46">
        <f t="shared" si="131"/>
        <v>363.94196352433596</v>
      </c>
      <c r="D147" s="46">
        <f t="shared" si="131"/>
        <v>459.57878581606224</v>
      </c>
      <c r="E147" s="46">
        <f t="shared" si="131"/>
        <v>591.51152113483056</v>
      </c>
      <c r="F147" s="46">
        <f t="shared" si="131"/>
        <v>738.77218105343354</v>
      </c>
      <c r="G147" s="46">
        <f t="shared" si="131"/>
        <v>933.92757730579365</v>
      </c>
      <c r="H147" s="46">
        <f t="shared" si="131"/>
        <v>1183.9028196587656</v>
      </c>
      <c r="I147" s="46">
        <f t="shared" si="131"/>
        <v>1481.3078100443815</v>
      </c>
      <c r="J147" s="46">
        <f t="shared" si="131"/>
        <v>1827.7012660822481</v>
      </c>
      <c r="K147" s="46">
        <f t="shared" si="131"/>
        <v>2201.0172307931516</v>
      </c>
      <c r="L147" s="46">
        <f t="shared" si="131"/>
        <v>2665.5601107243824</v>
      </c>
      <c r="M147" s="46">
        <f t="shared" si="131"/>
        <v>3180.3343146839993</v>
      </c>
      <c r="N147" s="46">
        <f t="shared" si="131"/>
        <v>3734.9141106555408</v>
      </c>
      <c r="O147" s="46">
        <f t="shared" si="131"/>
        <v>4357.6471478190997</v>
      </c>
      <c r="P147" s="46">
        <f t="shared" si="131"/>
        <v>4999.3393805542692</v>
      </c>
      <c r="R147" s="57">
        <f>(J147/D147)^(1/6)-1</f>
        <v>0.258705722190395</v>
      </c>
      <c r="S147" s="57">
        <f>(P147/J147)^(1/6)-1</f>
        <v>0.18259099549937519</v>
      </c>
    </row>
    <row r="148" spans="1:19" x14ac:dyDescent="0.2">
      <c r="A148" s="62" t="s">
        <v>4</v>
      </c>
      <c r="B148" s="75"/>
      <c r="C148" s="63">
        <f t="shared" ref="C148:P148" si="132">C147/B147-1</f>
        <v>0.26558552469141516</v>
      </c>
      <c r="D148" s="63">
        <f t="shared" si="132"/>
        <v>0.26278042071763252</v>
      </c>
      <c r="E148" s="63">
        <f t="shared" si="132"/>
        <v>0.28707316218806489</v>
      </c>
      <c r="F148" s="63">
        <f t="shared" si="132"/>
        <v>0.24895653703596432</v>
      </c>
      <c r="G148" s="63">
        <f t="shared" si="132"/>
        <v>0.26416180963133074</v>
      </c>
      <c r="H148" s="63">
        <f t="shared" si="132"/>
        <v>0.2676602002417614</v>
      </c>
      <c r="I148" s="63">
        <f t="shared" si="132"/>
        <v>0.25120726587283282</v>
      </c>
      <c r="J148" s="63">
        <f t="shared" si="132"/>
        <v>0.2338429958237298</v>
      </c>
      <c r="K148" s="63">
        <f t="shared" si="132"/>
        <v>0.20425436674950781</v>
      </c>
      <c r="L148" s="63">
        <f t="shared" si="132"/>
        <v>0.21105826589273424</v>
      </c>
      <c r="M148" s="63">
        <f t="shared" si="132"/>
        <v>0.19312046345851264</v>
      </c>
      <c r="N148" s="63">
        <f t="shared" si="132"/>
        <v>0.17437782984354122</v>
      </c>
      <c r="O148" s="63">
        <f t="shared" si="132"/>
        <v>0.16673289363922184</v>
      </c>
      <c r="P148" s="63">
        <f t="shared" si="132"/>
        <v>0.14725658387837148</v>
      </c>
      <c r="R148" s="109"/>
      <c r="S148" s="109"/>
    </row>
    <row r="149" spans="1:19" x14ac:dyDescent="0.2">
      <c r="A149" s="82" t="s">
        <v>30</v>
      </c>
      <c r="B149" s="46">
        <f t="shared" ref="B149:P149" si="133">B79</f>
        <v>195.96539710535626</v>
      </c>
      <c r="C149" s="46">
        <f t="shared" si="133"/>
        <v>242.89976666817796</v>
      </c>
      <c r="D149" s="46">
        <f t="shared" si="133"/>
        <v>302.49235289550484</v>
      </c>
      <c r="E149" s="46">
        <f t="shared" si="133"/>
        <v>377.06691093374604</v>
      </c>
      <c r="F149" s="46">
        <f t="shared" si="133"/>
        <v>459.93715219294484</v>
      </c>
      <c r="G149" s="46">
        <f t="shared" si="133"/>
        <v>561.81895579107766</v>
      </c>
      <c r="H149" s="46">
        <f t="shared" si="133"/>
        <v>700.70801101721372</v>
      </c>
      <c r="I149" s="46">
        <f t="shared" si="133"/>
        <v>865.82944288262456</v>
      </c>
      <c r="J149" s="46">
        <f t="shared" si="133"/>
        <v>1045.0955229117105</v>
      </c>
      <c r="K149" s="46">
        <f t="shared" si="133"/>
        <v>1233.2028615032889</v>
      </c>
      <c r="L149" s="46">
        <f t="shared" si="133"/>
        <v>1465.2057447184441</v>
      </c>
      <c r="M149" s="46">
        <f t="shared" si="133"/>
        <v>1718.7127596884793</v>
      </c>
      <c r="N149" s="46">
        <f t="shared" si="133"/>
        <v>1988.9699331712131</v>
      </c>
      <c r="O149" s="46">
        <f t="shared" si="133"/>
        <v>2290.7940307381737</v>
      </c>
      <c r="P149" s="46">
        <f t="shared" si="133"/>
        <v>2599.4362802090641</v>
      </c>
      <c r="R149" s="57">
        <f>(J149/D149)^(1/6)-1</f>
        <v>0.22953321256209525</v>
      </c>
      <c r="S149" s="57">
        <f>(P149/J149)^(1/6)-1</f>
        <v>0.16400237061176792</v>
      </c>
    </row>
    <row r="150" spans="1:19" x14ac:dyDescent="0.2">
      <c r="A150" s="30" t="s">
        <v>4</v>
      </c>
      <c r="B150" s="75"/>
      <c r="C150" s="63">
        <f t="shared" ref="C150:P150" si="134">C149/B149-1</f>
        <v>0.2395033524086323</v>
      </c>
      <c r="D150" s="63">
        <f t="shared" si="134"/>
        <v>0.24533817814957182</v>
      </c>
      <c r="E150" s="63">
        <f t="shared" si="134"/>
        <v>0.246533696883249</v>
      </c>
      <c r="F150" s="63">
        <f t="shared" si="134"/>
        <v>0.2197759571477218</v>
      </c>
      <c r="G150" s="63">
        <f t="shared" si="134"/>
        <v>0.22151244602087106</v>
      </c>
      <c r="H150" s="63">
        <f t="shared" si="134"/>
        <v>0.2472131881534172</v>
      </c>
      <c r="I150" s="63">
        <f t="shared" si="134"/>
        <v>0.23564941354916868</v>
      </c>
      <c r="J150" s="63">
        <f t="shared" si="134"/>
        <v>0.20704548858058192</v>
      </c>
      <c r="K150" s="63">
        <f t="shared" si="134"/>
        <v>0.17999056973040894</v>
      </c>
      <c r="L150" s="63">
        <f t="shared" si="134"/>
        <v>0.18813034777777027</v>
      </c>
      <c r="M150" s="63">
        <f t="shared" si="134"/>
        <v>0.17301803237111213</v>
      </c>
      <c r="N150" s="63">
        <f t="shared" si="134"/>
        <v>0.15724394431779198</v>
      </c>
      <c r="O150" s="63">
        <f t="shared" si="134"/>
        <v>0.15174894930952143</v>
      </c>
      <c r="P150" s="63">
        <f t="shared" si="134"/>
        <v>0.13473155828480787</v>
      </c>
      <c r="R150" s="109"/>
      <c r="S150" s="109"/>
    </row>
    <row r="151" spans="1:19" x14ac:dyDescent="0.2">
      <c r="A151" s="82" t="s">
        <v>31</v>
      </c>
      <c r="B151" s="46">
        <f t="shared" ref="B151:P151" si="135">B81</f>
        <v>91.602654538624975</v>
      </c>
      <c r="C151" s="46">
        <f t="shared" si="135"/>
        <v>121.04219685615797</v>
      </c>
      <c r="D151" s="46">
        <f t="shared" si="135"/>
        <v>157.08643292055737</v>
      </c>
      <c r="E151" s="46">
        <f t="shared" si="135"/>
        <v>214.44461020108452</v>
      </c>
      <c r="F151" s="46">
        <f t="shared" si="135"/>
        <v>278.83502886048871</v>
      </c>
      <c r="G151" s="46">
        <f t="shared" si="135"/>
        <v>372.10862151471605</v>
      </c>
      <c r="H151" s="46">
        <f t="shared" si="135"/>
        <v>483.19480864155196</v>
      </c>
      <c r="I151" s="46">
        <f t="shared" si="135"/>
        <v>615.47836716175698</v>
      </c>
      <c r="J151" s="46">
        <f t="shared" si="135"/>
        <v>782.60574317053761</v>
      </c>
      <c r="K151" s="46">
        <f t="shared" si="135"/>
        <v>967.81436928986284</v>
      </c>
      <c r="L151" s="46">
        <f t="shared" si="135"/>
        <v>1200.3543660059383</v>
      </c>
      <c r="M151" s="46">
        <f t="shared" si="135"/>
        <v>1461.62155499552</v>
      </c>
      <c r="N151" s="46">
        <f t="shared" si="135"/>
        <v>1745.9441774843274</v>
      </c>
      <c r="O151" s="46">
        <f t="shared" si="135"/>
        <v>2066.853117080926</v>
      </c>
      <c r="P151" s="46">
        <f t="shared" si="135"/>
        <v>2399.9031003452055</v>
      </c>
      <c r="R151" s="57">
        <f>(J151/D151)^(1/6)-1</f>
        <v>0.30687502594198124</v>
      </c>
      <c r="S151" s="57">
        <f>(P151/J151)^(1/6)-1</f>
        <v>0.20533688287793672</v>
      </c>
    </row>
    <row r="152" spans="1:19" x14ac:dyDescent="0.2">
      <c r="A152" s="83" t="s">
        <v>4</v>
      </c>
      <c r="B152" s="75"/>
      <c r="C152" s="63">
        <f t="shared" ref="C152:P152" si="136">C151/B151-1</f>
        <v>0.32138306980088216</v>
      </c>
      <c r="D152" s="63">
        <f t="shared" si="136"/>
        <v>0.29778240151434976</v>
      </c>
      <c r="E152" s="63">
        <f t="shared" si="136"/>
        <v>0.3651376902137351</v>
      </c>
      <c r="F152" s="63">
        <f t="shared" si="136"/>
        <v>0.30026596890929258</v>
      </c>
      <c r="G152" s="63">
        <f t="shared" si="136"/>
        <v>0.33451174709076992</v>
      </c>
      <c r="H152" s="63">
        <f t="shared" si="136"/>
        <v>0.29853161336237055</v>
      </c>
      <c r="I152" s="63">
        <f t="shared" si="136"/>
        <v>0.2737685839218873</v>
      </c>
      <c r="J152" s="63">
        <f t="shared" si="136"/>
        <v>0.27154061771411864</v>
      </c>
      <c r="K152" s="63">
        <f t="shared" si="136"/>
        <v>0.2366563595214588</v>
      </c>
      <c r="L152" s="63">
        <f t="shared" si="136"/>
        <v>0.24027334589659222</v>
      </c>
      <c r="M152" s="63">
        <f t="shared" si="136"/>
        <v>0.21765838188177944</v>
      </c>
      <c r="N152" s="63">
        <f t="shared" si="136"/>
        <v>0.19452547173859847</v>
      </c>
      <c r="O152" s="63">
        <f t="shared" si="136"/>
        <v>0.18380251999750974</v>
      </c>
      <c r="P152" s="63">
        <f t="shared" si="136"/>
        <v>0.16113868010836452</v>
      </c>
      <c r="R152" s="109"/>
      <c r="S152" s="109"/>
    </row>
    <row r="153" spans="1:19" x14ac:dyDescent="0.2">
      <c r="A153" s="68" t="s">
        <v>55</v>
      </c>
      <c r="B153" s="46">
        <f t="shared" ref="B153:P153" si="137">B155+B157</f>
        <v>66.047096986108855</v>
      </c>
      <c r="C153" s="46">
        <f t="shared" si="137"/>
        <v>85.826131049470106</v>
      </c>
      <c r="D153" s="46">
        <f t="shared" si="137"/>
        <v>116.80515016965612</v>
      </c>
      <c r="E153" s="46">
        <f t="shared" si="137"/>
        <v>159.24055841938306</v>
      </c>
      <c r="F153" s="46">
        <f t="shared" si="137"/>
        <v>210.32610336466999</v>
      </c>
      <c r="G153" s="46">
        <f t="shared" si="137"/>
        <v>284.63037302036093</v>
      </c>
      <c r="H153" s="46">
        <f t="shared" si="137"/>
        <v>379.64343468494093</v>
      </c>
      <c r="I153" s="46">
        <f t="shared" si="137"/>
        <v>493.02446672996962</v>
      </c>
      <c r="J153" s="46">
        <f t="shared" si="137"/>
        <v>637.8433084498821</v>
      </c>
      <c r="K153" s="46">
        <f t="shared" si="137"/>
        <v>799.19400839711523</v>
      </c>
      <c r="L153" s="46">
        <f t="shared" si="137"/>
        <v>1004.3716985252322</v>
      </c>
      <c r="M153" s="46">
        <f t="shared" si="137"/>
        <v>1243.1966665372122</v>
      </c>
      <c r="N153" s="46">
        <f t="shared" si="137"/>
        <v>1507.8175625683284</v>
      </c>
      <c r="O153" s="46">
        <f t="shared" si="137"/>
        <v>1818.1634306605897</v>
      </c>
      <c r="P153" s="46">
        <f t="shared" si="137"/>
        <v>2156.0631099780926</v>
      </c>
      <c r="R153" s="57">
        <f>(J153/D153)^(1/6)-1</f>
        <v>0.32701348232191529</v>
      </c>
      <c r="S153" s="57">
        <f>(P153/J153)^(1/6)-1</f>
        <v>0.2250615545849417</v>
      </c>
    </row>
    <row r="154" spans="1:19" x14ac:dyDescent="0.2">
      <c r="A154" s="62" t="s">
        <v>4</v>
      </c>
      <c r="B154" s="75"/>
      <c r="C154" s="63">
        <f t="shared" ref="C154:P154" si="138">C153/B153-1</f>
        <v>0.29946863625998899</v>
      </c>
      <c r="D154" s="63">
        <f t="shared" si="138"/>
        <v>0.3609508985361316</v>
      </c>
      <c r="E154" s="63">
        <f t="shared" si="138"/>
        <v>0.363300832095937</v>
      </c>
      <c r="F154" s="63">
        <f t="shared" si="138"/>
        <v>0.32080737126496217</v>
      </c>
      <c r="G154" s="63">
        <f t="shared" si="138"/>
        <v>0.35328125452340964</v>
      </c>
      <c r="H154" s="63">
        <f t="shared" si="138"/>
        <v>0.33381209691835401</v>
      </c>
      <c r="I154" s="63">
        <f t="shared" si="138"/>
        <v>0.29865137043426415</v>
      </c>
      <c r="J154" s="63">
        <f t="shared" si="138"/>
        <v>0.29373560845861646</v>
      </c>
      <c r="K154" s="63">
        <f t="shared" si="138"/>
        <v>0.25296291081167799</v>
      </c>
      <c r="L154" s="63">
        <f t="shared" si="138"/>
        <v>0.25673076621235791</v>
      </c>
      <c r="M154" s="63">
        <f t="shared" si="138"/>
        <v>0.23778544174697314</v>
      </c>
      <c r="N154" s="63">
        <f t="shared" si="138"/>
        <v>0.21285521684046071</v>
      </c>
      <c r="O154" s="63">
        <f t="shared" si="138"/>
        <v>0.20582454787410498</v>
      </c>
      <c r="P154" s="63">
        <f t="shared" si="138"/>
        <v>0.18584670311773599</v>
      </c>
      <c r="R154" s="109"/>
      <c r="S154" s="109"/>
    </row>
    <row r="155" spans="1:19" x14ac:dyDescent="0.2">
      <c r="A155" s="82" t="s">
        <v>28</v>
      </c>
      <c r="B155" s="46">
        <f t="shared" ref="B155:P155" si="139">B95</f>
        <v>10.234813248218446</v>
      </c>
      <c r="C155" s="46">
        <f t="shared" si="139"/>
        <v>13.904101833753257</v>
      </c>
      <c r="D155" s="46">
        <f t="shared" si="139"/>
        <v>18.967297655280269</v>
      </c>
      <c r="E155" s="46">
        <f t="shared" si="139"/>
        <v>26.071540866967887</v>
      </c>
      <c r="F155" s="46">
        <f t="shared" si="139"/>
        <v>34.653334651868732</v>
      </c>
      <c r="G155" s="46">
        <f t="shared" si="139"/>
        <v>47.431025302994669</v>
      </c>
      <c r="H155" s="46">
        <f t="shared" si="139"/>
        <v>63.703847241045437</v>
      </c>
      <c r="I155" s="46">
        <f t="shared" si="139"/>
        <v>85.109311709620485</v>
      </c>
      <c r="J155" s="46">
        <f t="shared" si="139"/>
        <v>114.54435099230547</v>
      </c>
      <c r="K155" s="46">
        <f t="shared" si="139"/>
        <v>151.58087427838063</v>
      </c>
      <c r="L155" s="46">
        <f t="shared" si="139"/>
        <v>199.11312902092578</v>
      </c>
      <c r="M155" s="46">
        <f t="shared" si="139"/>
        <v>254.49685502595338</v>
      </c>
      <c r="N155" s="46">
        <f t="shared" si="139"/>
        <v>318.01156218517872</v>
      </c>
      <c r="O155" s="46">
        <f t="shared" si="139"/>
        <v>397.48633902690625</v>
      </c>
      <c r="P155" s="46">
        <f t="shared" si="139"/>
        <v>483.0076467895841</v>
      </c>
      <c r="R155" s="57">
        <f>(J155/D155)^(1/6)-1</f>
        <v>0.34946420540282253</v>
      </c>
      <c r="S155" s="57">
        <f>(P155/J155)^(1/6)-1</f>
        <v>0.27105220511762407</v>
      </c>
    </row>
    <row r="156" spans="1:19" x14ac:dyDescent="0.2">
      <c r="A156" s="83" t="s">
        <v>4</v>
      </c>
      <c r="B156" s="75"/>
      <c r="C156" s="63">
        <f t="shared" ref="C156:P156" si="140">C155/B155-1</f>
        <v>0.35851055574204227</v>
      </c>
      <c r="D156" s="63">
        <f t="shared" si="140"/>
        <v>0.36415123264098392</v>
      </c>
      <c r="E156" s="63">
        <f t="shared" si="140"/>
        <v>0.37455220774214415</v>
      </c>
      <c r="F156" s="63">
        <f t="shared" si="140"/>
        <v>0.32916327533881229</v>
      </c>
      <c r="G156" s="63">
        <f t="shared" si="140"/>
        <v>0.36872903515612698</v>
      </c>
      <c r="H156" s="63">
        <f t="shared" si="140"/>
        <v>0.34308391678438688</v>
      </c>
      <c r="I156" s="63">
        <f t="shared" si="140"/>
        <v>0.33601525489630335</v>
      </c>
      <c r="J156" s="63">
        <f t="shared" si="140"/>
        <v>0.34584980998451353</v>
      </c>
      <c r="K156" s="63">
        <f t="shared" si="140"/>
        <v>0.32333784220020689</v>
      </c>
      <c r="L156" s="63">
        <f t="shared" si="140"/>
        <v>0.31357686099139004</v>
      </c>
      <c r="M156" s="63">
        <f t="shared" si="140"/>
        <v>0.2781520549516705</v>
      </c>
      <c r="N156" s="63">
        <f t="shared" si="140"/>
        <v>0.24956971335755074</v>
      </c>
      <c r="O156" s="63">
        <f t="shared" si="140"/>
        <v>0.2499115953383142</v>
      </c>
      <c r="P156" s="63">
        <f t="shared" si="140"/>
        <v>0.2151553383496001</v>
      </c>
      <c r="R156" s="109"/>
      <c r="S156" s="109"/>
    </row>
    <row r="157" spans="1:19" x14ac:dyDescent="0.2">
      <c r="A157" s="82" t="s">
        <v>27</v>
      </c>
      <c r="B157" s="46">
        <f t="shared" ref="B157:P157" si="141">B87</f>
        <v>55.812283737890411</v>
      </c>
      <c r="C157" s="46">
        <f t="shared" si="141"/>
        <v>71.922029215716847</v>
      </c>
      <c r="D157" s="46">
        <f t="shared" si="141"/>
        <v>97.83785251437584</v>
      </c>
      <c r="E157" s="46">
        <f t="shared" si="141"/>
        <v>133.16901755241517</v>
      </c>
      <c r="F157" s="46">
        <f t="shared" si="141"/>
        <v>175.67276871280126</v>
      </c>
      <c r="G157" s="46">
        <f t="shared" si="141"/>
        <v>237.19934771736629</v>
      </c>
      <c r="H157" s="46">
        <f t="shared" si="141"/>
        <v>315.9395874438955</v>
      </c>
      <c r="I157" s="46">
        <f t="shared" si="141"/>
        <v>407.91515502034912</v>
      </c>
      <c r="J157" s="46">
        <f t="shared" si="141"/>
        <v>523.29895745757665</v>
      </c>
      <c r="K157" s="46">
        <f t="shared" si="141"/>
        <v>647.61313411873459</v>
      </c>
      <c r="L157" s="46">
        <f t="shared" si="141"/>
        <v>805.25856950430648</v>
      </c>
      <c r="M157" s="46">
        <f t="shared" si="141"/>
        <v>988.69981151125887</v>
      </c>
      <c r="N157" s="46">
        <f t="shared" si="141"/>
        <v>1189.8060003831497</v>
      </c>
      <c r="O157" s="46">
        <f t="shared" si="141"/>
        <v>1420.6770916336834</v>
      </c>
      <c r="P157" s="46">
        <f t="shared" si="141"/>
        <v>1673.0554631885086</v>
      </c>
      <c r="R157" s="57">
        <f>(J157/D157)^(1/6)-1</f>
        <v>0.32243345136806356</v>
      </c>
      <c r="S157" s="57">
        <f>(P157/J157)^(1/6)-1</f>
        <v>0.21374301842947396</v>
      </c>
    </row>
    <row r="158" spans="1:19" x14ac:dyDescent="0.2">
      <c r="A158" s="83" t="s">
        <v>4</v>
      </c>
      <c r="B158" s="75"/>
      <c r="C158" s="63">
        <f t="shared" ref="C158:P158" si="142">C157/B157-1</f>
        <v>0.28864157491713049</v>
      </c>
      <c r="D158" s="63">
        <f t="shared" si="142"/>
        <v>0.36033220393336318</v>
      </c>
      <c r="E158" s="63">
        <f t="shared" si="142"/>
        <v>0.36111958848287196</v>
      </c>
      <c r="F158" s="63">
        <f t="shared" si="142"/>
        <v>0.31917147052358974</v>
      </c>
      <c r="G158" s="63">
        <f t="shared" si="142"/>
        <v>0.3502340143858711</v>
      </c>
      <c r="H158" s="63">
        <f t="shared" si="142"/>
        <v>0.33195807865522364</v>
      </c>
      <c r="I158" s="63">
        <f t="shared" si="142"/>
        <v>0.29111757827051865</v>
      </c>
      <c r="J158" s="63">
        <f t="shared" si="142"/>
        <v>0.28286225950950894</v>
      </c>
      <c r="K158" s="63">
        <f t="shared" si="142"/>
        <v>0.23755861709553661</v>
      </c>
      <c r="L158" s="63">
        <f t="shared" si="142"/>
        <v>0.24342532150786944</v>
      </c>
      <c r="M158" s="63">
        <f t="shared" si="142"/>
        <v>0.2278041475794208</v>
      </c>
      <c r="N158" s="63">
        <f t="shared" si="142"/>
        <v>0.20340470032505986</v>
      </c>
      <c r="O158" s="63">
        <f t="shared" si="142"/>
        <v>0.19404095388339515</v>
      </c>
      <c r="P158" s="63">
        <f t="shared" si="142"/>
        <v>0.17764654124506718</v>
      </c>
      <c r="R158" s="109"/>
      <c r="S158" s="109"/>
    </row>
    <row r="159" spans="1:19" x14ac:dyDescent="0.2">
      <c r="A159" s="68" t="s">
        <v>56</v>
      </c>
      <c r="B159" s="46">
        <f t="shared" ref="B159:P159" si="143">B161+B163</f>
        <v>91.865266241669303</v>
      </c>
      <c r="C159" s="46">
        <f t="shared" si="143"/>
        <v>111.86487043638267</v>
      </c>
      <c r="D159" s="46">
        <f t="shared" si="143"/>
        <v>143.60716883374681</v>
      </c>
      <c r="E159" s="46">
        <f t="shared" si="143"/>
        <v>183.53855679515272</v>
      </c>
      <c r="F159" s="46">
        <f t="shared" si="143"/>
        <v>225.58749785761347</v>
      </c>
      <c r="G159" s="46">
        <f t="shared" si="143"/>
        <v>281.80030205682556</v>
      </c>
      <c r="H159" s="46">
        <f t="shared" si="143"/>
        <v>349.96509660164247</v>
      </c>
      <c r="I159" s="46">
        <f t="shared" si="143"/>
        <v>422.96015858461556</v>
      </c>
      <c r="J159" s="46">
        <f t="shared" si="143"/>
        <v>501.95034288032485</v>
      </c>
      <c r="K159" s="46">
        <f t="shared" si="143"/>
        <v>576.33633526022481</v>
      </c>
      <c r="L159" s="46">
        <f t="shared" si="143"/>
        <v>662.82619697406244</v>
      </c>
      <c r="M159" s="46">
        <f t="shared" si="143"/>
        <v>751.45395934059286</v>
      </c>
      <c r="N159" s="46">
        <f t="shared" si="143"/>
        <v>834.63028285759356</v>
      </c>
      <c r="O159" s="46">
        <f t="shared" si="143"/>
        <v>916.63875776538771</v>
      </c>
      <c r="P159" s="46">
        <f t="shared" si="143"/>
        <v>987.39310677266985</v>
      </c>
      <c r="R159" s="57">
        <f>(J159/D159)^(1/6)-1</f>
        <v>0.2319150828005434</v>
      </c>
      <c r="S159" s="57">
        <f>(P159/J159)^(1/6)-1</f>
        <v>0.11936456847715493</v>
      </c>
    </row>
    <row r="160" spans="1:19" x14ac:dyDescent="0.2">
      <c r="A160" s="62" t="s">
        <v>4</v>
      </c>
      <c r="B160" s="75"/>
      <c r="C160" s="63">
        <f t="shared" ref="C160:P160" si="144">C159/B159-1</f>
        <v>0.21770583173514746</v>
      </c>
      <c r="D160" s="63">
        <f t="shared" si="144"/>
        <v>0.28375573380220298</v>
      </c>
      <c r="E160" s="63">
        <f t="shared" si="144"/>
        <v>0.27805985095099417</v>
      </c>
      <c r="F160" s="63">
        <f t="shared" si="144"/>
        <v>0.22910140406841895</v>
      </c>
      <c r="G160" s="63">
        <f t="shared" si="144"/>
        <v>0.249184040485668</v>
      </c>
      <c r="H160" s="63">
        <f t="shared" si="144"/>
        <v>0.24189042398922389</v>
      </c>
      <c r="I160" s="63">
        <f t="shared" si="144"/>
        <v>0.20857812019483113</v>
      </c>
      <c r="J160" s="63">
        <f t="shared" si="144"/>
        <v>0.1867556144295961</v>
      </c>
      <c r="K160" s="63">
        <f t="shared" si="144"/>
        <v>0.14819392681963972</v>
      </c>
      <c r="L160" s="63">
        <f t="shared" si="144"/>
        <v>0.15006838268280642</v>
      </c>
      <c r="M160" s="63">
        <f t="shared" si="144"/>
        <v>0.13371191840505747</v>
      </c>
      <c r="N160" s="63">
        <f t="shared" si="144"/>
        <v>0.11068718513372211</v>
      </c>
      <c r="O160" s="63">
        <f t="shared" si="144"/>
        <v>9.82572482596904E-2</v>
      </c>
      <c r="P160" s="63">
        <f t="shared" si="144"/>
        <v>7.7188912652754738E-2</v>
      </c>
      <c r="R160" s="109"/>
      <c r="S160" s="109"/>
    </row>
    <row r="161" spans="1:19" x14ac:dyDescent="0.2">
      <c r="A161" s="82" t="s">
        <v>28</v>
      </c>
      <c r="B161" s="46">
        <f t="shared" ref="B161:P161" si="145">B97</f>
        <v>9.1936301424272973</v>
      </c>
      <c r="C161" s="46">
        <f t="shared" si="145"/>
        <v>11.591190806584809</v>
      </c>
      <c r="D161" s="46">
        <f t="shared" si="145"/>
        <v>14.752820519203894</v>
      </c>
      <c r="E161" s="46">
        <f t="shared" si="145"/>
        <v>18.850527989115392</v>
      </c>
      <c r="F161" s="46">
        <f t="shared" si="145"/>
        <v>23.239203056562165</v>
      </c>
      <c r="G161" s="46">
        <f t="shared" si="145"/>
        <v>29.282640591636028</v>
      </c>
      <c r="H161" s="46">
        <f t="shared" si="145"/>
        <v>36.085198625458936</v>
      </c>
      <c r="I161" s="46">
        <f t="shared" si="145"/>
        <v>43.875022084022859</v>
      </c>
      <c r="J161" s="46">
        <f t="shared" si="145"/>
        <v>53.343639602469622</v>
      </c>
      <c r="K161" s="46">
        <f t="shared" si="145"/>
        <v>63.061444765754842</v>
      </c>
      <c r="L161" s="46">
        <f t="shared" si="145"/>
        <v>75.913998586178081</v>
      </c>
      <c r="M161" s="46">
        <f t="shared" si="145"/>
        <v>88.851824762869114</v>
      </c>
      <c r="N161" s="46">
        <f t="shared" si="145"/>
        <v>101.43859731030116</v>
      </c>
      <c r="O161" s="46">
        <f t="shared" si="145"/>
        <v>114.74011485136292</v>
      </c>
      <c r="P161" s="46">
        <f t="shared" si="145"/>
        <v>125.59408193522592</v>
      </c>
      <c r="R161" s="57">
        <f>(J161/D161)^(1/6)-1</f>
        <v>0.23889527762356422</v>
      </c>
      <c r="S161" s="57">
        <f>(P161/J161)^(1/6)-1</f>
        <v>0.1534030317035322</v>
      </c>
    </row>
    <row r="162" spans="1:19" x14ac:dyDescent="0.2">
      <c r="A162" s="83" t="s">
        <v>4</v>
      </c>
      <c r="B162" s="75"/>
      <c r="C162" s="63">
        <f t="shared" ref="C162:P162" si="146">C161/B161-1</f>
        <v>0.26078498123315952</v>
      </c>
      <c r="D162" s="63">
        <f t="shared" si="146"/>
        <v>0.27276142420354277</v>
      </c>
      <c r="E162" s="63">
        <f t="shared" si="146"/>
        <v>0.27775756266928564</v>
      </c>
      <c r="F162" s="63">
        <f t="shared" si="146"/>
        <v>0.2328144373452492</v>
      </c>
      <c r="G162" s="63">
        <f t="shared" si="146"/>
        <v>0.26005356209353092</v>
      </c>
      <c r="H162" s="63">
        <f t="shared" si="146"/>
        <v>0.23230685130786721</v>
      </c>
      <c r="I162" s="63">
        <f t="shared" si="146"/>
        <v>0.21587309354778017</v>
      </c>
      <c r="J162" s="63">
        <f t="shared" si="146"/>
        <v>0.21580883766426107</v>
      </c>
      <c r="K162" s="63">
        <f t="shared" si="146"/>
        <v>0.18217364311293305</v>
      </c>
      <c r="L162" s="63">
        <f t="shared" si="146"/>
        <v>0.203810012094787</v>
      </c>
      <c r="M162" s="63">
        <f t="shared" si="146"/>
        <v>0.17042741019634122</v>
      </c>
      <c r="N162" s="63">
        <f t="shared" si="146"/>
        <v>0.14166025943782334</v>
      </c>
      <c r="O162" s="63">
        <f t="shared" si="146"/>
        <v>0.13112876058777068</v>
      </c>
      <c r="P162" s="63">
        <f t="shared" si="146"/>
        <v>9.4596097432214421E-2</v>
      </c>
      <c r="R162" s="109"/>
      <c r="S162" s="109"/>
    </row>
    <row r="163" spans="1:19" x14ac:dyDescent="0.2">
      <c r="A163" s="82" t="s">
        <v>27</v>
      </c>
      <c r="B163" s="46">
        <f t="shared" ref="B163:P163" si="147">B89</f>
        <v>82.671636099242008</v>
      </c>
      <c r="C163" s="46">
        <f t="shared" si="147"/>
        <v>100.27367962979787</v>
      </c>
      <c r="D163" s="46">
        <f t="shared" si="147"/>
        <v>128.85434831454293</v>
      </c>
      <c r="E163" s="46">
        <f t="shared" si="147"/>
        <v>164.68802880603732</v>
      </c>
      <c r="F163" s="46">
        <f t="shared" si="147"/>
        <v>202.34829480105131</v>
      </c>
      <c r="G163" s="46">
        <f t="shared" si="147"/>
        <v>252.51766146518955</v>
      </c>
      <c r="H163" s="46">
        <f t="shared" si="147"/>
        <v>313.87989797618354</v>
      </c>
      <c r="I163" s="46">
        <f t="shared" si="147"/>
        <v>379.08513650059268</v>
      </c>
      <c r="J163" s="46">
        <f t="shared" si="147"/>
        <v>448.60670327785522</v>
      </c>
      <c r="K163" s="46">
        <f t="shared" si="147"/>
        <v>513.27489049447001</v>
      </c>
      <c r="L163" s="46">
        <f t="shared" si="147"/>
        <v>586.91219838788436</v>
      </c>
      <c r="M163" s="46">
        <f t="shared" si="147"/>
        <v>662.60213457772375</v>
      </c>
      <c r="N163" s="46">
        <f t="shared" si="147"/>
        <v>733.19168554729242</v>
      </c>
      <c r="O163" s="46">
        <f t="shared" si="147"/>
        <v>801.89864291402478</v>
      </c>
      <c r="P163" s="46">
        <f t="shared" si="147"/>
        <v>861.79902483744399</v>
      </c>
      <c r="R163" s="57">
        <f>(J163/D163)^(1/6)-1</f>
        <v>0.23110316166844536</v>
      </c>
      <c r="S163" s="57">
        <f>(P163/J163)^(1/6)-1</f>
        <v>0.11495337530440874</v>
      </c>
    </row>
    <row r="164" spans="1:19" x14ac:dyDescent="0.2">
      <c r="A164" s="83" t="s">
        <v>4</v>
      </c>
      <c r="B164" s="75"/>
      <c r="C164" s="63">
        <f t="shared" ref="C164:P164" si="148">C163/B163-1</f>
        <v>0.21291514673092626</v>
      </c>
      <c r="D164" s="63">
        <f t="shared" si="148"/>
        <v>0.28502662702977011</v>
      </c>
      <c r="E164" s="63">
        <f t="shared" si="148"/>
        <v>0.27809446060773779</v>
      </c>
      <c r="F164" s="63">
        <f t="shared" si="148"/>
        <v>0.22867640269936484</v>
      </c>
      <c r="G164" s="63">
        <f t="shared" si="148"/>
        <v>0.24793570271231946</v>
      </c>
      <c r="H164" s="63">
        <f t="shared" si="148"/>
        <v>0.24300176136176121</v>
      </c>
      <c r="I164" s="63">
        <f t="shared" si="148"/>
        <v>0.20773945367268065</v>
      </c>
      <c r="J164" s="63">
        <f t="shared" si="148"/>
        <v>0.18339301672186203</v>
      </c>
      <c r="K164" s="63">
        <f t="shared" si="148"/>
        <v>0.14415341265322335</v>
      </c>
      <c r="L164" s="63">
        <f t="shared" si="148"/>
        <v>0.14346563460853279</v>
      </c>
      <c r="M164" s="63">
        <f t="shared" si="148"/>
        <v>0.12896296311056843</v>
      </c>
      <c r="N164" s="63">
        <f t="shared" si="148"/>
        <v>0.10653384178207537</v>
      </c>
      <c r="O164" s="63">
        <f t="shared" si="148"/>
        <v>9.370940604085809E-2</v>
      </c>
      <c r="P164" s="63">
        <f t="shared" si="148"/>
        <v>7.4698195903844855E-2</v>
      </c>
      <c r="R164" s="109"/>
      <c r="S164" s="109"/>
    </row>
    <row r="165" spans="1:19" x14ac:dyDescent="0.2">
      <c r="A165" s="68" t="s">
        <v>57</v>
      </c>
      <c r="B165" s="46">
        <f t="shared" ref="B165:P165" si="149">B167+B169</f>
        <v>158.9228443733316</v>
      </c>
      <c r="C165" s="46">
        <f t="shared" si="149"/>
        <v>204.95547232969557</v>
      </c>
      <c r="D165" s="46">
        <f t="shared" si="149"/>
        <v>262.42860795744434</v>
      </c>
      <c r="E165" s="46">
        <f t="shared" si="149"/>
        <v>334.79067138632189</v>
      </c>
      <c r="F165" s="46">
        <f t="shared" si="149"/>
        <v>397.02993651035183</v>
      </c>
      <c r="G165" s="46">
        <f t="shared" si="149"/>
        <v>486.62305027617174</v>
      </c>
      <c r="H165" s="46">
        <f t="shared" si="149"/>
        <v>607.25293081764062</v>
      </c>
      <c r="I165" s="46">
        <f t="shared" si="149"/>
        <v>750.14554649427805</v>
      </c>
      <c r="J165" s="46">
        <f t="shared" si="149"/>
        <v>910.47222544986698</v>
      </c>
      <c r="K165" s="46">
        <f t="shared" si="149"/>
        <v>1078.4335641958546</v>
      </c>
      <c r="L165" s="46">
        <f t="shared" si="149"/>
        <v>1269.9725720737313</v>
      </c>
      <c r="M165" s="46">
        <f t="shared" si="149"/>
        <v>1469.6140307550827</v>
      </c>
      <c r="N165" s="46">
        <f t="shared" si="149"/>
        <v>1686.5596695367333</v>
      </c>
      <c r="O165" s="46">
        <f t="shared" si="149"/>
        <v>1936.7627237155218</v>
      </c>
      <c r="P165" s="46">
        <f t="shared" si="149"/>
        <v>2188.9970408861864</v>
      </c>
      <c r="R165" s="57">
        <f>(J165/D165)^(1/6)-1</f>
        <v>0.23038941860730722</v>
      </c>
      <c r="S165" s="57">
        <f>(P165/J165)^(1/6)-1</f>
        <v>0.15743446996590471</v>
      </c>
    </row>
    <row r="166" spans="1:19" x14ac:dyDescent="0.2">
      <c r="A166" s="62" t="s">
        <v>4</v>
      </c>
      <c r="B166" s="75"/>
      <c r="C166" s="63">
        <f t="shared" ref="C166:P166" si="150">C165/B165-1</f>
        <v>0.28965393954456919</v>
      </c>
      <c r="D166" s="63">
        <f t="shared" si="150"/>
        <v>0.28041766816206937</v>
      </c>
      <c r="E166" s="63">
        <f t="shared" si="150"/>
        <v>0.27573999645881542</v>
      </c>
      <c r="F166" s="63">
        <f t="shared" si="150"/>
        <v>0.18590501600987186</v>
      </c>
      <c r="G166" s="63">
        <f t="shared" si="150"/>
        <v>0.22565833335714713</v>
      </c>
      <c r="H166" s="63">
        <f t="shared" si="150"/>
        <v>0.24789183429146688</v>
      </c>
      <c r="I166" s="63">
        <f t="shared" si="150"/>
        <v>0.23530988229935512</v>
      </c>
      <c r="J166" s="63">
        <f t="shared" si="150"/>
        <v>0.21372742890344121</v>
      </c>
      <c r="K166" s="63">
        <f t="shared" si="150"/>
        <v>0.18447716915581625</v>
      </c>
      <c r="L166" s="63">
        <f t="shared" si="150"/>
        <v>0.17760853726831072</v>
      </c>
      <c r="M166" s="63">
        <f t="shared" si="150"/>
        <v>0.15720139400755562</v>
      </c>
      <c r="N166" s="63">
        <f t="shared" si="150"/>
        <v>0.14762082712981761</v>
      </c>
      <c r="O166" s="63">
        <f t="shared" si="150"/>
        <v>0.14835114268297112</v>
      </c>
      <c r="P166" s="63">
        <f t="shared" si="150"/>
        <v>0.13023501231311063</v>
      </c>
      <c r="R166" s="109"/>
      <c r="S166" s="109"/>
    </row>
    <row r="167" spans="1:19" x14ac:dyDescent="0.2">
      <c r="A167" s="82" t="s">
        <v>58</v>
      </c>
      <c r="B167" s="46">
        <f t="shared" ref="B167:P167" si="151">B125</f>
        <v>70.469158275493839</v>
      </c>
      <c r="C167" s="46">
        <f t="shared" si="151"/>
        <v>94.179886321536571</v>
      </c>
      <c r="D167" s="46">
        <f t="shared" si="151"/>
        <v>125.17312071945277</v>
      </c>
      <c r="E167" s="46">
        <f t="shared" si="151"/>
        <v>165.86357702939452</v>
      </c>
      <c r="F167" s="46">
        <f t="shared" si="151"/>
        <v>204.74422457568423</v>
      </c>
      <c r="G167" s="46">
        <f t="shared" si="151"/>
        <v>260.66574282160218</v>
      </c>
      <c r="H167" s="46">
        <f t="shared" si="151"/>
        <v>337.63362263555445</v>
      </c>
      <c r="I167" s="46">
        <f t="shared" si="151"/>
        <v>431.97554086425748</v>
      </c>
      <c r="J167" s="46">
        <f t="shared" si="151"/>
        <v>543.35924861631599</v>
      </c>
      <c r="K167" s="46">
        <f t="shared" si="151"/>
        <v>666.98630622169514</v>
      </c>
      <c r="L167" s="46">
        <f t="shared" si="151"/>
        <v>814.52045436044386</v>
      </c>
      <c r="M167" s="46">
        <f t="shared" si="151"/>
        <v>978.21192206395199</v>
      </c>
      <c r="N167" s="46">
        <f t="shared" si="151"/>
        <v>1166.0209791729465</v>
      </c>
      <c r="O167" s="46">
        <f t="shared" si="151"/>
        <v>1390.6270817246138</v>
      </c>
      <c r="P167" s="46">
        <f t="shared" si="151"/>
        <v>1632.2841084420959</v>
      </c>
      <c r="R167" s="57">
        <f>(J167/D167)^(1/6)-1</f>
        <v>0.27721104033623623</v>
      </c>
      <c r="S167" s="57">
        <f>(P167/J167)^(1/6)-1</f>
        <v>0.20120772030352074</v>
      </c>
    </row>
    <row r="168" spans="1:19" x14ac:dyDescent="0.2">
      <c r="A168" s="83" t="s">
        <v>4</v>
      </c>
      <c r="B168" s="75"/>
      <c r="C168" s="63">
        <f t="shared" ref="C168:P168" si="152">C167/B167-1</f>
        <v>0.33646957940589317</v>
      </c>
      <c r="D168" s="63">
        <f t="shared" si="152"/>
        <v>0.32908549381874574</v>
      </c>
      <c r="E168" s="63">
        <f t="shared" si="152"/>
        <v>0.32507343490412932</v>
      </c>
      <c r="F168" s="63">
        <f t="shared" si="152"/>
        <v>0.23441341518517489</v>
      </c>
      <c r="G168" s="63">
        <f t="shared" si="152"/>
        <v>0.27312867242927497</v>
      </c>
      <c r="H168" s="63">
        <f t="shared" si="152"/>
        <v>0.29527424271715108</v>
      </c>
      <c r="I168" s="63">
        <f t="shared" si="152"/>
        <v>0.27942098151325645</v>
      </c>
      <c r="J168" s="63">
        <f t="shared" si="152"/>
        <v>0.25784725572473866</v>
      </c>
      <c r="K168" s="63">
        <f t="shared" si="152"/>
        <v>0.2275236096932185</v>
      </c>
      <c r="L168" s="63">
        <f t="shared" si="152"/>
        <v>0.22119516812045448</v>
      </c>
      <c r="M168" s="63">
        <f t="shared" si="152"/>
        <v>0.20096667533295731</v>
      </c>
      <c r="N168" s="63">
        <f t="shared" si="152"/>
        <v>0.19199219808396095</v>
      </c>
      <c r="O168" s="63">
        <f t="shared" si="152"/>
        <v>0.19262612471259266</v>
      </c>
      <c r="P168" s="63">
        <f t="shared" si="152"/>
        <v>0.17377557930037302</v>
      </c>
      <c r="R168" s="109"/>
      <c r="S168" s="109"/>
    </row>
    <row r="169" spans="1:19" x14ac:dyDescent="0.2">
      <c r="A169" s="82" t="s">
        <v>53</v>
      </c>
      <c r="B169" s="46">
        <f t="shared" ref="B169:P169" si="153">B127</f>
        <v>88.45368609783776</v>
      </c>
      <c r="C169" s="46">
        <f t="shared" si="153"/>
        <v>110.775586008159</v>
      </c>
      <c r="D169" s="46">
        <f t="shared" si="153"/>
        <v>137.25548723799159</v>
      </c>
      <c r="E169" s="46">
        <f t="shared" si="153"/>
        <v>168.92709435692737</v>
      </c>
      <c r="F169" s="46">
        <f t="shared" si="153"/>
        <v>192.28571193466763</v>
      </c>
      <c r="G169" s="46">
        <f t="shared" si="153"/>
        <v>225.95730745456959</v>
      </c>
      <c r="H169" s="46">
        <f t="shared" si="153"/>
        <v>269.61930818208617</v>
      </c>
      <c r="I169" s="46">
        <f t="shared" si="153"/>
        <v>318.17000563002063</v>
      </c>
      <c r="J169" s="46">
        <f t="shared" si="153"/>
        <v>367.11297683355099</v>
      </c>
      <c r="K169" s="46">
        <f t="shared" si="153"/>
        <v>411.44725797415936</v>
      </c>
      <c r="L169" s="46">
        <f t="shared" si="153"/>
        <v>455.45211771328735</v>
      </c>
      <c r="M169" s="46">
        <f t="shared" si="153"/>
        <v>491.40210869113071</v>
      </c>
      <c r="N169" s="46">
        <f t="shared" si="153"/>
        <v>520.53869036378683</v>
      </c>
      <c r="O169" s="46">
        <f t="shared" si="153"/>
        <v>546.13564199090797</v>
      </c>
      <c r="P169" s="46">
        <f t="shared" si="153"/>
        <v>556.71293244409037</v>
      </c>
      <c r="R169" s="57">
        <f>(J169/D169)^(1/6)-1</f>
        <v>0.178180064900197</v>
      </c>
      <c r="S169" s="57">
        <f>(P169/J169)^(1/6)-1</f>
        <v>7.1861311844489073E-2</v>
      </c>
    </row>
    <row r="170" spans="1:19" x14ac:dyDescent="0.2">
      <c r="A170" s="83" t="s">
        <v>4</v>
      </c>
      <c r="B170" s="75"/>
      <c r="C170" s="63">
        <f t="shared" ref="C170:P170" si="154">C169/B169-1</f>
        <v>0.25235692140213573</v>
      </c>
      <c r="D170" s="63">
        <f t="shared" si="154"/>
        <v>0.23904094922036578</v>
      </c>
      <c r="E170" s="63">
        <f t="shared" si="154"/>
        <v>0.23074929648546139</v>
      </c>
      <c r="F170" s="63">
        <f t="shared" si="154"/>
        <v>0.13827632368070963</v>
      </c>
      <c r="G170" s="63">
        <f t="shared" si="154"/>
        <v>0.17511231167993624</v>
      </c>
      <c r="H170" s="63">
        <f t="shared" si="154"/>
        <v>0.19323119583682935</v>
      </c>
      <c r="I170" s="63">
        <f t="shared" si="154"/>
        <v>0.18007129302158864</v>
      </c>
      <c r="J170" s="63">
        <f t="shared" si="154"/>
        <v>0.15382647747268474</v>
      </c>
      <c r="K170" s="63">
        <f t="shared" si="154"/>
        <v>0.12076467991680273</v>
      </c>
      <c r="L170" s="63">
        <f t="shared" si="154"/>
        <v>0.10695139871825732</v>
      </c>
      <c r="M170" s="63">
        <f t="shared" si="154"/>
        <v>7.8932536659044095E-2</v>
      </c>
      <c r="N170" s="63">
        <f t="shared" si="154"/>
        <v>5.9292748560364483E-2</v>
      </c>
      <c r="O170" s="63">
        <f t="shared" si="154"/>
        <v>4.9173965549481613E-2</v>
      </c>
      <c r="P170" s="63">
        <f t="shared" si="154"/>
        <v>1.936751539347159E-2</v>
      </c>
      <c r="R170" s="109"/>
      <c r="S170" s="109"/>
    </row>
    <row r="171" spans="1:19" x14ac:dyDescent="0.2">
      <c r="A171" s="68" t="s">
        <v>59</v>
      </c>
      <c r="B171" s="46">
        <f t="shared" ref="B171:P171" si="155">B139</f>
        <v>342.98602856480659</v>
      </c>
      <c r="C171" s="46">
        <f t="shared" si="155"/>
        <v>377.03215772875768</v>
      </c>
      <c r="D171" s="46">
        <f t="shared" si="155"/>
        <v>407.84530104368469</v>
      </c>
      <c r="E171" s="46">
        <f t="shared" si="155"/>
        <v>448.81277607988608</v>
      </c>
      <c r="F171" s="46">
        <f t="shared" si="155"/>
        <v>488.74034655172051</v>
      </c>
      <c r="G171" s="46">
        <f t="shared" si="155"/>
        <v>544.10414309234068</v>
      </c>
      <c r="H171" s="46">
        <f t="shared" si="155"/>
        <v>599.76886673595959</v>
      </c>
      <c r="I171" s="46">
        <f t="shared" si="155"/>
        <v>719.21877102812653</v>
      </c>
      <c r="J171" s="46">
        <f t="shared" si="155"/>
        <v>787.01207742666736</v>
      </c>
      <c r="K171" s="46">
        <f t="shared" si="155"/>
        <v>904.86856647597642</v>
      </c>
      <c r="L171" s="46">
        <f t="shared" si="155"/>
        <v>1017.2031386626155</v>
      </c>
      <c r="M171" s="46">
        <f t="shared" si="155"/>
        <v>1139.3165802217693</v>
      </c>
      <c r="N171" s="46">
        <f t="shared" si="155"/>
        <v>1285.389450272</v>
      </c>
      <c r="O171" s="46">
        <f t="shared" si="155"/>
        <v>1399.3795336295161</v>
      </c>
      <c r="P171" s="46">
        <f t="shared" si="155"/>
        <v>1515.2602207017812</v>
      </c>
      <c r="R171" s="57">
        <f>(J171/D171)^(1/6)-1</f>
        <v>0.11578620833002318</v>
      </c>
      <c r="S171" s="57">
        <f>(P171/J171)^(1/6)-1</f>
        <v>0.1153666057465248</v>
      </c>
    </row>
    <row r="172" spans="1:19" x14ac:dyDescent="0.2">
      <c r="A172" s="62" t="s">
        <v>4</v>
      </c>
      <c r="B172" s="75"/>
      <c r="C172" s="63">
        <f t="shared" ref="C172:P172" si="156">C171/B171-1</f>
        <v>9.9263895110870859E-2</v>
      </c>
      <c r="D172" s="63">
        <f t="shared" si="156"/>
        <v>8.1725504531352078E-2</v>
      </c>
      <c r="E172" s="63">
        <f t="shared" si="156"/>
        <v>0.10044856452033346</v>
      </c>
      <c r="F172" s="63">
        <f t="shared" si="156"/>
        <v>8.8962642330679964E-2</v>
      </c>
      <c r="G172" s="63">
        <f t="shared" si="156"/>
        <v>0.11327854745620303</v>
      </c>
      <c r="H172" s="63">
        <f t="shared" si="156"/>
        <v>0.10230527436761672</v>
      </c>
      <c r="I172" s="63">
        <f t="shared" si="156"/>
        <v>0.1991598946144586</v>
      </c>
      <c r="J172" s="63">
        <f t="shared" si="156"/>
        <v>9.4259645506234557E-2</v>
      </c>
      <c r="K172" s="63">
        <f t="shared" si="156"/>
        <v>0.14975181757651068</v>
      </c>
      <c r="L172" s="63">
        <f t="shared" si="156"/>
        <v>0.12414462867698872</v>
      </c>
      <c r="M172" s="63">
        <f t="shared" si="156"/>
        <v>0.12004823512411145</v>
      </c>
      <c r="N172" s="63">
        <f t="shared" si="156"/>
        <v>0.12821095785492509</v>
      </c>
      <c r="O172" s="63">
        <f t="shared" si="156"/>
        <v>8.8681359049115338E-2</v>
      </c>
      <c r="P172" s="63">
        <f t="shared" si="156"/>
        <v>8.2808619311238507E-2</v>
      </c>
      <c r="R172" s="109"/>
      <c r="S172" s="109"/>
    </row>
    <row r="173" spans="1:19" x14ac:dyDescent="0.2">
      <c r="R173" s="109"/>
      <c r="S173" s="109"/>
    </row>
    <row r="174" spans="1:19" x14ac:dyDescent="0.2">
      <c r="A174" s="67" t="s">
        <v>61</v>
      </c>
      <c r="R174" s="109"/>
      <c r="S174" s="109"/>
    </row>
    <row r="175" spans="1:19" x14ac:dyDescent="0.2">
      <c r="A175" s="55" t="s">
        <v>62</v>
      </c>
      <c r="B175" s="56"/>
      <c r="C175" s="56"/>
      <c r="D175" s="56"/>
      <c r="E175" s="56">
        <f>Poland!E175+Austria!E175+'Czech Republic'!E175+Greece!E181+Hungary!E175+Slovakia!E175+Croatia!E175</f>
        <v>262.18118999676597</v>
      </c>
      <c r="F175" s="56">
        <f>Poland!F175+Austria!F175+'Czech Republic'!F175+Greece!F181+Hungary!F175+Slovakia!F175+Croatia!F175</f>
        <v>294.68619031988771</v>
      </c>
      <c r="G175" s="56">
        <f>Poland!G175+Austria!G175+'Czech Republic'!G175+Greece!G181+Hungary!G175+Slovakia!G175+Croatia!G175</f>
        <v>384.31081486491536</v>
      </c>
      <c r="H175" s="56">
        <f>Poland!H175+Austria!H175+'Czech Republic'!H175+Greece!H181+Hungary!H175+Slovakia!H175+Croatia!H175</f>
        <v>550.48739736888353</v>
      </c>
      <c r="I175" s="56">
        <f>Poland!I175+Austria!I175+'Czech Republic'!I175+Greece!I181+Hungary!I175+Slovakia!I175+Croatia!I175</f>
        <v>958.51958560460753</v>
      </c>
      <c r="J175" s="56">
        <f>Poland!J175+Austria!J175+'Czech Republic'!J175+Greece!J181+Hungary!J175+Slovakia!J175+Croatia!J175</f>
        <v>1356.6545981641984</v>
      </c>
      <c r="K175" s="56">
        <f>Poland!K175+Austria!K175+'Czech Republic'!K175+Greece!K181+Hungary!K175+Slovakia!K175+Croatia!K175</f>
        <v>1909.1141828484779</v>
      </c>
      <c r="L175" s="56">
        <f>Poland!L175+Austria!L175+'Czech Republic'!L175+Greece!L181+Hungary!L175+Slovakia!L175+Croatia!L175</f>
        <v>2586.7700220844799</v>
      </c>
      <c r="M175" s="56">
        <f>Poland!M175+Austria!M175+'Czech Republic'!M175+Greece!M181+Hungary!M175+Slovakia!M175+Croatia!M175</f>
        <v>3404.5492883063466</v>
      </c>
      <c r="N175" s="56">
        <f>Poland!N175+Austria!N175+'Czech Republic'!N175+Greece!N181+Hungary!N175+Slovakia!N175+Croatia!N175</f>
        <v>4493.4782278694684</v>
      </c>
      <c r="O175" s="56">
        <f>Poland!O175+Austria!O175+'Czech Republic'!O175+Greece!O181+Hungary!O175+Slovakia!O175+Croatia!O175</f>
        <v>5785.1568329796773</v>
      </c>
      <c r="P175" s="56">
        <f>Poland!P175+Austria!P175+'Czech Republic'!P175+Greece!P181+Hungary!P175+Slovakia!P175+Croatia!P175</f>
        <v>7244.4574740351854</v>
      </c>
      <c r="R175" s="57"/>
      <c r="S175" s="57">
        <f>(P175/J175)^(1/6)-1</f>
        <v>0.32207500944138534</v>
      </c>
    </row>
    <row r="176" spans="1:19" x14ac:dyDescent="0.2">
      <c r="A176" s="58" t="s">
        <v>4</v>
      </c>
      <c r="B176" s="66"/>
      <c r="C176" s="59"/>
      <c r="D176" s="59"/>
      <c r="E176" s="56"/>
      <c r="F176" s="59">
        <f t="shared" ref="F176:P176" si="157">F175/E175-1</f>
        <v>0.12397914710633007</v>
      </c>
      <c r="G176" s="59">
        <f t="shared" si="157"/>
        <v>0.30413581460243644</v>
      </c>
      <c r="H176" s="59">
        <f t="shared" si="157"/>
        <v>0.43240152521437358</v>
      </c>
      <c r="I176" s="59">
        <f t="shared" si="157"/>
        <v>0.74121985387124156</v>
      </c>
      <c r="J176" s="59">
        <f t="shared" si="157"/>
        <v>0.415364504324091</v>
      </c>
      <c r="K176" s="59">
        <f t="shared" si="157"/>
        <v>0.4072219896146434</v>
      </c>
      <c r="L176" s="59">
        <f t="shared" si="157"/>
        <v>0.35495825515523194</v>
      </c>
      <c r="M176" s="59">
        <f t="shared" si="157"/>
        <v>0.3161391462094032</v>
      </c>
      <c r="N176" s="59">
        <f t="shared" si="157"/>
        <v>0.31984525625852478</v>
      </c>
      <c r="O176" s="59">
        <f t="shared" si="157"/>
        <v>0.28745629545926255</v>
      </c>
      <c r="P176" s="59">
        <f t="shared" si="157"/>
        <v>0.25224910632265218</v>
      </c>
      <c r="R176" s="109"/>
      <c r="S176" s="109"/>
    </row>
    <row r="177" spans="1:19" x14ac:dyDescent="0.2">
      <c r="A177" s="67"/>
      <c r="E177" s="56"/>
      <c r="R177" s="109"/>
      <c r="S177" s="109"/>
    </row>
    <row r="178" spans="1:19" x14ac:dyDescent="0.2">
      <c r="A178" s="67" t="s">
        <v>64</v>
      </c>
      <c r="E178" s="56"/>
      <c r="R178" s="109"/>
      <c r="S178" s="109"/>
    </row>
    <row r="179" spans="1:19" x14ac:dyDescent="0.2">
      <c r="A179" s="129" t="s">
        <v>75</v>
      </c>
      <c r="E179" s="46">
        <f>Poland!E179+Austria!E179+'Czech Republic'!E179+Greece!E185+Hungary!E179+Slovakia!E179+Croatia!E179</f>
        <v>46.549031669676587</v>
      </c>
      <c r="F179" s="46">
        <f>Poland!F179+Austria!F179+'Czech Republic'!F179+Greece!F185+Hungary!F179+Slovakia!F179+Croatia!F179</f>
        <v>52.022359289995265</v>
      </c>
      <c r="G179" s="46">
        <f>Poland!G179+Austria!G179+'Czech Republic'!G179+Greece!G185+Hungary!G179+Slovakia!G179+Croatia!G179</f>
        <v>67.497069029831138</v>
      </c>
      <c r="H179" s="46">
        <f>Poland!H179+Austria!H179+'Czech Republic'!H179+Greece!H185+Hungary!H179+Slovakia!H179+Croatia!H179</f>
        <v>96.500259666021066</v>
      </c>
      <c r="I179" s="46">
        <f>Poland!I179+Austria!I179+'Czech Republic'!I179+Greece!I185+Hungary!I179+Slovakia!I179+Croatia!I179</f>
        <v>169.02568327076543</v>
      </c>
      <c r="J179" s="46">
        <f>Poland!J179+Austria!J179+'Czech Republic'!J179+Greece!J185+Hungary!J179+Slovakia!J179+Croatia!J179</f>
        <v>237.58560553948422</v>
      </c>
      <c r="K179" s="46">
        <f>Poland!K179+Austria!K179+'Czech Republic'!K179+Greece!K185+Hungary!K179+Slovakia!K179+Croatia!K179</f>
        <v>330.47795223154606</v>
      </c>
      <c r="L179" s="46">
        <f>Poland!L179+Austria!L179+'Czech Republic'!L179+Greece!L185+Hungary!L179+Slovakia!L179+Croatia!L179</f>
        <v>445.47377376784704</v>
      </c>
      <c r="M179" s="46">
        <f>Poland!M179+Austria!M179+'Czech Republic'!M179+Greece!M185+Hungary!M179+Slovakia!M179+Croatia!M179</f>
        <v>584.28538163169446</v>
      </c>
      <c r="N179" s="46">
        <f>Poland!N179+Austria!N179+'Czech Republic'!N179+Greece!N185+Hungary!N179+Slovakia!N179+Croatia!N179</f>
        <v>768.76456621680711</v>
      </c>
      <c r="O179" s="43">
        <f>Poland!O179+Austria!O179+'Czech Republic'!O179+Greece!O185+Hungary!O179+Slovakia!O179+Croatia!O179</f>
        <v>987.07182014196985</v>
      </c>
      <c r="P179" s="43">
        <f>Poland!P179+Austria!P179+'Czech Republic'!P179+Greece!P185+Hungary!P179+Slovakia!P179+Croatia!P179</f>
        <v>1235.0050956758125</v>
      </c>
      <c r="R179" s="57"/>
      <c r="S179" s="57">
        <f>(P179/J179)^(1/6)-1</f>
        <v>0.31615823104712115</v>
      </c>
    </row>
    <row r="180" spans="1:19" x14ac:dyDescent="0.2">
      <c r="A180" s="62" t="s">
        <v>4</v>
      </c>
      <c r="E180" s="46"/>
      <c r="F180" s="63">
        <f t="shared" ref="F180" si="158">F179/E179-1</f>
        <v>0.11758198664923381</v>
      </c>
      <c r="G180" s="63">
        <f t="shared" ref="G180" si="159">G179/F179-1</f>
        <v>0.29746266703463231</v>
      </c>
      <c r="H180" s="63">
        <f t="shared" ref="H180" si="160">H179/G179-1</f>
        <v>0.42969555645996449</v>
      </c>
      <c r="I180" s="63">
        <f t="shared" ref="I180" si="161">I179/H179-1</f>
        <v>0.75155677151282796</v>
      </c>
      <c r="J180" s="63">
        <f t="shared" ref="J180" si="162">J179/I179-1</f>
        <v>0.4056183707826897</v>
      </c>
      <c r="K180" s="63">
        <f t="shared" ref="K180" si="163">K179/J179-1</f>
        <v>0.39098474203069555</v>
      </c>
      <c r="L180" s="63">
        <f t="shared" ref="L180" si="164">L179/K179-1</f>
        <v>0.34796821016286827</v>
      </c>
      <c r="M180" s="63">
        <f t="shared" ref="M180" si="165">M179/L179-1</f>
        <v>0.31160444461133929</v>
      </c>
      <c r="N180" s="63">
        <f t="shared" ref="N180" si="166">N179/M179-1</f>
        <v>0.31573472550336623</v>
      </c>
      <c r="O180" s="63">
        <f t="shared" ref="O180" si="167">O179/N179-1</f>
        <v>0.28397153500385919</v>
      </c>
      <c r="P180" s="63">
        <f t="shared" ref="P180" si="168">P179/O179-1</f>
        <v>0.25118058329147974</v>
      </c>
      <c r="R180" s="109"/>
      <c r="S180" s="109"/>
    </row>
    <row r="181" spans="1:19" x14ac:dyDescent="0.2">
      <c r="A181" s="84" t="s">
        <v>69</v>
      </c>
      <c r="E181" s="46">
        <f>Poland!E181+Austria!E181+'Czech Republic'!E181+Greece!E187+Hungary!E181+Slovakia!E181+Croatia!E181</f>
        <v>35.114461652572494</v>
      </c>
      <c r="F181" s="46">
        <f>Poland!F181+Austria!F181+'Czech Republic'!F181+Greece!F187+Hungary!F181+Slovakia!F181+Croatia!F181</f>
        <v>39.68163418932717</v>
      </c>
      <c r="G181" s="46">
        <f>Poland!G181+Austria!G181+'Czech Republic'!G181+Greece!G187+Hungary!G181+Slovakia!G181+Croatia!G181</f>
        <v>51.956763912331219</v>
      </c>
      <c r="H181" s="46">
        <f>Poland!H181+Austria!H181+'Czech Republic'!H181+Greece!H187+Hungary!H181+Slovakia!H181+Croatia!H181</f>
        <v>75.12363825419304</v>
      </c>
      <c r="I181" s="46">
        <f>Poland!I181+Austria!I181+'Czech Republic'!I181+Greece!I187+Hungary!I181+Slovakia!I181+Croatia!I181</f>
        <v>128.50456121818635</v>
      </c>
      <c r="J181" s="46">
        <f>Poland!J181+Austria!J181+'Czech Republic'!J181+Greece!J187+Hungary!J181+Slovakia!J181+Croatia!J181</f>
        <v>184.29199428459833</v>
      </c>
      <c r="K181" s="46">
        <f>Poland!K181+Austria!K181+'Czech Republic'!K181+Greece!K187+Hungary!K181+Slovakia!K181+Croatia!K181</f>
        <v>257.69838380725162</v>
      </c>
      <c r="L181" s="46">
        <f>Poland!L181+Austria!L181+'Czech Republic'!L181+Greece!L187+Hungary!L181+Slovakia!L181+Croatia!L181</f>
        <v>349.85920906674176</v>
      </c>
      <c r="M181" s="46">
        <f>Poland!M181+Austria!M181+'Czech Republic'!M181+Greece!M187+Hungary!M181+Slovakia!M181+Croatia!M181</f>
        <v>464.80481475826645</v>
      </c>
      <c r="N181" s="46">
        <f>Poland!N181+Austria!N181+'Czech Republic'!N181+Greece!N187+Hungary!N181+Slovakia!N181+Croatia!N181</f>
        <v>616.27250637305735</v>
      </c>
      <c r="O181" s="46">
        <f>Poland!O181+Austria!O181+'Czech Republic'!O181+Greece!O187+Hungary!O181+Slovakia!O181+Croatia!O181</f>
        <v>796.55021498231167</v>
      </c>
      <c r="P181" s="46">
        <f>Poland!P181+Austria!P181+'Czech Republic'!P181+Greece!P187+Hungary!P181+Slovakia!P181+Croatia!P181</f>
        <v>1000.7773095742476</v>
      </c>
      <c r="R181" s="57"/>
      <c r="S181" s="57">
        <f>(P181/J181)^(1/6)-1</f>
        <v>0.32578111995219561</v>
      </c>
    </row>
    <row r="182" spans="1:19" x14ac:dyDescent="0.2">
      <c r="A182" s="62" t="s">
        <v>4</v>
      </c>
      <c r="E182" s="46"/>
      <c r="F182" s="63">
        <f t="shared" ref="F182" si="169">F181/E181-1</f>
        <v>0.13006528711568843</v>
      </c>
      <c r="G182" s="63">
        <f t="shared" ref="G182" si="170">G181/F181-1</f>
        <v>0.3093403276799922</v>
      </c>
      <c r="H182" s="63">
        <f t="shared" ref="H182" si="171">H181/G181-1</f>
        <v>0.44588755336941777</v>
      </c>
      <c r="I182" s="63">
        <f t="shared" ref="I182" si="172">I181/H181-1</f>
        <v>0.71057425072212665</v>
      </c>
      <c r="J182" s="63">
        <f t="shared" ref="J182" si="173">J181/I181-1</f>
        <v>0.43412803823897872</v>
      </c>
      <c r="K182" s="63">
        <f t="shared" ref="K182" si="174">K181/J181-1</f>
        <v>0.39831567186414674</v>
      </c>
      <c r="L182" s="63">
        <f t="shared" ref="L182" si="175">L181/K181-1</f>
        <v>0.35763059083995996</v>
      </c>
      <c r="M182" s="63">
        <f t="shared" ref="M182" si="176">M181/L181-1</f>
        <v>0.32854817798892588</v>
      </c>
      <c r="N182" s="63">
        <f t="shared" ref="N182" si="177">N181/M181-1</f>
        <v>0.32587375776984051</v>
      </c>
      <c r="O182" s="63">
        <f t="shared" ref="O182" si="178">O181/N181-1</f>
        <v>0.29252920866166976</v>
      </c>
      <c r="P182" s="63">
        <f t="shared" ref="P182" si="179">P181/O181-1</f>
        <v>0.25638947896897002</v>
      </c>
      <c r="R182" s="109"/>
      <c r="S182" s="109"/>
    </row>
    <row r="183" spans="1:19" x14ac:dyDescent="0.2">
      <c r="A183" s="84" t="s">
        <v>72</v>
      </c>
      <c r="E183" s="46">
        <f>Poland!E183+Austria!E183+'Czech Republic'!E183+Greece!E189+Hungary!E183+Slovakia!E183+Croatia!E183</f>
        <v>30.414600185926638</v>
      </c>
      <c r="F183" s="46">
        <f>Poland!F183+Austria!F183+'Czech Republic'!F183+Greece!F189+Hungary!F183+Slovakia!F183+Croatia!F183</f>
        <v>34.542579009625953</v>
      </c>
      <c r="G183" s="46">
        <f>Poland!G183+Austria!G183+'Czech Republic'!G183+Greece!G189+Hungary!G183+Slovakia!G183+Croatia!G183</f>
        <v>45.792889031658014</v>
      </c>
      <c r="H183" s="46">
        <f>Poland!H183+Austria!H183+'Czech Republic'!H183+Greece!H189+Hungary!H183+Slovakia!H183+Croatia!H183</f>
        <v>65.391458137499967</v>
      </c>
      <c r="I183" s="46">
        <f>Poland!I183+Austria!I183+'Czech Republic'!I183+Greece!I189+Hungary!I183+Slovakia!I183+Croatia!I183</f>
        <v>113.59773987188373</v>
      </c>
      <c r="J183" s="46">
        <f>Poland!J183+Austria!J183+'Czech Republic'!J183+Greece!J189+Hungary!J183+Slovakia!J183+Croatia!J183</f>
        <v>160.78238831975449</v>
      </c>
      <c r="K183" s="46">
        <f>Poland!K183+Austria!K183+'Czech Republic'!K183+Greece!K189+Hungary!K183+Slovakia!K183+Croatia!K183</f>
        <v>227.35240981729498</v>
      </c>
      <c r="L183" s="46">
        <f>Poland!L183+Austria!L183+'Czech Republic'!L183+Greece!L189+Hungary!L183+Slovakia!L183+Croatia!L183</f>
        <v>309.53205567180123</v>
      </c>
      <c r="M183" s="46">
        <f>Poland!M183+Austria!M183+'Czech Republic'!M183+Greece!M189+Hungary!M183+Slovakia!M183+Croatia!M183</f>
        <v>411.23921864670564</v>
      </c>
      <c r="N183" s="46">
        <f>Poland!N183+Austria!N183+'Czech Republic'!N183+Greece!N189+Hungary!N183+Slovakia!N183+Croatia!N183</f>
        <v>543.60449443746518</v>
      </c>
      <c r="O183" s="46">
        <f>Poland!O183+Austria!O183+'Czech Republic'!O183+Greece!O189+Hungary!O183+Slovakia!O183+Croatia!O183</f>
        <v>700.84711834075233</v>
      </c>
      <c r="P183" s="46">
        <f>Poland!P183+Austria!P183+'Czech Republic'!P183+Greece!P189+Hungary!P183+Slovakia!P183+Croatia!P183</f>
        <v>881.13118375719</v>
      </c>
      <c r="R183" s="57"/>
      <c r="S183" s="57">
        <f>(P183/J183)^(1/6)-1</f>
        <v>0.32780311345230873</v>
      </c>
    </row>
    <row r="184" spans="1:19" x14ac:dyDescent="0.2">
      <c r="A184" s="62" t="s">
        <v>4</v>
      </c>
      <c r="E184" s="46"/>
      <c r="F184" s="63">
        <f t="shared" ref="F184" si="180">F183/E183-1</f>
        <v>0.13572359322380323</v>
      </c>
      <c r="G184" s="63">
        <f t="shared" ref="G184" si="181">G183/F183-1</f>
        <v>0.32569397956351054</v>
      </c>
      <c r="H184" s="63">
        <f t="shared" ref="H184" si="182">H183/G183-1</f>
        <v>0.42798280519695675</v>
      </c>
      <c r="I184" s="63">
        <f t="shared" ref="I184" si="183">I183/H183-1</f>
        <v>0.73719539382375321</v>
      </c>
      <c r="J184" s="63">
        <f t="shared" ref="J184" si="184">J183/I183-1</f>
        <v>0.41536608475737191</v>
      </c>
      <c r="K184" s="63">
        <f t="shared" ref="K184" si="185">K183/J183-1</f>
        <v>0.41403801867372425</v>
      </c>
      <c r="L184" s="63">
        <f t="shared" ref="L184" si="186">L183/K183-1</f>
        <v>0.36146371142732758</v>
      </c>
      <c r="M184" s="63">
        <f t="shared" ref="M184" si="187">M183/L183-1</f>
        <v>0.32858361876013631</v>
      </c>
      <c r="N184" s="63">
        <f t="shared" ref="N184" si="188">N183/M183-1</f>
        <v>0.32186929113021723</v>
      </c>
      <c r="O184" s="63">
        <f t="shared" ref="O184" si="189">O183/N183-1</f>
        <v>0.28925924180594853</v>
      </c>
      <c r="P184" s="63">
        <f t="shared" ref="P184" si="190">P183/O183-1</f>
        <v>0.25723736418187482</v>
      </c>
      <c r="R184" s="109"/>
      <c r="S184" s="109"/>
    </row>
    <row r="185" spans="1:19" x14ac:dyDescent="0.2">
      <c r="A185" s="84" t="s">
        <v>74</v>
      </c>
      <c r="E185" s="46">
        <f>Poland!E185+Austria!E185+'Czech Republic'!E185+Greece!E191+Hungary!E185+Slovakia!E185+Croatia!E185</f>
        <v>25.741977448165002</v>
      </c>
      <c r="F185" s="46">
        <f>Poland!F185+Austria!F185+'Czech Republic'!F185+Greece!F191+Hungary!F185+Slovakia!F185+Croatia!F185</f>
        <v>29.076756602184911</v>
      </c>
      <c r="G185" s="46">
        <f>Poland!G185+Austria!G185+'Czech Republic'!G185+Greece!G191+Hungary!G185+Slovakia!G185+Croatia!G185</f>
        <v>38.646044104595177</v>
      </c>
      <c r="H185" s="46">
        <f>Poland!H185+Austria!H185+'Czech Republic'!H185+Greece!H191+Hungary!H185+Slovakia!H185+Croatia!H185</f>
        <v>55.408734915624585</v>
      </c>
      <c r="I185" s="46">
        <f>Poland!I185+Austria!I185+'Czech Republic'!I185+Greece!I191+Hungary!I185+Slovakia!I185+Croatia!I185</f>
        <v>100.17254182436103</v>
      </c>
      <c r="J185" s="46">
        <f>Poland!J185+Austria!J185+'Czech Republic'!J185+Greece!J191+Hungary!J185+Slovakia!J185+Croatia!J185</f>
        <v>141.38384615613467</v>
      </c>
      <c r="K185" s="46">
        <f>Poland!K185+Austria!K185+'Czech Republic'!K185+Greece!K191+Hungary!K185+Slovakia!K185+Croatia!K185</f>
        <v>207.0262864564987</v>
      </c>
      <c r="L185" s="46">
        <f>Poland!L185+Austria!L185+'Czech Republic'!L185+Greece!L191+Hungary!L185+Slovakia!L185+Croatia!L185</f>
        <v>285.32642790475887</v>
      </c>
      <c r="M185" s="46">
        <f>Poland!M185+Austria!M185+'Czech Republic'!M185+Greece!M191+Hungary!M185+Slovakia!M185+Croatia!M185</f>
        <v>373.97874149093082</v>
      </c>
      <c r="N185" s="46">
        <f>Poland!N185+Austria!N185+'Czech Republic'!N185+Greece!N191+Hungary!N185+Slovakia!N185+Croatia!N185</f>
        <v>498.39544460504442</v>
      </c>
      <c r="O185" s="46">
        <f>Poland!O185+Austria!O185+'Czech Republic'!O185+Greece!O191+Hungary!O185+Slovakia!O185+Croatia!O185</f>
        <v>647.62475744212372</v>
      </c>
      <c r="P185" s="46">
        <f>Poland!P185+Austria!P185+'Czech Republic'!P185+Greece!P191+Hungary!P185+Slovakia!P185+Croatia!P185</f>
        <v>817.17025157091621</v>
      </c>
      <c r="R185" s="57"/>
      <c r="S185" s="57">
        <f>(P185/J185)^(1/6)-1</f>
        <v>0.33963183441379918</v>
      </c>
    </row>
    <row r="186" spans="1:19" x14ac:dyDescent="0.2">
      <c r="A186" s="62" t="s">
        <v>4</v>
      </c>
      <c r="E186" s="46"/>
      <c r="F186" s="63">
        <f t="shared" ref="F186" si="191">F185/E185-1</f>
        <v>0.12954634742940563</v>
      </c>
      <c r="G186" s="63">
        <f t="shared" ref="G186" si="192">G185/F185-1</f>
        <v>0.32910436446997671</v>
      </c>
      <c r="H186" s="63">
        <f t="shared" ref="H186" si="193">H185/G185-1</f>
        <v>0.43374920252280758</v>
      </c>
      <c r="I186" s="63">
        <f t="shared" ref="I186" si="194">I185/H185-1</f>
        <v>0.80788357606254602</v>
      </c>
      <c r="J186" s="63">
        <f t="shared" ref="J186" si="195">J185/I185-1</f>
        <v>0.41140320072971748</v>
      </c>
      <c r="K186" s="63">
        <f t="shared" ref="K186" si="196">K185/J185-1</f>
        <v>0.46428529202602831</v>
      </c>
      <c r="L186" s="63">
        <f t="shared" ref="L186" si="197">L185/K185-1</f>
        <v>0.37821352441982259</v>
      </c>
      <c r="M186" s="63">
        <f t="shared" ref="M186" si="198">M185/L185-1</f>
        <v>0.31070488015138875</v>
      </c>
      <c r="N186" s="63">
        <f t="shared" ref="N186" si="199">N185/M185-1</f>
        <v>0.33268389165144763</v>
      </c>
      <c r="O186" s="63">
        <f t="shared" ref="O186" si="200">O185/N185-1</f>
        <v>0.29941949600951245</v>
      </c>
      <c r="P186" s="63">
        <f t="shared" ref="P186" si="201">P185/O185-1</f>
        <v>0.26179588130391118</v>
      </c>
      <c r="R186" s="109"/>
      <c r="S186" s="109"/>
    </row>
    <row r="187" spans="1:19" x14ac:dyDescent="0.2">
      <c r="A187" s="84" t="s">
        <v>66</v>
      </c>
      <c r="E187" s="46">
        <f>Poland!E187+Austria!E187+'Czech Republic'!E187+Greece!E193+Hungary!E187+Slovakia!E187+Croatia!E187</f>
        <v>22.850900328201728</v>
      </c>
      <c r="F187" s="46">
        <f>Poland!F187+Austria!F187+'Czech Republic'!F187+Greece!F193+Hungary!F187+Slovakia!F187+Croatia!F187</f>
        <v>25.724722215587949</v>
      </c>
      <c r="G187" s="46">
        <f>Poland!G187+Austria!G187+'Czech Republic'!G187+Greece!G193+Hungary!G187+Slovakia!G187+Croatia!G187</f>
        <v>33.170624406455516</v>
      </c>
      <c r="H187" s="46">
        <f>Poland!H187+Austria!H187+'Czech Republic'!H187+Greece!H193+Hungary!H187+Slovakia!H187+Croatia!H187</f>
        <v>47.485611031841458</v>
      </c>
      <c r="I187" s="46">
        <f>Poland!I187+Austria!I187+'Czech Republic'!I187+Greece!I193+Hungary!I187+Slovakia!I187+Croatia!I187</f>
        <v>83.334978549495659</v>
      </c>
      <c r="J187" s="46">
        <f>Poland!J187+Austria!J187+'Czech Republic'!J187+Greece!J193+Hungary!J187+Slovakia!J187+Croatia!J187</f>
        <v>118.179552518759</v>
      </c>
      <c r="K187" s="46">
        <f>Poland!K187+Austria!K187+'Czech Republic'!K187+Greece!K193+Hungary!K187+Slovakia!K187+Croatia!K187</f>
        <v>164.23829799647933</v>
      </c>
      <c r="L187" s="46">
        <f>Poland!L187+Austria!L187+'Czech Republic'!L187+Greece!L193+Hungary!L187+Slovakia!L187+Croatia!L187</f>
        <v>220.48486571638472</v>
      </c>
      <c r="M187" s="46">
        <f>Poland!M187+Austria!M187+'Czech Republic'!M187+Greece!M193+Hungary!M187+Slovakia!M187+Croatia!M187</f>
        <v>289.57623225453682</v>
      </c>
      <c r="N187" s="46">
        <f>Poland!N187+Austria!N187+'Czech Republic'!N187+Greece!N193+Hungary!N187+Slovakia!N187+Croatia!N187</f>
        <v>379.75156479068943</v>
      </c>
      <c r="O187" s="46">
        <f>Poland!O187+Austria!O187+'Czech Republic'!O187+Greece!O193+Hungary!O187+Slovakia!O187+Croatia!O187</f>
        <v>484.43455777762267</v>
      </c>
      <c r="P187" s="46">
        <f>Poland!P187+Austria!P187+'Czech Republic'!P187+Greece!P193+Hungary!P187+Slovakia!P187+Croatia!P187</f>
        <v>602.23522661232323</v>
      </c>
      <c r="R187" s="57"/>
      <c r="S187" s="57">
        <f>(P187/J187)^(1/6)-1</f>
        <v>0.31180908908542571</v>
      </c>
    </row>
    <row r="188" spans="1:19" x14ac:dyDescent="0.2">
      <c r="A188" s="62" t="s">
        <v>4</v>
      </c>
      <c r="E188" s="46"/>
      <c r="F188" s="63">
        <f t="shared" ref="F188" si="202">F187/E187-1</f>
        <v>0.12576405507486532</v>
      </c>
      <c r="G188" s="63">
        <f t="shared" ref="G188" si="203">G187/F187-1</f>
        <v>0.28944538753291993</v>
      </c>
      <c r="H188" s="63">
        <f t="shared" ref="H188" si="204">H187/G187-1</f>
        <v>0.43155613985367203</v>
      </c>
      <c r="I188" s="63">
        <f t="shared" ref="I188" si="205">I187/H187-1</f>
        <v>0.75495222107630511</v>
      </c>
      <c r="J188" s="63">
        <f t="shared" ref="J188" si="206">J187/I187-1</f>
        <v>0.41812663272683137</v>
      </c>
      <c r="K188" s="63">
        <f t="shared" ref="K188" si="207">K187/J187-1</f>
        <v>0.38973531796381855</v>
      </c>
      <c r="L188" s="63">
        <f t="shared" ref="L188" si="208">L187/K187-1</f>
        <v>0.34246925598992206</v>
      </c>
      <c r="M188" s="63">
        <f t="shared" ref="M188" si="209">M187/L187-1</f>
        <v>0.31336103869834808</v>
      </c>
      <c r="N188" s="63">
        <f t="shared" ref="N188" si="210">N187/M187-1</f>
        <v>0.31140446794987198</v>
      </c>
      <c r="O188" s="63">
        <f t="shared" ref="O188" si="211">O187/N187-1</f>
        <v>0.27566178178787015</v>
      </c>
      <c r="P188" s="63">
        <f t="shared" ref="P188" si="212">P187/O187-1</f>
        <v>0.2431714809428942</v>
      </c>
      <c r="R188" s="109"/>
      <c r="S188" s="109"/>
    </row>
    <row r="189" spans="1:19" x14ac:dyDescent="0.2">
      <c r="A189" s="84" t="s">
        <v>67</v>
      </c>
      <c r="E189" s="46">
        <f>Poland!E189+Austria!E189+'Czech Republic'!E189+Greece!E195+Hungary!E189+Slovakia!E189+Croatia!E189</f>
        <v>17.968744889608857</v>
      </c>
      <c r="F189" s="46">
        <f>Poland!F189+Austria!F189+'Czech Republic'!F189+Greece!F195+Hungary!F189+Slovakia!F189+Croatia!F189</f>
        <v>20.323787550078542</v>
      </c>
      <c r="G189" s="46">
        <f>Poland!G189+Austria!G189+'Czech Republic'!G189+Greece!G195+Hungary!G189+Slovakia!G189+Croatia!G189</f>
        <v>26.553276867320779</v>
      </c>
      <c r="H189" s="46">
        <f>Poland!H189+Austria!H189+'Czech Republic'!H189+Greece!H195+Hungary!H189+Slovakia!H189+Croatia!H189</f>
        <v>38.768867743649331</v>
      </c>
      <c r="I189" s="46">
        <f>Poland!I189+Austria!I189+'Czech Republic'!I189+Greece!I195+Hungary!I189+Slovakia!I189+Croatia!I189</f>
        <v>66.697857234830764</v>
      </c>
      <c r="J189" s="46">
        <f>Poland!J189+Austria!J189+'Czech Republic'!J189+Greece!J195+Hungary!J189+Slovakia!J189+Croatia!J189</f>
        <v>94.688938703025855</v>
      </c>
      <c r="K189" s="46">
        <f>Poland!K189+Austria!K189+'Czech Republic'!K189+Greece!K195+Hungary!K189+Slovakia!K189+Croatia!K189</f>
        <v>133.18344563161662</v>
      </c>
      <c r="L189" s="46">
        <f>Poland!L189+Austria!L189+'Czech Republic'!L189+Greece!L195+Hungary!L189+Slovakia!L189+Croatia!L189</f>
        <v>180.32079813036174</v>
      </c>
      <c r="M189" s="46">
        <f>Poland!M189+Austria!M189+'Czech Republic'!M189+Greece!M195+Hungary!M189+Slovakia!M189+Croatia!M189</f>
        <v>235.92071208506957</v>
      </c>
      <c r="N189" s="46">
        <f>Poland!N189+Austria!N189+'Czech Republic'!N189+Greece!N195+Hungary!N189+Slovakia!N189+Croatia!N189</f>
        <v>309.78297182993003</v>
      </c>
      <c r="O189" s="46">
        <f>Poland!O189+Austria!O189+'Czech Republic'!O189+Greece!O195+Hungary!O189+Slovakia!O189+Croatia!O189</f>
        <v>397.29658877527203</v>
      </c>
      <c r="P189" s="46">
        <f>Poland!P189+Austria!P189+'Czech Republic'!P189+Greece!P195+Hungary!P189+Slovakia!P189+Croatia!P189</f>
        <v>493.99928531356016</v>
      </c>
      <c r="R189" s="57"/>
      <c r="S189" s="57">
        <f>(P189/J189)^(1/6)-1</f>
        <v>0.31695573726821991</v>
      </c>
    </row>
    <row r="190" spans="1:19" x14ac:dyDescent="0.2">
      <c r="A190" s="62" t="s">
        <v>4</v>
      </c>
      <c r="E190" s="46"/>
      <c r="F190" s="63">
        <f t="shared" ref="F190" si="213">F189/E189-1</f>
        <v>0.1310632809880663</v>
      </c>
      <c r="G190" s="63">
        <f t="shared" ref="G190" si="214">G189/F189-1</f>
        <v>0.30651222376205967</v>
      </c>
      <c r="H190" s="63">
        <f t="shared" ref="H190" si="215">H189/G189-1</f>
        <v>0.46004080541043613</v>
      </c>
      <c r="I190" s="63">
        <f t="shared" ref="I190" si="216">I189/H189-1</f>
        <v>0.72039734757939744</v>
      </c>
      <c r="J190" s="63">
        <f t="shared" ref="J190" si="217">J189/I189-1</f>
        <v>0.4196698758948687</v>
      </c>
      <c r="K190" s="63">
        <f t="shared" ref="K190" si="218">K189/J189-1</f>
        <v>0.40653647042471963</v>
      </c>
      <c r="L190" s="63">
        <f t="shared" ref="L190" si="219">L189/K189-1</f>
        <v>0.35392801466577395</v>
      </c>
      <c r="M190" s="63">
        <f t="shared" ref="M190" si="220">M189/L189-1</f>
        <v>0.30833888564818923</v>
      </c>
      <c r="N190" s="63">
        <f t="shared" ref="N190" si="221">N189/M189-1</f>
        <v>0.31308086132864332</v>
      </c>
      <c r="O190" s="63">
        <f t="shared" ref="O190" si="222">O189/N189-1</f>
        <v>0.28249976565331258</v>
      </c>
      <c r="P190" s="63">
        <f t="shared" ref="P190" si="223">P189/O189-1</f>
        <v>0.24340177910006511</v>
      </c>
      <c r="R190" s="109"/>
      <c r="S190" s="109"/>
    </row>
    <row r="191" spans="1:19" x14ac:dyDescent="0.2">
      <c r="A191" s="84" t="s">
        <v>70</v>
      </c>
      <c r="E191" s="46">
        <f>Poland!E191+Austria!E191+'Czech Republic'!E191+Greece!E197+Hungary!E191+Slovakia!E191+Croatia!E191</f>
        <v>16.514295043596118</v>
      </c>
      <c r="F191" s="46">
        <f>Poland!F191+Austria!F191+'Czech Republic'!F191+Greece!F197+Hungary!F191+Slovakia!F191+Croatia!F191</f>
        <v>18.561565814290951</v>
      </c>
      <c r="G191" s="46">
        <f>Poland!G191+Austria!G191+'Czech Republic'!G191+Greece!G197+Hungary!G191+Slovakia!G191+Croatia!G191</f>
        <v>24.149005949150222</v>
      </c>
      <c r="H191" s="46">
        <f>Poland!H191+Austria!H191+'Czech Republic'!H191+Greece!H197+Hungary!H191+Slovakia!H191+Croatia!H191</f>
        <v>34.867198587640395</v>
      </c>
      <c r="I191" s="46">
        <f>Poland!I191+Austria!I191+'Czech Republic'!I191+Greece!I197+Hungary!I191+Slovakia!I191+Croatia!I191</f>
        <v>60.424340394599781</v>
      </c>
      <c r="J191" s="46">
        <f>Poland!J191+Austria!J191+'Czech Republic'!J191+Greece!J197+Hungary!J191+Slovakia!J191+Croatia!J191</f>
        <v>85.750114335420733</v>
      </c>
      <c r="K191" s="46">
        <f>Poland!K191+Austria!K191+'Czech Republic'!K191+Greece!K197+Hungary!K191+Slovakia!K191+Croatia!K191</f>
        <v>119.51462850706692</v>
      </c>
      <c r="L191" s="46">
        <f>Poland!L191+Austria!L191+'Czech Republic'!L191+Greece!L197+Hungary!L191+Slovakia!L191+Croatia!L191</f>
        <v>160.79651267017147</v>
      </c>
      <c r="M191" s="46">
        <f>Poland!M191+Austria!M191+'Czech Republic'!M191+Greece!M197+Hungary!M191+Slovakia!M191+Croatia!M191</f>
        <v>209.75736604543823</v>
      </c>
      <c r="N191" s="46">
        <f>Poland!N191+Austria!N191+'Czech Republic'!N191+Greece!N197+Hungary!N191+Slovakia!N191+Croatia!N191</f>
        <v>274.15478169002682</v>
      </c>
      <c r="O191" s="46">
        <f>Poland!O191+Austria!O191+'Czech Republic'!O191+Greece!O197+Hungary!O191+Slovakia!O191+Croatia!O191</f>
        <v>351.53412141139751</v>
      </c>
      <c r="P191" s="46">
        <f>Poland!P191+Austria!P191+'Czech Republic'!P191+Greece!P197+Hungary!P191+Slovakia!P191+Croatia!P191</f>
        <v>438.71794055818157</v>
      </c>
      <c r="R191" s="57"/>
      <c r="S191" s="57">
        <f>(P191/J191)^(1/6)-1</f>
        <v>0.31267872869831526</v>
      </c>
    </row>
    <row r="192" spans="1:19" x14ac:dyDescent="0.2">
      <c r="A192" s="62" t="s">
        <v>4</v>
      </c>
      <c r="E192" s="46"/>
      <c r="F192" s="63">
        <f t="shared" ref="F192" si="224">F191/E191-1</f>
        <v>0.12396961331320777</v>
      </c>
      <c r="G192" s="63">
        <f t="shared" ref="G192" si="225">G191/F191-1</f>
        <v>0.30102202533782907</v>
      </c>
      <c r="H192" s="63">
        <f t="shared" ref="H192" si="226">H191/G191-1</f>
        <v>0.44383576951610859</v>
      </c>
      <c r="I192" s="63">
        <f t="shared" ref="I192" si="227">I191/H191-1</f>
        <v>0.73298523661774184</v>
      </c>
      <c r="J192" s="63">
        <f t="shared" ref="J192" si="228">J191/I191-1</f>
        <v>0.41913198845749178</v>
      </c>
      <c r="K192" s="63">
        <f t="shared" ref="K192" si="229">K191/J191-1</f>
        <v>0.39375474229191898</v>
      </c>
      <c r="L192" s="63">
        <f t="shared" ref="L192" si="230">L191/K191-1</f>
        <v>0.3454128141365016</v>
      </c>
      <c r="M192" s="63">
        <f t="shared" ref="M192" si="231">M191/L191-1</f>
        <v>0.30448952257873962</v>
      </c>
      <c r="N192" s="63">
        <f t="shared" ref="N192" si="232">N191/M191-1</f>
        <v>0.30700907843512226</v>
      </c>
      <c r="O192" s="63">
        <f t="shared" ref="O192" si="233">O191/N191-1</f>
        <v>0.28224690900653204</v>
      </c>
      <c r="P192" s="63">
        <f t="shared" ref="P192" si="234">P191/O191-1</f>
        <v>0.24800954967541711</v>
      </c>
      <c r="R192" s="109"/>
      <c r="S192" s="109"/>
    </row>
    <row r="193" spans="1:19" x14ac:dyDescent="0.2">
      <c r="A193" s="84" t="s">
        <v>68</v>
      </c>
      <c r="E193" s="46">
        <f>Poland!E193+Austria!E193+'Czech Republic'!E193+Greece!E199+Hungary!E193+Slovakia!E193+Croatia!E193</f>
        <v>13.91700090705355</v>
      </c>
      <c r="F193" s="46">
        <f>Poland!F193+Austria!F193+'Czech Republic'!F193+Greece!F199+Hungary!F193+Slovakia!F193+Croatia!F193</f>
        <v>15.497795618013809</v>
      </c>
      <c r="G193" s="46">
        <f>Poland!G193+Austria!G193+'Czech Republic'!G193+Greece!G199+Hungary!G193+Slovakia!G193+Croatia!G193</f>
        <v>19.884110142943634</v>
      </c>
      <c r="H193" s="46">
        <f>Poland!H193+Austria!H193+'Czech Republic'!H193+Greece!H199+Hungary!H193+Slovakia!H193+Croatia!H193</f>
        <v>28.060658805208739</v>
      </c>
      <c r="I193" s="46">
        <f>Poland!I193+Austria!I193+'Czech Republic'!I193+Greece!I199+Hungary!I193+Slovakia!I193+Croatia!I193</f>
        <v>48.221280880773357</v>
      </c>
      <c r="J193" s="46">
        <f>Poland!J193+Austria!J193+'Czech Republic'!J193+Greece!J199+Hungary!J193+Slovakia!J193+Croatia!J193</f>
        <v>67.58258112308927</v>
      </c>
      <c r="K193" s="46">
        <f>Poland!K193+Austria!K193+'Czech Republic'!K193+Greece!K199+Hungary!K193+Slovakia!K193+Croatia!K193</f>
        <v>95.074512332993336</v>
      </c>
      <c r="L193" s="46">
        <f>Poland!L193+Austria!L193+'Czech Republic'!L193+Greece!L199+Hungary!L193+Slovakia!L193+Croatia!L193</f>
        <v>129.05819347769864</v>
      </c>
      <c r="M193" s="46">
        <f>Poland!M193+Austria!M193+'Czech Republic'!M193+Greece!M199+Hungary!M193+Slovakia!M193+Croatia!M193</f>
        <v>169.73086412243325</v>
      </c>
      <c r="N193" s="46">
        <f>Poland!N193+Austria!N193+'Czech Republic'!N193+Greece!N199+Hungary!N193+Slovakia!N193+Croatia!N193</f>
        <v>224.84744122319833</v>
      </c>
      <c r="O193" s="46">
        <f>Poland!O193+Austria!O193+'Czech Republic'!O193+Greece!O199+Hungary!O193+Slovakia!O193+Croatia!O193</f>
        <v>291.27178014182294</v>
      </c>
      <c r="P193" s="46">
        <f>Poland!P193+Austria!P193+'Czech Republic'!P193+Greece!P199+Hungary!P193+Slovakia!P193+Croatia!P193</f>
        <v>367.04982983363277</v>
      </c>
      <c r="R193" s="57"/>
      <c r="S193" s="57">
        <f>(P193/J193)^(1/6)-1</f>
        <v>0.32581127726949699</v>
      </c>
    </row>
    <row r="194" spans="1:19" x14ac:dyDescent="0.2">
      <c r="A194" s="62" t="s">
        <v>4</v>
      </c>
      <c r="E194" s="46"/>
      <c r="F194" s="63">
        <f t="shared" ref="F194" si="235">F193/E193-1</f>
        <v>0.11358731105342268</v>
      </c>
      <c r="G194" s="63">
        <f t="shared" ref="G194" si="236">G193/F193-1</f>
        <v>0.28302828563769467</v>
      </c>
      <c r="H194" s="63">
        <f t="shared" ref="H194" si="237">H193/G193-1</f>
        <v>0.41121018760634631</v>
      </c>
      <c r="I194" s="63">
        <f t="shared" ref="I194" si="238">I193/H193-1</f>
        <v>0.71846574292911169</v>
      </c>
      <c r="J194" s="63">
        <f t="shared" ref="J194" si="239">J193/I193-1</f>
        <v>0.40150945575640229</v>
      </c>
      <c r="K194" s="63">
        <f t="shared" ref="K194" si="240">K193/J193-1</f>
        <v>0.40679019287281371</v>
      </c>
      <c r="L194" s="63">
        <f t="shared" ref="L194" si="241">L193/K193-1</f>
        <v>0.35744260276276041</v>
      </c>
      <c r="M194" s="63">
        <f t="shared" ref="M194" si="242">M193/L193-1</f>
        <v>0.31514985254898109</v>
      </c>
      <c r="N194" s="63">
        <f t="shared" ref="N194" si="243">N193/M193-1</f>
        <v>0.32472925525794438</v>
      </c>
      <c r="O194" s="63">
        <f t="shared" ref="O194" si="244">O193/N193-1</f>
        <v>0.29541959008858565</v>
      </c>
      <c r="P194" s="63">
        <f t="shared" ref="P194" si="245">P193/O193-1</f>
        <v>0.26016268948166821</v>
      </c>
      <c r="R194" s="109"/>
      <c r="S194" s="109"/>
    </row>
    <row r="195" spans="1:19" x14ac:dyDescent="0.2">
      <c r="A195" s="84" t="s">
        <v>73</v>
      </c>
      <c r="E195" s="46">
        <f>Poland!E195+Austria!E195+'Czech Republic'!E195+Greece!E201+Hungary!E195+Slovakia!E195+Croatia!E195</f>
        <v>10.438372642521422</v>
      </c>
      <c r="F195" s="46">
        <f>Poland!F195+Austria!F195+'Czech Republic'!F195+Greece!F201+Hungary!F195+Slovakia!F195+Croatia!F195</f>
        <v>11.677513888749512</v>
      </c>
      <c r="G195" s="46">
        <f>Poland!G195+Austria!G195+'Czech Republic'!G195+Greece!G201+Hungary!G195+Slovakia!G195+Croatia!G195</f>
        <v>15.197602509189824</v>
      </c>
      <c r="H195" s="46">
        <f>Poland!H195+Austria!H195+'Czech Republic'!H195+Greece!H201+Hungary!H195+Slovakia!H195+Croatia!H195</f>
        <v>20.828670410656205</v>
      </c>
      <c r="I195" s="46">
        <f>Poland!I195+Austria!I195+'Czech Republic'!I195+Greece!I201+Hungary!I195+Slovakia!I195+Croatia!I195</f>
        <v>34.889381015540522</v>
      </c>
      <c r="J195" s="46">
        <f>Poland!J195+Austria!J195+'Czech Republic'!J195+Greece!J201+Hungary!J195+Slovakia!J195+Croatia!J195</f>
        <v>49.709337463320914</v>
      </c>
      <c r="K195" s="46">
        <f>Poland!K195+Austria!K195+'Czech Republic'!K195+Greece!K201+Hungary!K195+Slovakia!K195+Croatia!K195</f>
        <v>68.854483063760014</v>
      </c>
      <c r="L195" s="46">
        <f>Poland!L195+Austria!L195+'Czech Republic'!L195+Greece!L201+Hungary!L195+Slovakia!L195+Croatia!L195</f>
        <v>92.324571624292133</v>
      </c>
      <c r="M195" s="46">
        <f>Poland!M195+Austria!M195+'Czech Republic'!M195+Greece!M201+Hungary!M195+Slovakia!M195+Croatia!M195</f>
        <v>120.03819931128821</v>
      </c>
      <c r="N195" s="46">
        <f>Poland!N195+Austria!N195+'Czech Republic'!N195+Greece!N201+Hungary!N195+Slovakia!N195+Croatia!N195</f>
        <v>154.95288614324701</v>
      </c>
      <c r="O195" s="46">
        <f>Poland!O195+Austria!O195+'Czech Republic'!O195+Greece!O201+Hungary!O195+Slovakia!O195+Croatia!O195</f>
        <v>194.73486510933216</v>
      </c>
      <c r="P195" s="46">
        <f>Poland!P195+Austria!P195+'Czech Republic'!P195+Greece!P201+Hungary!P195+Slovakia!P195+Croatia!P195</f>
        <v>237.88008847385413</v>
      </c>
      <c r="R195" s="57"/>
      <c r="S195" s="57">
        <f>(P195/J195)^(1/6)-1</f>
        <v>0.29813547826794173</v>
      </c>
    </row>
    <row r="196" spans="1:19" x14ac:dyDescent="0.2">
      <c r="A196" s="62" t="s">
        <v>4</v>
      </c>
      <c r="E196" s="46"/>
      <c r="F196" s="63">
        <f t="shared" ref="F196" si="246">F195/E195-1</f>
        <v>0.11871019445889153</v>
      </c>
      <c r="G196" s="63">
        <f t="shared" ref="G196" si="247">G195/F195-1</f>
        <v>0.30144161282751081</v>
      </c>
      <c r="H196" s="63">
        <f t="shared" ref="H196" si="248">H195/G195-1</f>
        <v>0.37052343605258353</v>
      </c>
      <c r="I196" s="63">
        <f t="shared" ref="I196" si="249">I195/H195-1</f>
        <v>0.67506520232278899</v>
      </c>
      <c r="J196" s="63">
        <f t="shared" ref="J196" si="250">J195/I195-1</f>
        <v>0.42476983014342529</v>
      </c>
      <c r="K196" s="63">
        <f t="shared" ref="K196" si="251">K195/J195-1</f>
        <v>0.38514183808154256</v>
      </c>
      <c r="L196" s="63">
        <f t="shared" ref="L196" si="252">L195/K195-1</f>
        <v>0.34086507539093081</v>
      </c>
      <c r="M196" s="63">
        <f t="shared" ref="M196" si="253">M195/L195-1</f>
        <v>0.30017607663293133</v>
      </c>
      <c r="N196" s="63">
        <f t="shared" ref="N196" si="254">N195/M195-1</f>
        <v>0.29086313383805873</v>
      </c>
      <c r="O196" s="63">
        <f t="shared" ref="O196" si="255">O195/N195-1</f>
        <v>0.2567359663717943</v>
      </c>
      <c r="P196" s="63">
        <f t="shared" ref="P196" si="256">P195/O195-1</f>
        <v>0.22155880170866404</v>
      </c>
      <c r="R196" s="109"/>
      <c r="S196" s="109"/>
    </row>
    <row r="197" spans="1:19" x14ac:dyDescent="0.2">
      <c r="A197" s="84" t="s">
        <v>65</v>
      </c>
      <c r="E197" s="46">
        <f>Poland!E197+Austria!E197+'Czech Republic'!E197+Greece!E203+Hungary!E197+Slovakia!E197+Croatia!E197</f>
        <v>4.8132989351511402</v>
      </c>
      <c r="F197" s="46">
        <f>Poland!F197+Austria!F197+'Czech Republic'!F197+Greece!F203+Hungary!F197+Slovakia!F197+Croatia!F197</f>
        <v>5.5582777635601426</v>
      </c>
      <c r="G197" s="46">
        <f>Poland!G197+Austria!G197+'Czech Republic'!G197+Greece!G203+Hungary!G197+Slovakia!G197+Croatia!G197</f>
        <v>7.6041549388944203</v>
      </c>
      <c r="H197" s="46">
        <f>Poland!H197+Austria!H197+'Czech Republic'!H197+Greece!H203+Hungary!H197+Slovakia!H197+Croatia!H197</f>
        <v>11.435608170623128</v>
      </c>
      <c r="I197" s="46">
        <f>Poland!I197+Austria!I197+'Czech Republic'!I197+Greece!I203+Hungary!I197+Slovakia!I197+Croatia!I197</f>
        <v>21.086347392019466</v>
      </c>
      <c r="J197" s="46">
        <f>Poland!J197+Austria!J197+'Czech Republic'!J197+Greece!J203+Hungary!J197+Slovakia!J197+Croatia!J197</f>
        <v>31.413721924814361</v>
      </c>
      <c r="K197" s="46">
        <f>Poland!K197+Austria!K197+'Czech Republic'!K197+Greece!K203+Hungary!K197+Slovakia!K197+Croatia!K197</f>
        <v>49.005481135640075</v>
      </c>
      <c r="L197" s="46">
        <f>Poland!L197+Austria!L197+'Czech Republic'!L197+Greece!L203+Hungary!L197+Slovakia!L197+Croatia!L197</f>
        <v>69.951764017566234</v>
      </c>
      <c r="M197" s="46">
        <f>Poland!M197+Austria!M197+'Czech Republic'!M197+Greece!M203+Hungary!M197+Slovakia!M197+Croatia!M197</f>
        <v>96.784156409200278</v>
      </c>
      <c r="N197" s="46">
        <f>Poland!N197+Austria!N197+'Czech Republic'!N197+Greece!N203+Hungary!N197+Slovakia!N197+Croatia!N197</f>
        <v>136.93990553482828</v>
      </c>
      <c r="O197" s="46">
        <f>Poland!O197+Austria!O197+'Czech Republic'!O197+Greece!O203+Hungary!O197+Slovakia!O197+Croatia!O197</f>
        <v>185.16553692709593</v>
      </c>
      <c r="P197" s="46">
        <f>Poland!P197+Austria!P197+'Czech Republic'!P197+Greece!P203+Hungary!P197+Slovakia!P197+Croatia!P197</f>
        <v>239.73113334674409</v>
      </c>
      <c r="R197" s="57"/>
      <c r="S197" s="57">
        <f>(P197/J197)^(1/6)-1</f>
        <v>0.40313946734995798</v>
      </c>
    </row>
    <row r="198" spans="1:19" x14ac:dyDescent="0.2">
      <c r="A198" s="62" t="s">
        <v>4</v>
      </c>
      <c r="E198" s="46"/>
      <c r="F198" s="63">
        <f t="shared" ref="F198" si="257">F197/E197-1</f>
        <v>0.15477510091228308</v>
      </c>
      <c r="G198" s="63">
        <f t="shared" ref="G198" si="258">G197/F197-1</f>
        <v>0.36807753451023451</v>
      </c>
      <c r="H198" s="63">
        <f t="shared" ref="H198" si="259">H197/G197-1</f>
        <v>0.50386311990188992</v>
      </c>
      <c r="I198" s="63">
        <f t="shared" ref="I198" si="260">I197/H197-1</f>
        <v>0.84392006768717986</v>
      </c>
      <c r="J198" s="63">
        <f t="shared" ref="J198" si="261">J197/I197-1</f>
        <v>0.48976592962247634</v>
      </c>
      <c r="K198" s="63">
        <f t="shared" ref="K198" si="262">K197/J197-1</f>
        <v>0.56000238535662383</v>
      </c>
      <c r="L198" s="63">
        <f t="shared" ref="L198" si="263">L197/K197-1</f>
        <v>0.427427348870423</v>
      </c>
      <c r="M198" s="63">
        <f t="shared" ref="M198" si="264">M197/L197-1</f>
        <v>0.38358421361462613</v>
      </c>
      <c r="N198" s="63">
        <f t="shared" ref="N198" si="265">N197/M197-1</f>
        <v>0.41490002718885921</v>
      </c>
      <c r="O198" s="63">
        <f t="shared" ref="O198" si="266">O197/N197-1</f>
        <v>0.3521663842538747</v>
      </c>
      <c r="P198" s="63">
        <f t="shared" ref="P198" si="267">P197/O197-1</f>
        <v>0.29468548697121721</v>
      </c>
      <c r="R198" s="109"/>
      <c r="S198" s="109"/>
    </row>
    <row r="199" spans="1:19" x14ac:dyDescent="0.2">
      <c r="A199" s="84" t="s">
        <v>71</v>
      </c>
      <c r="E199" s="46">
        <f>Poland!E199+Austria!E199+'Czech Republic'!E199+Greece!E205+Hungary!E199+Slovakia!E199+Croatia!E199</f>
        <v>1.6582496565332956</v>
      </c>
      <c r="F199" s="46">
        <f>Poland!F199+Austria!F199+'Czech Republic'!F199+Greece!F205+Hungary!F199+Slovakia!F199+Croatia!F199</f>
        <v>1.9562133082560931</v>
      </c>
      <c r="G199" s="46">
        <f>Poland!G199+Austria!G199+'Czech Republic'!G199+Greece!G205+Hungary!G199+Slovakia!G199+Croatia!G199</f>
        <v>2.5348251722737438</v>
      </c>
      <c r="H199" s="46">
        <f>Poland!H199+Austria!H199+'Czech Republic'!H199+Greece!H205+Hungary!H199+Slovakia!H199+Croatia!H199</f>
        <v>3.744554842849682</v>
      </c>
      <c r="I199" s="46">
        <f>Poland!I199+Austria!I199+'Czech Republic'!I199+Greece!I205+Hungary!I199+Slovakia!I199+Croatia!I199</f>
        <v>6.8887178165170919</v>
      </c>
      <c r="J199" s="46">
        <f>Poland!J199+Austria!J199+'Czech Republic'!J199+Greece!J205+Hungary!J199+Slovakia!J199+Croatia!J199</f>
        <v>9.9871569403679334</v>
      </c>
      <c r="K199" s="46">
        <f>Poland!K199+Austria!K199+'Czech Republic'!K199+Greece!K205+Hungary!K199+Slovakia!K199+Croatia!K199</f>
        <v>14.370673487088794</v>
      </c>
      <c r="L199" s="46">
        <f>Poland!L199+Austria!L199+'Czech Republic'!L199+Greece!L205+Hungary!L199+Slovakia!L199+Croatia!L199</f>
        <v>19.524417897914496</v>
      </c>
      <c r="M199" s="46">
        <f>Poland!M199+Austria!M199+'Czech Republic'!M199+Greece!M205+Hungary!M199+Slovakia!M199+Croatia!M199</f>
        <v>25.921997493972789</v>
      </c>
      <c r="N199" s="46">
        <f>Poland!N199+Austria!N199+'Czech Republic'!N199+Greece!N205+Hungary!N199+Slovakia!N199+Croatia!N199</f>
        <v>34.476744502493609</v>
      </c>
      <c r="O199" s="46">
        <f>Poland!O199+Austria!O199+'Czech Republic'!O199+Greece!O205+Hungary!O199+Slovakia!O199+Croatia!O199</f>
        <v>44.605968486356808</v>
      </c>
      <c r="P199" s="46">
        <f>Poland!P199+Austria!P199+'Czech Republic'!P199+Greece!P205+Hungary!P199+Slovakia!P199+Croatia!P199</f>
        <v>55.931270167476491</v>
      </c>
      <c r="R199" s="57"/>
      <c r="S199" s="57">
        <f>(P199/J199)^(1/6)-1</f>
        <v>0.33260713610192894</v>
      </c>
    </row>
    <row r="200" spans="1:19" x14ac:dyDescent="0.2">
      <c r="A200" s="62" t="s">
        <v>4</v>
      </c>
      <c r="E200" s="46"/>
      <c r="F200" s="63">
        <f t="shared" ref="F200" si="268">F199/E199-1</f>
        <v>0.17968564054806713</v>
      </c>
      <c r="G200" s="63">
        <f t="shared" ref="G200" si="269">G199/F199-1</f>
        <v>0.29578158045221881</v>
      </c>
      <c r="H200" s="63">
        <f t="shared" ref="H200" si="270">H199/G199-1</f>
        <v>0.47724382880844129</v>
      </c>
      <c r="I200" s="63">
        <f t="shared" ref="I200" si="271">I199/H199-1</f>
        <v>0.83966268505087194</v>
      </c>
      <c r="J200" s="63">
        <f t="shared" ref="J200" si="272">J199/I199-1</f>
        <v>0.4497845907436806</v>
      </c>
      <c r="K200" s="63">
        <f t="shared" ref="K200" si="273">K199/J199-1</f>
        <v>0.43891535628150136</v>
      </c>
      <c r="L200" s="63">
        <f t="shared" ref="L200" si="274">L199/K199-1</f>
        <v>0.35862928870077226</v>
      </c>
      <c r="M200" s="63">
        <f t="shared" ref="M200" si="275">M199/L199-1</f>
        <v>0.32767069571593477</v>
      </c>
      <c r="N200" s="63">
        <f t="shared" ref="N200" si="276">N199/M199-1</f>
        <v>0.33001881936412936</v>
      </c>
      <c r="O200" s="63">
        <f t="shared" ref="O200" si="277">O199/N199-1</f>
        <v>0.29379873680157309</v>
      </c>
      <c r="P200" s="63">
        <f t="shared" ref="P200" si="278">P199/O199-1</f>
        <v>0.25389655387896437</v>
      </c>
      <c r="R200" s="109"/>
      <c r="S200" s="109"/>
    </row>
    <row r="201" spans="1:19" x14ac:dyDescent="0.2">
      <c r="A201" s="84" t="s">
        <v>80</v>
      </c>
      <c r="E201" s="46">
        <f>Poland!E201+Austria!E201+'Czech Republic'!E201+Greece!E207+Hungary!E201+Slovakia!E201+Croatia!E201</f>
        <v>8.8110511954925226</v>
      </c>
      <c r="F201" s="46">
        <f>Poland!F201+Austria!F201+'Czech Republic'!F201+Greece!F207+Hungary!F201+Slovakia!F201+Croatia!F201</f>
        <v>9.6019885287042293</v>
      </c>
      <c r="G201" s="46">
        <f>Poland!G201+Austria!G201+'Czech Republic'!G201+Greece!G207+Hungary!G201+Slovakia!G201+Croatia!G201</f>
        <v>11.969160490597716</v>
      </c>
      <c r="H201" s="46">
        <f>Poland!H201+Austria!H201+'Czech Republic'!H201+Greece!H207+Hungary!H201+Slovakia!H201+Croatia!H201</f>
        <v>16.364267453410882</v>
      </c>
      <c r="I201" s="46">
        <f>Poland!I201+Austria!I201+'Czech Republic'!I201+Greece!I207+Hungary!I201+Slovakia!I201+Croatia!I201</f>
        <v>27.15537804652519</v>
      </c>
      <c r="J201" s="46">
        <f>Poland!J201+Austria!J201+'Czech Republic'!J201+Greece!J207+Hungary!J201+Slovakia!J201+Croatia!J201</f>
        <v>36.747630319718766</v>
      </c>
      <c r="K201" s="46">
        <f>Poland!K201+Austria!K201+'Czech Republic'!K201+Greece!K207+Hungary!K201+Slovakia!K201+Croatia!K201</f>
        <v>48.432796336843921</v>
      </c>
      <c r="L201" s="46">
        <f>Poland!L201+Austria!L201+'Czech Republic'!L201+Greece!L207+Hungary!L201+Slovakia!L201+Croatia!L201</f>
        <v>62.451160771467883</v>
      </c>
      <c r="M201" s="46">
        <f>Poland!M201+Austria!M201+'Czech Republic'!M201+Greece!M207+Hungary!M201+Slovakia!M201+Croatia!M201</f>
        <v>78.973359613631189</v>
      </c>
      <c r="N201" s="46">
        <f>Poland!N201+Austria!N201+'Czech Republic'!N201+Greece!N207+Hungary!N201+Slovakia!N201+Croatia!N201</f>
        <v>99.166191925953456</v>
      </c>
      <c r="O201" s="46">
        <f>Poland!O201+Austria!O201+'Czech Republic'!O201+Greece!O207+Hungary!O201+Slovakia!O201+Croatia!O201</f>
        <v>122.05414160269692</v>
      </c>
      <c r="P201" s="46">
        <f>Poland!P201+Austria!P201+'Czech Republic'!P201+Greece!P207+Hungary!P201+Slovakia!P201+Croatia!P201</f>
        <v>146.26590677179803</v>
      </c>
      <c r="R201" s="57"/>
      <c r="S201" s="57">
        <f>(P201/J201)^(1/6)-1</f>
        <v>0.25888375173957212</v>
      </c>
    </row>
    <row r="202" spans="1:19" x14ac:dyDescent="0.2">
      <c r="A202" s="62" t="s">
        <v>4</v>
      </c>
      <c r="E202" s="46"/>
      <c r="F202" s="63">
        <f t="shared" ref="F202" si="279">F201/E201-1</f>
        <v>8.976651203846453E-2</v>
      </c>
      <c r="G202" s="63">
        <f t="shared" ref="G202" si="280">G201/F201-1</f>
        <v>0.24652934700109785</v>
      </c>
      <c r="H202" s="63">
        <f t="shared" ref="H202" si="281">H201/G201-1</f>
        <v>0.36720260926116821</v>
      </c>
      <c r="I202" s="63">
        <f t="shared" ref="I202" si="282">I201/H201-1</f>
        <v>0.65943132644566171</v>
      </c>
      <c r="J202" s="63">
        <f t="shared" ref="J202" si="283">J201/I201-1</f>
        <v>0.35323582152895128</v>
      </c>
      <c r="K202" s="63">
        <f t="shared" ref="K202" si="284">K201/J201-1</f>
        <v>0.31798420511634728</v>
      </c>
      <c r="L202" s="63">
        <f t="shared" ref="L202" si="285">L201/K201-1</f>
        <v>0.28943950163703169</v>
      </c>
      <c r="M202" s="63">
        <f t="shared" ref="M202" si="286">M201/L201-1</f>
        <v>0.26456191747378721</v>
      </c>
      <c r="N202" s="63">
        <f t="shared" ref="N202" si="287">N201/M201-1</f>
        <v>0.2556916966824454</v>
      </c>
      <c r="O202" s="63">
        <f t="shared" ref="O202" si="288">O201/N201-1</f>
        <v>0.23080395881122162</v>
      </c>
      <c r="P202" s="63">
        <f t="shared" ref="P202" si="289">P201/O201-1</f>
        <v>0.19836905860936493</v>
      </c>
      <c r="R202" s="109"/>
      <c r="S202" s="109"/>
    </row>
    <row r="203" spans="1:19" x14ac:dyDescent="0.2">
      <c r="A203" s="84" t="s">
        <v>76</v>
      </c>
      <c r="E203" s="46">
        <f>Poland!E203+Austria!E203+'Czech Republic'!E203+Greece!E209+Hungary!E203+Slovakia!E203+Croatia!E203</f>
        <v>27.389205442266626</v>
      </c>
      <c r="F203" s="46">
        <f>Poland!F203+Austria!F203+'Czech Republic'!F203+Greece!F209+Hungary!F203+Slovakia!F203+Croatia!F203</f>
        <v>30.460996541513168</v>
      </c>
      <c r="G203" s="46">
        <f>Poland!G203+Austria!G203+'Czech Republic'!G203+Greece!G209+Hungary!G203+Slovakia!G203+Croatia!G203</f>
        <v>39.355288309673824</v>
      </c>
      <c r="H203" s="46">
        <f>Poland!H203+Austria!H203+'Czech Republic'!H203+Greece!H209+Hungary!H203+Slovakia!H203+Croatia!H203</f>
        <v>56.507869349665157</v>
      </c>
      <c r="I203" s="46">
        <f>Poland!I203+Austria!I203+'Czech Republic'!I203+Greece!I209+Hungary!I203+Slovakia!I203+Croatia!I203</f>
        <v>98.520778089108944</v>
      </c>
      <c r="J203" s="46">
        <f>Poland!J203+Austria!J203+'Czech Republic'!J203+Greece!J209+Hungary!J203+Slovakia!J203+Croatia!J203</f>
        <v>138.55173053570979</v>
      </c>
      <c r="K203" s="46">
        <f>Poland!K203+Austria!K203+'Czech Republic'!K203+Greece!K209+Hungary!K203+Slovakia!K203+Croatia!K203</f>
        <v>193.88483204439748</v>
      </c>
      <c r="L203" s="46">
        <f>Poland!L203+Austria!L203+'Czech Republic'!L203+Greece!L209+Hungary!L203+Slovakia!L203+Croatia!L203</f>
        <v>261.66627136747411</v>
      </c>
      <c r="M203" s="46">
        <f>Poland!M203+Austria!M203+'Czech Republic'!M203+Greece!M209+Hungary!M203+Slovakia!M203+Croatia!M203</f>
        <v>343.53824444317962</v>
      </c>
      <c r="N203" s="46">
        <f>Poland!N203+Austria!N203+'Czech Republic'!N203+Greece!N209+Hungary!N203+Slovakia!N203+Croatia!N203</f>
        <v>452.36872859672644</v>
      </c>
      <c r="O203" s="46">
        <f>Poland!O203+Austria!O203+'Czech Republic'!O203+Greece!O209+Hungary!O203+Slovakia!O203+Croatia!O203</f>
        <v>581.96536184092338</v>
      </c>
      <c r="P203" s="46">
        <f>Poland!P203+Austria!P203+'Czech Republic'!P203+Greece!P209+Hungary!P203+Slovakia!P203+Croatia!P203</f>
        <v>728.56295237944903</v>
      </c>
      <c r="R203" s="109"/>
      <c r="S203" s="109"/>
    </row>
    <row r="204" spans="1:19" x14ac:dyDescent="0.2">
      <c r="A204" s="62" t="s">
        <v>4</v>
      </c>
      <c r="E204" s="46"/>
      <c r="F204" s="63">
        <f t="shared" ref="F204" si="290">F203/E203-1</f>
        <v>0.11215334835913859</v>
      </c>
      <c r="G204" s="63">
        <f t="shared" ref="G204" si="291">G203/F203-1</f>
        <v>0.29198952030473602</v>
      </c>
      <c r="H204" s="63">
        <f t="shared" ref="H204" si="292">H203/G203-1</f>
        <v>0.43583929318528458</v>
      </c>
      <c r="I204" s="63">
        <f t="shared" ref="I204" si="293">I203/H203-1</f>
        <v>0.74348775175846793</v>
      </c>
      <c r="J204" s="63">
        <f t="shared" ref="J204" si="294">J203/I203-1</f>
        <v>0.40631989741690955</v>
      </c>
      <c r="K204" s="63">
        <f t="shared" ref="K204" si="295">K203/J203-1</f>
        <v>0.39936781225858708</v>
      </c>
      <c r="L204" s="63">
        <f t="shared" ref="L204" si="296">L203/K203-1</f>
        <v>0.34959640013281401</v>
      </c>
      <c r="M204" s="63">
        <f t="shared" ref="M204" si="297">M203/L203-1</f>
        <v>0.31288699398604436</v>
      </c>
      <c r="N204" s="63">
        <f t="shared" ref="N204" si="298">N203/M203-1</f>
        <v>0.31679292164382922</v>
      </c>
      <c r="O204" s="63">
        <f t="shared" ref="O204" si="299">O203/N203-1</f>
        <v>0.286484509320998</v>
      </c>
      <c r="P204" s="63">
        <f t="shared" ref="P204" si="300">P203/O203-1</f>
        <v>0.25190088646306275</v>
      </c>
      <c r="R204" s="109"/>
      <c r="S204" s="109"/>
    </row>
    <row r="205" spans="1:19" x14ac:dyDescent="0.2">
      <c r="A205" s="77" t="s">
        <v>23</v>
      </c>
      <c r="E205" s="56">
        <f t="shared" ref="E205:P205" si="301">E203+E201+E199+E197+E195+E193+E191+E189+E187+E185+E183+E181+E179</f>
        <v>262.18118999676597</v>
      </c>
      <c r="F205" s="56">
        <f t="shared" si="301"/>
        <v>294.68619031988771</v>
      </c>
      <c r="G205" s="56">
        <f t="shared" si="301"/>
        <v>384.31081486491524</v>
      </c>
      <c r="H205" s="56">
        <f t="shared" si="301"/>
        <v>550.48739736888365</v>
      </c>
      <c r="I205" s="56">
        <f t="shared" si="301"/>
        <v>958.5195856046073</v>
      </c>
      <c r="J205" s="56">
        <f t="shared" si="301"/>
        <v>1356.6545981641984</v>
      </c>
      <c r="K205" s="56">
        <f t="shared" si="301"/>
        <v>1909.1141828484779</v>
      </c>
      <c r="L205" s="56">
        <f t="shared" si="301"/>
        <v>2586.7700220844804</v>
      </c>
      <c r="M205" s="56">
        <f t="shared" si="301"/>
        <v>3404.5492883063471</v>
      </c>
      <c r="N205" s="56">
        <f t="shared" si="301"/>
        <v>4493.4782278694674</v>
      </c>
      <c r="O205" s="56">
        <f t="shared" si="301"/>
        <v>5785.1568329796773</v>
      </c>
      <c r="P205" s="56">
        <f t="shared" si="301"/>
        <v>7244.4574740351854</v>
      </c>
      <c r="R205" s="57"/>
      <c r="S205" s="57">
        <f>(P205/J205)^(1/6)-1</f>
        <v>0.32207500944138534</v>
      </c>
    </row>
    <row r="206" spans="1:19" x14ac:dyDescent="0.2">
      <c r="A206" s="74" t="s">
        <v>4</v>
      </c>
      <c r="E206" s="59"/>
      <c r="F206" s="59">
        <f t="shared" ref="F206:P206" si="302">F205/E205-1</f>
        <v>0.12397914710633007</v>
      </c>
      <c r="G206" s="59">
        <f t="shared" si="302"/>
        <v>0.30413581460243599</v>
      </c>
      <c r="H206" s="59">
        <f t="shared" si="302"/>
        <v>0.43240152521437425</v>
      </c>
      <c r="I206" s="59">
        <f t="shared" si="302"/>
        <v>0.7412198538712409</v>
      </c>
      <c r="J206" s="59">
        <f t="shared" si="302"/>
        <v>0.41536450432409122</v>
      </c>
      <c r="K206" s="59">
        <f t="shared" si="302"/>
        <v>0.4072219896146434</v>
      </c>
      <c r="L206" s="59">
        <f t="shared" si="302"/>
        <v>0.35495825515523216</v>
      </c>
      <c r="M206" s="59">
        <f t="shared" si="302"/>
        <v>0.3161391462094032</v>
      </c>
      <c r="N206" s="59">
        <f t="shared" si="302"/>
        <v>0.31984525625852434</v>
      </c>
      <c r="O206" s="59">
        <f t="shared" si="302"/>
        <v>0.28745629545926277</v>
      </c>
      <c r="P206" s="59">
        <f t="shared" si="302"/>
        <v>0.25224910632265218</v>
      </c>
      <c r="R206" s="109"/>
      <c r="S206" s="109"/>
    </row>
    <row r="207" spans="1:19" x14ac:dyDescent="0.2">
      <c r="R207" s="109"/>
      <c r="S207" s="109"/>
    </row>
    <row r="208" spans="1:19" x14ac:dyDescent="0.2">
      <c r="A208" s="67" t="s">
        <v>63</v>
      </c>
      <c r="R208" s="109"/>
      <c r="S208" s="109"/>
    </row>
    <row r="209" spans="1:19" x14ac:dyDescent="0.2">
      <c r="A209" s="68" t="s">
        <v>82</v>
      </c>
      <c r="B209" s="47" t="s">
        <v>180</v>
      </c>
      <c r="E209" s="46">
        <f>Poland!E209+Austria!E209+'Czech Republic'!E209+Greece!E215+Hungary!E209+Slovakia!E209+Croatia!E209</f>
        <v>8.8110511954925226</v>
      </c>
      <c r="F209" s="46">
        <f>Poland!F209+Austria!F209+'Czech Republic'!F209+Greece!F215+Hungary!F209+Slovakia!F209+Croatia!F209</f>
        <v>9.6019885287042293</v>
      </c>
      <c r="G209" s="46">
        <f>Poland!G209+Austria!G209+'Czech Republic'!G209+Greece!G215+Hungary!G209+Slovakia!G209+Croatia!G209</f>
        <v>11.969160490597716</v>
      </c>
      <c r="H209" s="46">
        <f>Poland!H209+Austria!H209+'Czech Republic'!H209+Greece!H215+Hungary!H209+Slovakia!H209+Croatia!H209</f>
        <v>16.364267453410882</v>
      </c>
      <c r="I209" s="46">
        <f>Poland!I209+Austria!I209+'Czech Republic'!I209+Greece!I215+Hungary!I209+Slovakia!I209+Croatia!I209</f>
        <v>27.15537804652519</v>
      </c>
      <c r="J209" s="46">
        <f>Poland!J209+Austria!J209+'Czech Republic'!J209+Greece!J215+Hungary!J209+Slovakia!J209+Croatia!J209</f>
        <v>36.747630319718766</v>
      </c>
      <c r="K209" s="46">
        <f>Poland!K209+Austria!K209+'Czech Republic'!K209+Greece!K215+Hungary!K209+Slovakia!K209+Croatia!K209</f>
        <v>48.432796336843921</v>
      </c>
      <c r="L209" s="46">
        <f>Poland!L209+Austria!L209+'Czech Republic'!L209+Greece!L215+Hungary!L209+Slovakia!L209+Croatia!L209</f>
        <v>62.451160771467883</v>
      </c>
      <c r="M209" s="46">
        <f>Poland!M209+Austria!M209+'Czech Republic'!M209+Greece!M215+Hungary!M209+Slovakia!M209+Croatia!M209</f>
        <v>78.973359613631189</v>
      </c>
      <c r="N209" s="46">
        <f>Poland!N209+Austria!N209+'Czech Republic'!N209+Greece!N215+Hungary!N209+Slovakia!N209+Croatia!N209</f>
        <v>99.166191925953456</v>
      </c>
      <c r="O209" s="46">
        <f>Poland!O209+Austria!O209+'Czech Republic'!O209+Greece!O215+Hungary!O209+Slovakia!O209+Croatia!O209</f>
        <v>122.05414160269692</v>
      </c>
      <c r="P209" s="46">
        <f>Poland!P209+Austria!P209+'Czech Republic'!P209+Greece!P215+Hungary!P209+Slovakia!P209+Croatia!P209</f>
        <v>146.26590677179803</v>
      </c>
      <c r="R209" s="57"/>
      <c r="S209" s="57">
        <f>(P209/J209)^(1/6)-1</f>
        <v>0.25888375173957212</v>
      </c>
    </row>
    <row r="210" spans="1:19" x14ac:dyDescent="0.2">
      <c r="A210" s="62" t="s">
        <v>4</v>
      </c>
      <c r="F210" s="63">
        <f t="shared" ref="F210:P210" si="303">F209/E209-1</f>
        <v>8.976651203846453E-2</v>
      </c>
      <c r="G210" s="63">
        <f t="shared" si="303"/>
        <v>0.24652934700109785</v>
      </c>
      <c r="H210" s="63">
        <f t="shared" si="303"/>
        <v>0.36720260926116821</v>
      </c>
      <c r="I210" s="63">
        <f t="shared" si="303"/>
        <v>0.65943132644566171</v>
      </c>
      <c r="J210" s="63">
        <f t="shared" si="303"/>
        <v>0.35323582152895128</v>
      </c>
      <c r="K210" s="63">
        <f t="shared" si="303"/>
        <v>0.31798420511634728</v>
      </c>
      <c r="L210" s="63">
        <f t="shared" si="303"/>
        <v>0.28943950163703169</v>
      </c>
      <c r="M210" s="63">
        <f t="shared" si="303"/>
        <v>0.26456191747378721</v>
      </c>
      <c r="N210" s="63">
        <f t="shared" si="303"/>
        <v>0.2556916966824454</v>
      </c>
      <c r="O210" s="63">
        <f t="shared" si="303"/>
        <v>0.23080395881122162</v>
      </c>
      <c r="P210" s="63">
        <f t="shared" si="303"/>
        <v>0.19836905860936493</v>
      </c>
      <c r="R210" s="109"/>
      <c r="S210" s="109"/>
    </row>
    <row r="211" spans="1:19" x14ac:dyDescent="0.2">
      <c r="A211" s="68" t="s">
        <v>10</v>
      </c>
      <c r="E211" s="46">
        <f>Poland!E211+Austria!E211+'Czech Republic'!E211+Greece!E217+Hungary!E211+Slovakia!E211+Croatia!E211</f>
        <v>91.085890295514005</v>
      </c>
      <c r="F211" s="46">
        <f>Poland!F211+Austria!F211+'Czech Republic'!F211+Greece!F217+Hungary!F211+Slovakia!F211+Croatia!F211</f>
        <v>99.183465850287647</v>
      </c>
      <c r="G211" s="46">
        <f>Poland!G211+Austria!G211+'Czech Republic'!G211+Greece!G217+Hungary!G211+Slovakia!G211+Croatia!G211</f>
        <v>126.29335882562216</v>
      </c>
      <c r="H211" s="46">
        <f>Poland!H211+Austria!H211+'Czech Republic'!H211+Greece!H217+Hungary!H211+Slovakia!H211+Croatia!H211</f>
        <v>173.37082180419398</v>
      </c>
      <c r="I211" s="46">
        <f>Poland!I211+Austria!I211+'Czech Republic'!I211+Greece!I217+Hungary!I211+Slovakia!I211+Croatia!I211</f>
        <v>289.85029771456198</v>
      </c>
      <c r="J211" s="46">
        <f>Poland!J211+Austria!J211+'Czech Republic'!J211+Greece!J217+Hungary!J211+Slovakia!J211+Croatia!J211</f>
        <v>396.78855996142886</v>
      </c>
      <c r="K211" s="46">
        <f>Poland!K211+Austria!K211+'Czech Republic'!K211+Greece!K217+Hungary!K211+Slovakia!K211+Croatia!K211</f>
        <v>533.73780555323708</v>
      </c>
      <c r="L211" s="46">
        <f>Poland!L211+Austria!L211+'Czech Republic'!L211+Greece!L217+Hungary!L211+Slovakia!L211+Croatia!L211</f>
        <v>698.67555157995719</v>
      </c>
      <c r="M211" s="46">
        <f>Poland!M211+Austria!M211+'Czech Republic'!M211+Greece!M217+Hungary!M211+Slovakia!M211+Croatia!M211</f>
        <v>895.00114527147093</v>
      </c>
      <c r="N211" s="46">
        <f>Poland!N211+Austria!N211+'Czech Republic'!N211+Greece!N217+Hungary!N211+Slovakia!N211+Croatia!N211</f>
        <v>1142.5729435097619</v>
      </c>
      <c r="O211" s="46">
        <f>Poland!O211+Austria!O211+'Czech Republic'!O211+Greece!O217+Hungary!O211+Slovakia!O211+Croatia!O211</f>
        <v>1423.4044054608864</v>
      </c>
      <c r="P211" s="46">
        <f>Poland!P211+Austria!P211+'Czech Republic'!P211+Greece!P217+Hungary!P211+Slovakia!P211+Croatia!P211</f>
        <v>1729.5453207416645</v>
      </c>
      <c r="R211" s="57"/>
      <c r="S211" s="57">
        <f>(P211/J211)^(1/6)-1</f>
        <v>0.27809205181520902</v>
      </c>
    </row>
    <row r="212" spans="1:19" x14ac:dyDescent="0.2">
      <c r="A212" s="62" t="s">
        <v>4</v>
      </c>
      <c r="F212" s="63">
        <f t="shared" ref="F212:P212" si="304">F211/E211-1</f>
        <v>8.8900438130453674E-2</v>
      </c>
      <c r="G212" s="63">
        <f t="shared" si="304"/>
        <v>0.27333076882245178</v>
      </c>
      <c r="H212" s="63">
        <f t="shared" si="304"/>
        <v>0.37276277562285265</v>
      </c>
      <c r="I212" s="63">
        <f t="shared" si="304"/>
        <v>0.67185166856923928</v>
      </c>
      <c r="J212" s="63">
        <f t="shared" si="304"/>
        <v>0.36894308230856909</v>
      </c>
      <c r="K212" s="63">
        <f t="shared" si="304"/>
        <v>0.34514413824108447</v>
      </c>
      <c r="L212" s="63">
        <f t="shared" si="304"/>
        <v>0.30902391457123146</v>
      </c>
      <c r="M212" s="63">
        <f t="shared" si="304"/>
        <v>0.28099679922612264</v>
      </c>
      <c r="N212" s="63">
        <f t="shared" si="304"/>
        <v>0.27661618037728619</v>
      </c>
      <c r="O212" s="63">
        <f t="shared" si="304"/>
        <v>0.24578865055955634</v>
      </c>
      <c r="P212" s="63">
        <f t="shared" si="304"/>
        <v>0.21507655456612995</v>
      </c>
      <c r="R212" s="109"/>
      <c r="S212" s="109"/>
    </row>
    <row r="213" spans="1:19" x14ac:dyDescent="0.2">
      <c r="A213" s="68" t="s">
        <v>11</v>
      </c>
      <c r="E213" s="46">
        <f>Poland!E213+Austria!E213+'Czech Republic'!E213+Greece!E219+Hungary!E213+Slovakia!E213+Croatia!E213</f>
        <v>157.47094957060827</v>
      </c>
      <c r="F213" s="46">
        <f>Poland!F213+Austria!F213+'Czech Republic'!F213+Greece!F219+Hungary!F213+Slovakia!F213+Croatia!F213</f>
        <v>180.34245817733574</v>
      </c>
      <c r="G213" s="46">
        <f>Poland!G213+Austria!G213+'Czech Republic'!G213+Greece!G219+Hungary!G213+Slovakia!G213+Croatia!G213</f>
        <v>238.44414060980094</v>
      </c>
      <c r="H213" s="46">
        <f>Poland!H213+Austria!H213+'Czech Republic'!H213+Greece!H219+Hungary!H213+Slovakia!H213+Croatia!H213</f>
        <v>349.31669994065567</v>
      </c>
      <c r="I213" s="46">
        <f>Poland!I213+Austria!I213+'Czech Republic'!I213+Greece!I219+Hungary!I213+Slovakia!I213+Croatia!I213</f>
        <v>620.42756245150076</v>
      </c>
      <c r="J213" s="46">
        <f>Poland!J213+Austria!J213+'Czech Republic'!J213+Greece!J219+Hungary!J213+Slovakia!J213+Croatia!J213</f>
        <v>891.70468595823627</v>
      </c>
      <c r="K213" s="46">
        <f>Poland!K213+Austria!K213+'Czech Republic'!K213+Greece!K219+Hungary!K213+Slovakia!K213+Croatia!K213</f>
        <v>1277.9380998227571</v>
      </c>
      <c r="L213" s="46">
        <f>Poland!L213+Austria!L213+'Czech Republic'!L213+Greece!L219+Hungary!L213+Slovakia!L213+Croatia!L213</f>
        <v>1755.6915457154887</v>
      </c>
      <c r="M213" s="46">
        <f>Poland!M213+Austria!M213+'Czech Republic'!M213+Greece!M219+Hungary!M213+Slovakia!M213+Croatia!M213</f>
        <v>2333.7906270120448</v>
      </c>
      <c r="N213" s="46">
        <f>Poland!N213+Austria!N213+'Czech Republic'!N213+Greece!N219+Hungary!N213+Slovakia!N213+Croatia!N213</f>
        <v>3114.7991868989234</v>
      </c>
      <c r="O213" s="46">
        <f>Poland!O213+Austria!O213+'Czech Republic'!O213+Greece!O219+Hungary!O213+Slovakia!O213+Croatia!O213</f>
        <v>4054.5327489889978</v>
      </c>
      <c r="P213" s="46">
        <f>Poland!P213+Austria!P213+'Czech Republic'!P213+Greece!P219+Hungary!P213+Slovakia!P213+Croatia!P213</f>
        <v>5128.9151131749804</v>
      </c>
      <c r="R213" s="57"/>
      <c r="S213" s="57">
        <f>(P213/J213)^(1/6)-1</f>
        <v>0.33854839318366858</v>
      </c>
    </row>
    <row r="214" spans="1:19" x14ac:dyDescent="0.2">
      <c r="A214" s="62" t="s">
        <v>4</v>
      </c>
      <c r="F214" s="63">
        <f t="shared" ref="F214:P214" si="305">F213/E213-1</f>
        <v>0.14524271727003302</v>
      </c>
      <c r="G214" s="63">
        <f t="shared" si="305"/>
        <v>0.32217417362323086</v>
      </c>
      <c r="H214" s="63">
        <f t="shared" si="305"/>
        <v>0.46498336695255937</v>
      </c>
      <c r="I214" s="63">
        <f t="shared" si="305"/>
        <v>0.77611766788390968</v>
      </c>
      <c r="J214" s="63">
        <f t="shared" si="305"/>
        <v>0.43724221798727947</v>
      </c>
      <c r="K214" s="63">
        <f t="shared" si="305"/>
        <v>0.43314050037706142</v>
      </c>
      <c r="L214" s="63">
        <f t="shared" si="305"/>
        <v>0.37384709475286271</v>
      </c>
      <c r="M214" s="63">
        <f t="shared" si="305"/>
        <v>0.32927143877141929</v>
      </c>
      <c r="N214" s="63">
        <f t="shared" si="305"/>
        <v>0.33465236806045673</v>
      </c>
      <c r="O214" s="63">
        <f t="shared" si="305"/>
        <v>0.30169956575135348</v>
      </c>
      <c r="P214" s="63">
        <f t="shared" si="305"/>
        <v>0.26498302781100502</v>
      </c>
      <c r="R214" s="109"/>
      <c r="S214" s="109"/>
    </row>
    <row r="215" spans="1:19" x14ac:dyDescent="0.2">
      <c r="A215" s="68" t="s">
        <v>22</v>
      </c>
      <c r="E215" s="46">
        <f>Poland!E215+Austria!E215+'Czech Republic'!E215+Greece!E221+Hungary!E215+Slovakia!E215+Croatia!E215</f>
        <v>4.8132989351511402</v>
      </c>
      <c r="F215" s="46">
        <f>Poland!F215+Austria!F215+'Czech Republic'!F215+Greece!F221+Hungary!F215+Slovakia!F215+Croatia!F215</f>
        <v>5.5582777635601426</v>
      </c>
      <c r="G215" s="46">
        <f>Poland!G215+Austria!G215+'Czech Republic'!G215+Greece!G221+Hungary!G215+Slovakia!G215+Croatia!G215</f>
        <v>7.6041549388944203</v>
      </c>
      <c r="H215" s="46">
        <f>Poland!H215+Austria!H215+'Czech Republic'!H215+Greece!H221+Hungary!H215+Slovakia!H215+Croatia!H215</f>
        <v>11.435608170623128</v>
      </c>
      <c r="I215" s="46">
        <f>Poland!I215+Austria!I215+'Czech Republic'!I215+Greece!I221+Hungary!I215+Slovakia!I215+Croatia!I215</f>
        <v>21.086347392019466</v>
      </c>
      <c r="J215" s="46">
        <f>Poland!J215+Austria!J215+'Czech Republic'!J215+Greece!J221+Hungary!J215+Slovakia!J215+Croatia!J215</f>
        <v>31.413721924814361</v>
      </c>
      <c r="K215" s="46">
        <f>Poland!K215+Austria!K215+'Czech Republic'!K215+Greece!K221+Hungary!K215+Slovakia!K215+Croatia!K215</f>
        <v>49.005481135640075</v>
      </c>
      <c r="L215" s="46">
        <f>Poland!L215+Austria!L215+'Czech Republic'!L215+Greece!L221+Hungary!L215+Slovakia!L215+Croatia!L215</f>
        <v>69.951764017566234</v>
      </c>
      <c r="M215" s="46">
        <f>Poland!M215+Austria!M215+'Czech Republic'!M215+Greece!M221+Hungary!M215+Slovakia!M215+Croatia!M215</f>
        <v>96.784156409200278</v>
      </c>
      <c r="N215" s="46">
        <f>Poland!N215+Austria!N215+'Czech Republic'!N215+Greece!N221+Hungary!N215+Slovakia!N215+Croatia!N215</f>
        <v>136.93990553482828</v>
      </c>
      <c r="O215" s="46">
        <f>Poland!O215+Austria!O215+'Czech Republic'!O215+Greece!O221+Hungary!O215+Slovakia!O215+Croatia!O215</f>
        <v>185.16553692709593</v>
      </c>
      <c r="P215" s="46">
        <f>Poland!P215+Austria!P215+'Czech Republic'!P215+Greece!P221+Hungary!P215+Slovakia!P215+Croatia!P215</f>
        <v>239.73113334674409</v>
      </c>
      <c r="R215" s="57"/>
      <c r="S215" s="57">
        <f>(P215/J215)^(1/6)-1</f>
        <v>0.40313946734995798</v>
      </c>
    </row>
    <row r="216" spans="1:19" x14ac:dyDescent="0.2">
      <c r="A216" s="62" t="s">
        <v>4</v>
      </c>
      <c r="F216" s="63">
        <f t="shared" ref="F216:P216" si="306">F215/E215-1</f>
        <v>0.15477510091228308</v>
      </c>
      <c r="G216" s="63">
        <f t="shared" si="306"/>
        <v>0.36807753451023451</v>
      </c>
      <c r="H216" s="63">
        <f t="shared" si="306"/>
        <v>0.50386311990188992</v>
      </c>
      <c r="I216" s="63">
        <f t="shared" si="306"/>
        <v>0.84392006768717986</v>
      </c>
      <c r="J216" s="63">
        <f t="shared" si="306"/>
        <v>0.48976592962247634</v>
      </c>
      <c r="K216" s="63">
        <f t="shared" si="306"/>
        <v>0.56000238535662383</v>
      </c>
      <c r="L216" s="63">
        <f t="shared" si="306"/>
        <v>0.427427348870423</v>
      </c>
      <c r="M216" s="63">
        <f t="shared" si="306"/>
        <v>0.38358421361462613</v>
      </c>
      <c r="N216" s="63">
        <f t="shared" si="306"/>
        <v>0.41490002718885921</v>
      </c>
      <c r="O216" s="63">
        <f t="shared" si="306"/>
        <v>0.3521663842538747</v>
      </c>
      <c r="P216" s="63">
        <f t="shared" si="306"/>
        <v>0.29468548697121721</v>
      </c>
      <c r="R216" s="109"/>
      <c r="S216" s="109"/>
    </row>
    <row r="217" spans="1:19" x14ac:dyDescent="0.2">
      <c r="A217" s="77" t="s">
        <v>23</v>
      </c>
      <c r="E217" s="56">
        <f t="shared" ref="E217:P217" si="307">E215+E213+E211+E209</f>
        <v>262.18118999676591</v>
      </c>
      <c r="F217" s="56">
        <f t="shared" si="307"/>
        <v>294.68619031988777</v>
      </c>
      <c r="G217" s="56">
        <f t="shared" si="307"/>
        <v>384.31081486491519</v>
      </c>
      <c r="H217" s="56">
        <f t="shared" si="307"/>
        <v>550.48739736888365</v>
      </c>
      <c r="I217" s="56">
        <f t="shared" si="307"/>
        <v>958.51958560460741</v>
      </c>
      <c r="J217" s="56">
        <f t="shared" si="307"/>
        <v>1356.6545981641982</v>
      </c>
      <c r="K217" s="56">
        <f t="shared" si="307"/>
        <v>1909.1141828484781</v>
      </c>
      <c r="L217" s="56">
        <f t="shared" si="307"/>
        <v>2586.7700220844804</v>
      </c>
      <c r="M217" s="56">
        <f t="shared" si="307"/>
        <v>3404.5492883063471</v>
      </c>
      <c r="N217" s="56">
        <f t="shared" si="307"/>
        <v>4493.4782278694665</v>
      </c>
      <c r="O217" s="56">
        <f t="shared" si="307"/>
        <v>5785.1568329796773</v>
      </c>
      <c r="P217" s="56">
        <f t="shared" si="307"/>
        <v>7244.4574740351873</v>
      </c>
      <c r="R217" s="57"/>
      <c r="S217" s="57">
        <f>(P217/J217)^(1/6)-1</f>
        <v>0.32207500944138534</v>
      </c>
    </row>
    <row r="218" spans="1:19" x14ac:dyDescent="0.2">
      <c r="A218" s="74" t="s">
        <v>4</v>
      </c>
      <c r="E218" s="59"/>
      <c r="F218" s="59">
        <f t="shared" ref="F218:P218" si="308">F217/E217-1</f>
        <v>0.12397914710633073</v>
      </c>
      <c r="G218" s="59">
        <f t="shared" si="308"/>
        <v>0.30413581460243555</v>
      </c>
      <c r="H218" s="59">
        <f t="shared" si="308"/>
        <v>0.43240152521437447</v>
      </c>
      <c r="I218" s="59">
        <f t="shared" si="308"/>
        <v>0.74121985387124112</v>
      </c>
      <c r="J218" s="59">
        <f t="shared" si="308"/>
        <v>0.415364504324091</v>
      </c>
      <c r="K218" s="59">
        <f t="shared" si="308"/>
        <v>0.40722198961464384</v>
      </c>
      <c r="L218" s="59">
        <f t="shared" si="308"/>
        <v>0.35495825515523194</v>
      </c>
      <c r="M218" s="59">
        <f t="shared" si="308"/>
        <v>0.3161391462094032</v>
      </c>
      <c r="N218" s="59">
        <f t="shared" si="308"/>
        <v>0.31984525625852411</v>
      </c>
      <c r="O218" s="59">
        <f t="shared" si="308"/>
        <v>0.28745629545926299</v>
      </c>
      <c r="P218" s="59">
        <f t="shared" si="308"/>
        <v>0.25224910632265241</v>
      </c>
    </row>
    <row r="220" spans="1:19" x14ac:dyDescent="0.2">
      <c r="A220" s="86" t="s">
        <v>77</v>
      </c>
    </row>
    <row r="221" spans="1:19" x14ac:dyDescent="0.2">
      <c r="A221" s="86" t="s">
        <v>41</v>
      </c>
    </row>
    <row r="222" spans="1:19" x14ac:dyDescent="0.2">
      <c r="A222" s="86" t="s">
        <v>81</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7BF0A-AEFA-4107-825B-CC6701745D9C}">
  <sheetPr>
    <tabColor rgb="FFFF2D9B"/>
  </sheetPr>
  <dimension ref="A1:U246"/>
  <sheetViews>
    <sheetView topLeftCell="L1" zoomScale="80" zoomScaleNormal="80" workbookViewId="0">
      <pane ySplit="1" topLeftCell="L126" activePane="bottomLeft" state="frozen"/>
      <selection activeCell="L1" sqref="L1"/>
      <selection pane="bottomLeft" activeCell="L233" sqref="L233"/>
    </sheetView>
  </sheetViews>
  <sheetFormatPr defaultColWidth="8.875" defaultRowHeight="15" x14ac:dyDescent="0.2"/>
  <cols>
    <col min="1" max="1" width="68.47265625" style="20" bestFit="1" customWidth="1"/>
    <col min="2" max="16" width="13.046875" style="20" customWidth="1"/>
    <col min="17" max="17" width="8.875" style="20"/>
    <col min="18" max="19" width="24.48046875" style="20" customWidth="1"/>
    <col min="20" max="16384" width="8.875" style="20"/>
  </cols>
  <sheetData>
    <row r="1" spans="1:21" s="4" customFormat="1" ht="24" customHeight="1" x14ac:dyDescent="0.2">
      <c r="A1" s="1" t="s">
        <v>0</v>
      </c>
      <c r="B1" s="2">
        <v>2016</v>
      </c>
      <c r="C1" s="2">
        <v>2017</v>
      </c>
      <c r="D1" s="2">
        <v>2018</v>
      </c>
      <c r="E1" s="2">
        <v>2019</v>
      </c>
      <c r="F1" s="2">
        <v>2020</v>
      </c>
      <c r="G1" s="2">
        <v>2021</v>
      </c>
      <c r="H1" s="2">
        <v>2022</v>
      </c>
      <c r="I1" s="2">
        <v>2023</v>
      </c>
      <c r="J1" s="2">
        <v>2024</v>
      </c>
      <c r="K1" s="2" t="s">
        <v>42</v>
      </c>
      <c r="L1" s="2" t="s">
        <v>1</v>
      </c>
      <c r="M1" s="2" t="s">
        <v>2</v>
      </c>
      <c r="N1" s="2" t="s">
        <v>43</v>
      </c>
      <c r="O1" s="2" t="s">
        <v>44</v>
      </c>
      <c r="P1" s="2" t="s">
        <v>45</v>
      </c>
      <c r="Q1" s="2"/>
      <c r="R1" s="34" t="s">
        <v>78</v>
      </c>
      <c r="S1" s="34" t="s">
        <v>79</v>
      </c>
      <c r="T1" s="3"/>
      <c r="U1" s="3"/>
    </row>
    <row r="2" spans="1:21" s="6" customFormat="1" x14ac:dyDescent="0.2">
      <c r="A2" s="5" t="s">
        <v>3</v>
      </c>
      <c r="B2" s="40">
        <f>B4+B6+B8</f>
        <v>9299.5442795200452</v>
      </c>
      <c r="C2" s="40">
        <f t="shared" ref="C2:P2" si="0">C4+C6+C8</f>
        <v>9981.5664663272491</v>
      </c>
      <c r="D2" s="40">
        <f t="shared" si="0"/>
        <v>10760.68264702964</v>
      </c>
      <c r="E2" s="40">
        <f t="shared" si="0"/>
        <v>11431.027226296945</v>
      </c>
      <c r="F2" s="40">
        <f t="shared" si="0"/>
        <v>11596.749587542303</v>
      </c>
      <c r="G2" s="40">
        <f t="shared" si="0"/>
        <v>13106.045082434923</v>
      </c>
      <c r="H2" s="40">
        <f t="shared" si="0"/>
        <v>14005.694564936155</v>
      </c>
      <c r="I2" s="40">
        <f t="shared" si="0"/>
        <v>15104.364602196802</v>
      </c>
      <c r="J2" s="40">
        <f t="shared" si="0"/>
        <v>16990.093616689239</v>
      </c>
      <c r="K2" s="40">
        <f t="shared" si="0"/>
        <v>18493.848018169101</v>
      </c>
      <c r="L2" s="40">
        <f t="shared" si="0"/>
        <v>19807.604964750979</v>
      </c>
      <c r="M2" s="40">
        <f t="shared" si="0"/>
        <v>20835.889698039635</v>
      </c>
      <c r="N2" s="40">
        <f t="shared" si="0"/>
        <v>21941.253833452156</v>
      </c>
      <c r="O2" s="40">
        <f t="shared" si="0"/>
        <v>23068.17589372777</v>
      </c>
      <c r="P2" s="40">
        <f t="shared" si="0"/>
        <v>24173.033992321078</v>
      </c>
      <c r="R2" s="36">
        <f>(J2/D2)^(1/6)-1</f>
        <v>7.909411670797617E-2</v>
      </c>
      <c r="S2" s="36">
        <f>(P2/J2)^(1/6)-1</f>
        <v>6.0529040090961717E-2</v>
      </c>
    </row>
    <row r="3" spans="1:21" s="6" customFormat="1" x14ac:dyDescent="0.2">
      <c r="A3" s="7" t="s">
        <v>4</v>
      </c>
      <c r="B3" s="8"/>
      <c r="C3" s="8">
        <f t="shared" ref="C3:O3" si="1">C2/B2-1</f>
        <v>7.3339312799358236E-2</v>
      </c>
      <c r="D3" s="8">
        <f t="shared" si="1"/>
        <v>7.8055501942579264E-2</v>
      </c>
      <c r="E3" s="8">
        <f t="shared" si="1"/>
        <v>6.2295729858025783E-2</v>
      </c>
      <c r="F3" s="8">
        <f t="shared" si="1"/>
        <v>1.4497591333184401E-2</v>
      </c>
      <c r="G3" s="8">
        <f t="shared" si="1"/>
        <v>0.13014814914292594</v>
      </c>
      <c r="H3" s="8">
        <f t="shared" si="1"/>
        <v>6.8643856849460061E-2</v>
      </c>
      <c r="I3" s="8">
        <f t="shared" si="1"/>
        <v>7.8444523559096702E-2</v>
      </c>
      <c r="J3" s="8">
        <f t="shared" si="1"/>
        <v>0.12484662970981075</v>
      </c>
      <c r="K3" s="8">
        <f t="shared" si="1"/>
        <v>8.8507717226627536E-2</v>
      </c>
      <c r="L3" s="8">
        <f t="shared" si="1"/>
        <v>7.1037511787227281E-2</v>
      </c>
      <c r="M3" s="8">
        <f t="shared" si="1"/>
        <v>5.1913632926270603E-2</v>
      </c>
      <c r="N3" s="8">
        <f t="shared" si="1"/>
        <v>5.3050968853829206E-2</v>
      </c>
      <c r="O3" s="8">
        <f t="shared" si="1"/>
        <v>5.1360877952994821E-2</v>
      </c>
      <c r="P3" s="8">
        <f>P2/O2-1</f>
        <v>4.7895338742137694E-2</v>
      </c>
      <c r="R3" s="37"/>
      <c r="S3" s="37"/>
    </row>
    <row r="4" spans="1:21" s="11" customFormat="1" x14ac:dyDescent="0.2">
      <c r="A4" s="9" t="s">
        <v>5</v>
      </c>
      <c r="B4" s="15">
        <v>1615.0109482085365</v>
      </c>
      <c r="C4" s="15">
        <v>1735.2955212138031</v>
      </c>
      <c r="D4" s="15">
        <v>1836.4424443004996</v>
      </c>
      <c r="E4" s="15">
        <v>1935.2326382435651</v>
      </c>
      <c r="F4" s="15">
        <v>1984.8550364702066</v>
      </c>
      <c r="G4" s="15">
        <v>2061.9576493807358</v>
      </c>
      <c r="H4" s="15">
        <v>2184.3828666248983</v>
      </c>
      <c r="I4" s="15">
        <v>2468.5776880871331</v>
      </c>
      <c r="J4" s="15">
        <v>2793.517674214057</v>
      </c>
      <c r="K4" s="15">
        <v>3059.7589641793793</v>
      </c>
      <c r="L4" s="15">
        <v>3316.0725721418103</v>
      </c>
      <c r="M4" s="15">
        <v>3515.3209740928833</v>
      </c>
      <c r="N4" s="15">
        <v>3744.9330415687696</v>
      </c>
      <c r="O4" s="15">
        <v>3983.3550310219684</v>
      </c>
      <c r="P4" s="15">
        <v>4223.0619078809741</v>
      </c>
      <c r="R4" s="36">
        <f>(J4/D4)^(1/6)-1</f>
        <v>7.2413692244800432E-2</v>
      </c>
      <c r="S4" s="36">
        <f>(P4/J4)^(1/6)-1</f>
        <v>7.130386258173349E-2</v>
      </c>
    </row>
    <row r="5" spans="1:21" s="11" customFormat="1" x14ac:dyDescent="0.2">
      <c r="A5" s="12" t="s">
        <v>4</v>
      </c>
      <c r="B5" s="13"/>
      <c r="C5" s="13">
        <f t="shared" ref="C5:O5" si="2">C4/B4-1</f>
        <v>7.447910686840431E-2</v>
      </c>
      <c r="D5" s="13">
        <f t="shared" si="2"/>
        <v>5.8288010226607456E-2</v>
      </c>
      <c r="E5" s="13">
        <f t="shared" si="2"/>
        <v>5.3794331670816264E-2</v>
      </c>
      <c r="F5" s="13">
        <f t="shared" si="2"/>
        <v>2.5641567450866987E-2</v>
      </c>
      <c r="G5" s="13">
        <f t="shared" si="2"/>
        <v>3.8845463015599213E-2</v>
      </c>
      <c r="H5" s="13">
        <f t="shared" si="2"/>
        <v>5.9373293763298252E-2</v>
      </c>
      <c r="I5" s="13">
        <f t="shared" si="2"/>
        <v>0.13010302626175863</v>
      </c>
      <c r="J5" s="13">
        <f t="shared" si="2"/>
        <v>0.13163044764400977</v>
      </c>
      <c r="K5" s="13">
        <f t="shared" si="2"/>
        <v>9.5306821368233541E-2</v>
      </c>
      <c r="L5" s="13">
        <f t="shared" si="2"/>
        <v>8.3769215471903635E-2</v>
      </c>
      <c r="M5" s="13">
        <f t="shared" si="2"/>
        <v>6.0085657842639195E-2</v>
      </c>
      <c r="N5" s="13">
        <f t="shared" si="2"/>
        <v>6.5317525531260134E-2</v>
      </c>
      <c r="O5" s="13">
        <f t="shared" si="2"/>
        <v>6.3665220928308619E-2</v>
      </c>
      <c r="P5" s="13">
        <f>P4/O4-1</f>
        <v>6.0177130833729997E-2</v>
      </c>
      <c r="R5" s="38"/>
      <c r="S5" s="38"/>
    </row>
    <row r="6" spans="1:21" s="11" customFormat="1" x14ac:dyDescent="0.2">
      <c r="A6" s="9" t="s">
        <v>6</v>
      </c>
      <c r="B6" s="15">
        <v>4613.215690773769</v>
      </c>
      <c r="C6" s="15">
        <v>5023.8410628054899</v>
      </c>
      <c r="D6" s="15">
        <v>5551.5202285152773</v>
      </c>
      <c r="E6" s="15">
        <v>5930.3369078642991</v>
      </c>
      <c r="F6" s="15">
        <v>6034.5517143630168</v>
      </c>
      <c r="G6" s="15">
        <v>7324.7372837940475</v>
      </c>
      <c r="H6" s="15">
        <v>7655.2593377287421</v>
      </c>
      <c r="I6" s="15">
        <v>7876.4596720230766</v>
      </c>
      <c r="J6" s="15">
        <v>8788.142032639531</v>
      </c>
      <c r="K6" s="15">
        <v>9453.3221750881185</v>
      </c>
      <c r="L6" s="15">
        <v>9974.3679115009654</v>
      </c>
      <c r="M6" s="15">
        <v>10338.013129020437</v>
      </c>
      <c r="N6" s="15">
        <v>10680.833904313666</v>
      </c>
      <c r="O6" s="15">
        <v>10999.15014402942</v>
      </c>
      <c r="P6" s="15">
        <v>11289.958034400899</v>
      </c>
      <c r="R6" s="36">
        <f>(J6/D6)^(1/6)-1</f>
        <v>7.9561836496991889E-2</v>
      </c>
      <c r="S6" s="36">
        <f>(P6/J6)^(1/6)-1</f>
        <v>4.2635585323836711E-2</v>
      </c>
    </row>
    <row r="7" spans="1:21" s="11" customFormat="1" x14ac:dyDescent="0.2">
      <c r="A7" s="12" t="s">
        <v>4</v>
      </c>
      <c r="B7" s="13"/>
      <c r="C7" s="13">
        <f t="shared" ref="C7" si="3">C6/B6-1</f>
        <v>8.9010659712476459E-2</v>
      </c>
      <c r="D7" s="13">
        <f t="shared" ref="D7" si="4">D6/C6-1</f>
        <v>0.10503500391692588</v>
      </c>
      <c r="E7" s="13">
        <f t="shared" ref="E7" si="5">E6/D6-1</f>
        <v>6.8236566517984931E-2</v>
      </c>
      <c r="F7" s="13">
        <f t="shared" ref="F7" si="6">F6/E6-1</f>
        <v>1.7573167952821933E-2</v>
      </c>
      <c r="G7" s="13">
        <f t="shared" ref="G7" si="7">G6/F6-1</f>
        <v>0.21379973699789856</v>
      </c>
      <c r="H7" s="13">
        <f t="shared" ref="H7" si="8">H6/G6-1</f>
        <v>4.5124083107523028E-2</v>
      </c>
      <c r="I7" s="13">
        <f t="shared" ref="I7" si="9">I6/H6-1</f>
        <v>2.8895211061518822E-2</v>
      </c>
      <c r="J7" s="13">
        <f t="shared" ref="J7" si="10">J6/I6-1</f>
        <v>0.1157477342078852</v>
      </c>
      <c r="K7" s="13">
        <f t="shared" ref="K7" si="11">K6/J6-1</f>
        <v>7.5690645414933089E-2</v>
      </c>
      <c r="L7" s="13">
        <f t="shared" ref="L7" si="12">L6/K6-1</f>
        <v>5.5117738162561825E-2</v>
      </c>
      <c r="M7" s="13">
        <f t="shared" ref="M7" si="13">M6/L6-1</f>
        <v>3.6457971146238721E-2</v>
      </c>
      <c r="N7" s="13">
        <f t="shared" ref="N7" si="14">N6/M6-1</f>
        <v>3.3161185908235691E-2</v>
      </c>
      <c r="O7" s="13">
        <f t="shared" ref="O7" si="15">O6/N6-1</f>
        <v>2.9802564347264582E-2</v>
      </c>
      <c r="P7" s="13">
        <f>P6/O6-1</f>
        <v>2.6439123619867777E-2</v>
      </c>
      <c r="R7" s="38"/>
      <c r="S7" s="38"/>
    </row>
    <row r="8" spans="1:21" s="11" customFormat="1" x14ac:dyDescent="0.2">
      <c r="A8" s="9" t="s">
        <v>7</v>
      </c>
      <c r="B8" s="15">
        <v>3071.3176405377399</v>
      </c>
      <c r="C8" s="15">
        <v>3222.4298823079562</v>
      </c>
      <c r="D8" s="15">
        <v>3372.7199742138628</v>
      </c>
      <c r="E8" s="15">
        <v>3565.4576801890803</v>
      </c>
      <c r="F8" s="15">
        <v>3577.3428367090792</v>
      </c>
      <c r="G8" s="15">
        <v>3719.3501492601395</v>
      </c>
      <c r="H8" s="15">
        <v>4166.0523605825138</v>
      </c>
      <c r="I8" s="15">
        <v>4759.3272420865915</v>
      </c>
      <c r="J8" s="15">
        <v>5408.4339098356513</v>
      </c>
      <c r="K8" s="15">
        <v>5980.7668789016016</v>
      </c>
      <c r="L8" s="15">
        <v>6517.1644811082042</v>
      </c>
      <c r="M8" s="15">
        <v>6982.5555949263153</v>
      </c>
      <c r="N8" s="15">
        <v>7515.4868875697202</v>
      </c>
      <c r="O8" s="15">
        <v>8085.6707186763833</v>
      </c>
      <c r="P8" s="15">
        <v>8660.0140500392044</v>
      </c>
      <c r="R8" s="36">
        <f>(J8/D8)^(1/6)-1</f>
        <v>8.1886928784520086E-2</v>
      </c>
      <c r="S8" s="36">
        <f>(P8/J8)^(1/6)-1</f>
        <v>8.1619508059741497E-2</v>
      </c>
    </row>
    <row r="9" spans="1:21" s="11" customFormat="1" x14ac:dyDescent="0.2">
      <c r="A9" s="12" t="s">
        <v>4</v>
      </c>
      <c r="B9" s="13"/>
      <c r="C9" s="13">
        <f t="shared" ref="C9" si="16">C8/B8-1</f>
        <v>4.9201111528066832E-2</v>
      </c>
      <c r="D9" s="13">
        <f t="shared" ref="D9" si="17">D8/C8-1</f>
        <v>4.6638746968876266E-2</v>
      </c>
      <c r="E9" s="13">
        <f t="shared" ref="E9" si="18">E8/D8-1</f>
        <v>5.7146074221635423E-2</v>
      </c>
      <c r="F9" s="13">
        <f t="shared" ref="F9" si="19">F8/E8-1</f>
        <v>3.3334167969618633E-3</v>
      </c>
      <c r="G9" s="13">
        <f t="shared" ref="G9" si="20">G8/F8-1</f>
        <v>3.969631065097956E-2</v>
      </c>
      <c r="H9" s="13">
        <f t="shared" ref="H9" si="21">H8/G8-1</f>
        <v>0.12010222038686869</v>
      </c>
      <c r="I9" s="13">
        <f t="shared" ref="I9" si="22">I8/H8-1</f>
        <v>0.14240696711289624</v>
      </c>
      <c r="J9" s="13">
        <f t="shared" ref="J9" si="23">J8/I8-1</f>
        <v>0.13638622324790539</v>
      </c>
      <c r="K9" s="13">
        <f t="shared" ref="K9" si="24">K8/J8-1</f>
        <v>0.10582230986036811</v>
      </c>
      <c r="L9" s="13">
        <f t="shared" ref="L9" si="25">L8/K8-1</f>
        <v>8.9687094158251934E-2</v>
      </c>
      <c r="M9" s="13">
        <f t="shared" ref="M9" si="26">M8/L8-1</f>
        <v>7.1410061103594158E-2</v>
      </c>
      <c r="N9" s="13">
        <f t="shared" ref="N9" si="27">N8/M8-1</f>
        <v>7.6323243746264646E-2</v>
      </c>
      <c r="O9" s="13">
        <f t="shared" ref="O9" si="28">O8/N8-1</f>
        <v>7.5867849899348805E-2</v>
      </c>
      <c r="P9" s="13">
        <f>P8/O8-1</f>
        <v>7.1032243501605308E-2</v>
      </c>
      <c r="R9" s="38"/>
      <c r="S9" s="38"/>
    </row>
    <row r="10" spans="1:21" s="11" customFormat="1" ht="17.100000000000001" customHeight="1" x14ac:dyDescent="0.2">
      <c r="B10" s="14"/>
      <c r="C10" s="14"/>
      <c r="D10" s="14"/>
      <c r="E10" s="14"/>
      <c r="F10" s="14"/>
      <c r="G10" s="14"/>
      <c r="H10" s="14"/>
      <c r="I10" s="14"/>
      <c r="J10" s="14"/>
      <c r="K10" s="14"/>
      <c r="L10" s="14"/>
      <c r="M10" s="14"/>
      <c r="N10" s="14"/>
      <c r="O10" s="14"/>
      <c r="P10" s="14"/>
      <c r="R10" s="38"/>
      <c r="S10" s="38"/>
    </row>
    <row r="11" spans="1:21" s="11" customFormat="1" x14ac:dyDescent="0.2">
      <c r="A11" s="5" t="s">
        <v>8</v>
      </c>
      <c r="B11" s="40">
        <v>1873.6856048138504</v>
      </c>
      <c r="C11" s="40">
        <v>2216.8136295097024</v>
      </c>
      <c r="D11" s="40">
        <v>2573.1412617602118</v>
      </c>
      <c r="E11" s="40">
        <v>2707.7521963705476</v>
      </c>
      <c r="F11" s="40">
        <v>2319.8335538158308</v>
      </c>
      <c r="G11" s="40">
        <v>3181.3586832773285</v>
      </c>
      <c r="H11" s="40">
        <v>3148.4866969640689</v>
      </c>
      <c r="I11" s="40">
        <v>3212.2130090250698</v>
      </c>
      <c r="J11" s="40">
        <v>3512.03698618916</v>
      </c>
      <c r="K11" s="40">
        <v>3731.3698673963613</v>
      </c>
      <c r="L11" s="40">
        <v>3900.0517036193132</v>
      </c>
      <c r="M11" s="40">
        <v>4000.0416325799756</v>
      </c>
      <c r="N11" s="40">
        <v>4085.0588793431898</v>
      </c>
      <c r="O11" s="40">
        <v>4158.5832072747999</v>
      </c>
      <c r="P11" s="40">
        <v>4219.8888926332347</v>
      </c>
      <c r="R11" s="36">
        <f>(J11/D11)^(1/6)-1</f>
        <v>5.3212266671083031E-2</v>
      </c>
      <c r="S11" s="36">
        <f>(P11/J11)^(1/6)-1</f>
        <v>3.1075156047640773E-2</v>
      </c>
    </row>
    <row r="12" spans="1:21" s="11" customFormat="1" x14ac:dyDescent="0.2">
      <c r="A12" s="7" t="s">
        <v>4</v>
      </c>
      <c r="B12" s="8"/>
      <c r="C12" s="8">
        <f t="shared" ref="C12" si="29">C11/B11-1</f>
        <v>0.18312998926516366</v>
      </c>
      <c r="D12" s="8">
        <f t="shared" ref="D12" si="30">D11/C11-1</f>
        <v>0.16073865096603512</v>
      </c>
      <c r="E12" s="8">
        <f t="shared" ref="E12" si="31">E11/D11-1</f>
        <v>5.2313853347581984E-2</v>
      </c>
      <c r="F12" s="8">
        <f t="shared" ref="F12" si="32">F11/E11-1</f>
        <v>-0.14326223909066726</v>
      </c>
      <c r="G12" s="8">
        <f t="shared" ref="G12" si="33">G11/F11-1</f>
        <v>0.37137368241113622</v>
      </c>
      <c r="H12" s="8">
        <f t="shared" ref="H12" si="34">H11/G11-1</f>
        <v>-1.0332687881454472E-2</v>
      </c>
      <c r="I12" s="8">
        <f t="shared" ref="I12" si="35">I11/H11-1</f>
        <v>2.0240298973614568E-2</v>
      </c>
      <c r="J12" s="8">
        <f t="shared" ref="J12" si="36">J11/I11-1</f>
        <v>9.3338759391641046E-2</v>
      </c>
      <c r="K12" s="8">
        <f t="shared" ref="K12" si="37">K11/J11-1</f>
        <v>6.2451757219446291E-2</v>
      </c>
      <c r="L12" s="8">
        <f t="shared" ref="L12" si="38">L11/K11-1</f>
        <v>4.5206410036390476E-2</v>
      </c>
      <c r="M12" s="8">
        <f t="shared" ref="M12" si="39">M11/L11-1</f>
        <v>2.5638103430236647E-2</v>
      </c>
      <c r="N12" s="8">
        <f t="shared" ref="N12" si="40">N11/M11-1</f>
        <v>2.1254090475148146E-2</v>
      </c>
      <c r="O12" s="8">
        <f t="shared" ref="O12" si="41">O11/N11-1</f>
        <v>1.7998352068656409E-2</v>
      </c>
      <c r="P12" s="8">
        <f>P11/O11-1</f>
        <v>1.4741964342853686E-2</v>
      </c>
      <c r="R12" s="38"/>
      <c r="S12" s="38"/>
    </row>
    <row r="13" spans="1:21" s="11" customFormat="1" x14ac:dyDescent="0.2">
      <c r="B13" s="14"/>
      <c r="C13" s="14"/>
      <c r="D13" s="14"/>
      <c r="E13" s="14"/>
      <c r="F13" s="14"/>
      <c r="G13" s="14"/>
      <c r="H13" s="14"/>
      <c r="I13" s="14"/>
      <c r="J13" s="14"/>
      <c r="K13" s="14"/>
      <c r="L13" s="14"/>
      <c r="M13" s="14"/>
      <c r="N13" s="14"/>
      <c r="O13" s="14"/>
      <c r="P13" s="14"/>
      <c r="R13" s="38"/>
      <c r="S13" s="38"/>
    </row>
    <row r="14" spans="1:21" s="11" customFormat="1" x14ac:dyDescent="0.2">
      <c r="A14" s="5" t="s">
        <v>46</v>
      </c>
      <c r="B14" s="40">
        <v>253.95764664756666</v>
      </c>
      <c r="C14" s="40">
        <v>284.89601162627145</v>
      </c>
      <c r="D14" s="40">
        <v>327.05275700912927</v>
      </c>
      <c r="E14" s="40">
        <v>360.9387352722236</v>
      </c>
      <c r="F14" s="40">
        <v>370.3518764623862</v>
      </c>
      <c r="G14" s="40">
        <v>402.23623560450443</v>
      </c>
      <c r="H14" s="40">
        <v>475.00383138108236</v>
      </c>
      <c r="I14" s="40">
        <v>542.01076577151321</v>
      </c>
      <c r="J14" s="40">
        <v>627.45755468407901</v>
      </c>
      <c r="K14" s="40">
        <v>791.42892208966225</v>
      </c>
      <c r="L14" s="40">
        <v>956.7550762870577</v>
      </c>
      <c r="M14" s="40">
        <v>963.34559004628727</v>
      </c>
      <c r="N14" s="40">
        <v>976.29511077859604</v>
      </c>
      <c r="O14" s="40">
        <v>1040.391580580656</v>
      </c>
      <c r="P14" s="40">
        <v>1144.4307386387216</v>
      </c>
      <c r="R14" s="36">
        <f>(J14/D14)^(1/6)-1</f>
        <v>0.11470792740236502</v>
      </c>
      <c r="S14" s="36">
        <f>(P14/J14)^(1/6)-1</f>
        <v>0.10535265886528555</v>
      </c>
    </row>
    <row r="15" spans="1:21" s="11" customFormat="1" x14ac:dyDescent="0.2">
      <c r="A15" s="7" t="s">
        <v>4</v>
      </c>
      <c r="B15" s="35"/>
      <c r="C15" s="8">
        <f t="shared" ref="C15" si="42">C14/B14-1</f>
        <v>0.12182490028205351</v>
      </c>
      <c r="D15" s="8">
        <f t="shared" ref="D15" si="43">D14/C14-1</f>
        <v>0.14797239576017418</v>
      </c>
      <c r="E15" s="8">
        <f t="shared" ref="E15" si="44">E14/D14-1</f>
        <v>0.10361012875408493</v>
      </c>
      <c r="F15" s="8">
        <f t="shared" ref="F15" si="45">F14/E14-1</f>
        <v>2.6079609280680538E-2</v>
      </c>
      <c r="G15" s="8">
        <f t="shared" ref="G15" si="46">G14/F14-1</f>
        <v>8.6092068566463675E-2</v>
      </c>
      <c r="H15" s="8">
        <f t="shared" ref="H15" si="47">H14/G14-1</f>
        <v>0.18090760934856731</v>
      </c>
      <c r="I15" s="8">
        <f t="shared" ref="I15" si="48">I14/H14-1</f>
        <v>0.14106609244731128</v>
      </c>
      <c r="J15" s="8">
        <f t="shared" ref="J15" si="49">J14/I14-1</f>
        <v>0.15764777068761449</v>
      </c>
      <c r="K15" s="8">
        <f t="shared" ref="K15" si="50">K14/J14-1</f>
        <v>0.26132662868031264</v>
      </c>
      <c r="L15" s="8">
        <f t="shared" ref="L15" si="51">L14/K14-1</f>
        <v>0.20889577014809335</v>
      </c>
      <c r="M15" s="8">
        <f t="shared" ref="M15" si="52">M14/L14-1</f>
        <v>6.8884021862791744E-3</v>
      </c>
      <c r="N15" s="8">
        <f t="shared" ref="N15" si="53">N14/M14-1</f>
        <v>1.3442238035974885E-2</v>
      </c>
      <c r="O15" s="8">
        <f t="shared" ref="O15" si="54">O14/N14-1</f>
        <v>6.5652761234195722E-2</v>
      </c>
      <c r="P15" s="8">
        <f>P14/O14-1</f>
        <v>0.10000000000000009</v>
      </c>
      <c r="R15" s="38"/>
      <c r="S15" s="38"/>
    </row>
    <row r="16" spans="1:21" ht="17.100000000000001" customHeight="1" x14ac:dyDescent="0.2">
      <c r="R16" s="110"/>
      <c r="S16" s="110"/>
    </row>
    <row r="17" spans="1:19" x14ac:dyDescent="0.2">
      <c r="A17" s="21" t="s">
        <v>9</v>
      </c>
      <c r="R17" s="110"/>
      <c r="S17" s="110"/>
    </row>
    <row r="18" spans="1:19" x14ac:dyDescent="0.2">
      <c r="A18" s="22" t="s">
        <v>82</v>
      </c>
      <c r="B18" s="15">
        <v>726.01384999999982</v>
      </c>
      <c r="C18" s="15">
        <v>743.81869439999991</v>
      </c>
      <c r="D18" s="15">
        <v>745.12372069999992</v>
      </c>
      <c r="E18" s="15">
        <v>754.48771789999978</v>
      </c>
      <c r="F18" s="15">
        <v>768.18885819999969</v>
      </c>
      <c r="G18" s="15">
        <v>780.17633579999961</v>
      </c>
      <c r="H18" s="15">
        <v>852.96648370000003</v>
      </c>
      <c r="I18" s="15">
        <v>873.93681350000008</v>
      </c>
      <c r="J18" s="15">
        <v>869.01860970000007</v>
      </c>
      <c r="K18" s="15">
        <v>876.4921628637868</v>
      </c>
      <c r="L18" s="15">
        <v>885.99722751627735</v>
      </c>
      <c r="M18" s="15">
        <v>895.37264312764364</v>
      </c>
      <c r="N18" s="15">
        <v>903.00275027777195</v>
      </c>
      <c r="O18" s="15">
        <v>912.4215790169585</v>
      </c>
      <c r="P18" s="15">
        <v>920.39335335717612</v>
      </c>
      <c r="R18" s="36">
        <f>(J18/D18)^(1/6)-1</f>
        <v>2.5967132099017576E-2</v>
      </c>
      <c r="S18" s="36">
        <f>(P18/J18)^(1/6)-1</f>
        <v>9.6187315725528855E-3</v>
      </c>
    </row>
    <row r="19" spans="1:19" x14ac:dyDescent="0.2">
      <c r="A19" s="12" t="s">
        <v>4</v>
      </c>
      <c r="B19" s="13"/>
      <c r="C19" s="63">
        <f t="shared" ref="C19:P19" si="55">C18/B18-1</f>
        <v>2.4524111213581001E-2</v>
      </c>
      <c r="D19" s="63">
        <f t="shared" si="55"/>
        <v>1.7544951610186654E-3</v>
      </c>
      <c r="E19" s="63">
        <f t="shared" si="55"/>
        <v>1.2567036775051221E-2</v>
      </c>
      <c r="F19" s="63">
        <f t="shared" si="55"/>
        <v>1.8159527285791954E-2</v>
      </c>
      <c r="G19" s="63">
        <f t="shared" si="55"/>
        <v>1.5604857414996509E-2</v>
      </c>
      <c r="H19" s="63">
        <f t="shared" si="55"/>
        <v>9.3299610049516257E-2</v>
      </c>
      <c r="I19" s="63">
        <f t="shared" si="55"/>
        <v>2.4585174447927738E-2</v>
      </c>
      <c r="J19" s="63">
        <f t="shared" si="55"/>
        <v>-5.6276423238235118E-3</v>
      </c>
      <c r="K19" s="63">
        <f t="shared" si="55"/>
        <v>8.599992083445418E-3</v>
      </c>
      <c r="L19" s="63">
        <f t="shared" si="55"/>
        <v>1.0844437697462572E-2</v>
      </c>
      <c r="M19" s="63">
        <f t="shared" si="55"/>
        <v>1.0581766308285667E-2</v>
      </c>
      <c r="N19" s="63">
        <f t="shared" si="55"/>
        <v>8.5217112770783476E-3</v>
      </c>
      <c r="O19" s="63">
        <f t="shared" si="55"/>
        <v>1.0430564841900303E-2</v>
      </c>
      <c r="P19" s="63">
        <f t="shared" si="55"/>
        <v>8.736941917579788E-3</v>
      </c>
      <c r="R19" s="110"/>
      <c r="S19" s="110"/>
    </row>
    <row r="20" spans="1:19" x14ac:dyDescent="0.2">
      <c r="A20" s="22" t="s">
        <v>10</v>
      </c>
      <c r="B20" s="15">
        <v>140.52217999000015</v>
      </c>
      <c r="C20" s="15">
        <v>145.5409405000002</v>
      </c>
      <c r="D20" s="15">
        <v>150.46678938000022</v>
      </c>
      <c r="E20" s="15">
        <v>151.81670793000023</v>
      </c>
      <c r="F20" s="15">
        <v>150.68484629000022</v>
      </c>
      <c r="G20" s="15">
        <v>156.5012024100003</v>
      </c>
      <c r="H20" s="15">
        <v>154.5640813200003</v>
      </c>
      <c r="I20" s="15">
        <v>154.9610507700003</v>
      </c>
      <c r="J20" s="15">
        <v>155.78066880000031</v>
      </c>
      <c r="K20" s="15">
        <v>157.84591093144775</v>
      </c>
      <c r="L20" s="15">
        <v>159.87825856363293</v>
      </c>
      <c r="M20" s="15">
        <v>161.91875434161008</v>
      </c>
      <c r="N20" s="15">
        <v>163.48488200881397</v>
      </c>
      <c r="O20" s="15">
        <v>165.06770258680677</v>
      </c>
      <c r="P20" s="15">
        <v>166.14508252548475</v>
      </c>
      <c r="R20" s="36">
        <f>(J20/D20)^(1/6)-1</f>
        <v>5.8012051026172795E-3</v>
      </c>
      <c r="S20" s="36">
        <f>(P20/J20)^(1/6)-1</f>
        <v>1.0793222584803308E-2</v>
      </c>
    </row>
    <row r="21" spans="1:19" x14ac:dyDescent="0.2">
      <c r="A21" s="12" t="s">
        <v>4</v>
      </c>
      <c r="B21" s="13"/>
      <c r="C21" s="63">
        <f t="shared" ref="C21:P21" si="56">C20/B20-1</f>
        <v>3.5715077223803293E-2</v>
      </c>
      <c r="D21" s="63">
        <f t="shared" si="56"/>
        <v>3.3845108208573116E-2</v>
      </c>
      <c r="E21" s="63">
        <f t="shared" si="56"/>
        <v>8.9715382082808937E-3</v>
      </c>
      <c r="F21" s="63">
        <f t="shared" si="56"/>
        <v>-7.455448451180291E-3</v>
      </c>
      <c r="G21" s="63">
        <f t="shared" si="56"/>
        <v>3.8599476080071193E-2</v>
      </c>
      <c r="H21" s="63">
        <f t="shared" si="56"/>
        <v>-1.2377675443829173E-2</v>
      </c>
      <c r="I21" s="63">
        <f t="shared" si="56"/>
        <v>2.5683163035670198E-3</v>
      </c>
      <c r="J21" s="63">
        <f t="shared" si="56"/>
        <v>5.2891873533855716E-3</v>
      </c>
      <c r="K21" s="63">
        <f t="shared" si="56"/>
        <v>1.3257371067644463E-2</v>
      </c>
      <c r="L21" s="63">
        <f t="shared" si="56"/>
        <v>1.2875516509691654E-2</v>
      </c>
      <c r="M21" s="63">
        <f t="shared" si="56"/>
        <v>1.2762809629709659E-2</v>
      </c>
      <c r="N21" s="63">
        <f t="shared" si="56"/>
        <v>9.672305555783467E-3</v>
      </c>
      <c r="O21" s="63">
        <f t="shared" si="56"/>
        <v>9.6817550255654528E-3</v>
      </c>
      <c r="P21" s="63">
        <f t="shared" si="56"/>
        <v>6.5268972778693701E-3</v>
      </c>
      <c r="R21" s="110"/>
      <c r="S21" s="110"/>
    </row>
    <row r="22" spans="1:19" x14ac:dyDescent="0.2">
      <c r="A22" s="22" t="s">
        <v>11</v>
      </c>
      <c r="B22" s="15">
        <v>4.696596901000003</v>
      </c>
      <c r="C22" s="15">
        <v>4.8727764870000039</v>
      </c>
      <c r="D22" s="15">
        <v>5.0567754590000025</v>
      </c>
      <c r="E22" s="15">
        <v>5.1072507450000026</v>
      </c>
      <c r="F22" s="15">
        <v>4.9719011580000032</v>
      </c>
      <c r="G22" s="15">
        <v>5.1352402640000037</v>
      </c>
      <c r="H22" s="15">
        <v>5.2112486720000053</v>
      </c>
      <c r="I22" s="15">
        <v>5.1343709470000052</v>
      </c>
      <c r="J22" s="15">
        <v>5.2249166670000067</v>
      </c>
      <c r="K22" s="15">
        <v>5.3311405903496762</v>
      </c>
      <c r="L22" s="15">
        <v>5.4157599648636712</v>
      </c>
      <c r="M22" s="15">
        <v>5.4901257258201346</v>
      </c>
      <c r="N22" s="15">
        <v>5.5599069930098288</v>
      </c>
      <c r="O22" s="15">
        <v>5.6221212638768367</v>
      </c>
      <c r="P22" s="15">
        <v>5.6703803116256459</v>
      </c>
      <c r="R22" s="36">
        <f>(J22/D22)^(1/6)-1</f>
        <v>5.466525509153719E-3</v>
      </c>
      <c r="S22" s="36">
        <f>(P22/J22)^(1/6)-1</f>
        <v>1.3729620846371082E-2</v>
      </c>
    </row>
    <row r="23" spans="1:19" x14ac:dyDescent="0.2">
      <c r="A23" s="12" t="s">
        <v>4</v>
      </c>
      <c r="B23" s="13"/>
      <c r="C23" s="63">
        <f t="shared" ref="C23:P23" si="57">C22/B22-1</f>
        <v>3.751217950224528E-2</v>
      </c>
      <c r="D23" s="63">
        <f t="shared" si="57"/>
        <v>3.7760601679737604E-2</v>
      </c>
      <c r="E23" s="63">
        <f t="shared" si="57"/>
        <v>9.9817139220932383E-3</v>
      </c>
      <c r="F23" s="63">
        <f t="shared" si="57"/>
        <v>-2.6501457194461508E-2</v>
      </c>
      <c r="G23" s="63">
        <f t="shared" si="57"/>
        <v>3.2852444328500097E-2</v>
      </c>
      <c r="H23" s="63">
        <f t="shared" si="57"/>
        <v>1.4801334327597004E-2</v>
      </c>
      <c r="I23" s="63">
        <f t="shared" si="57"/>
        <v>-1.475226569268584E-2</v>
      </c>
      <c r="J23" s="63">
        <f t="shared" si="57"/>
        <v>1.7635211973320075E-2</v>
      </c>
      <c r="K23" s="63">
        <f t="shared" si="57"/>
        <v>2.033026172849195E-2</v>
      </c>
      <c r="L23" s="63">
        <f t="shared" si="57"/>
        <v>1.5872658595267763E-2</v>
      </c>
      <c r="M23" s="63">
        <f t="shared" si="57"/>
        <v>1.3731362069023145E-2</v>
      </c>
      <c r="N23" s="63">
        <f t="shared" si="57"/>
        <v>1.2710322253917106E-2</v>
      </c>
      <c r="O23" s="63">
        <f t="shared" si="57"/>
        <v>1.1189804244068569E-2</v>
      </c>
      <c r="P23" s="63">
        <f t="shared" si="57"/>
        <v>8.5837792327394524E-3</v>
      </c>
      <c r="R23" s="110"/>
      <c r="S23" s="110"/>
    </row>
    <row r="24" spans="1:19" x14ac:dyDescent="0.2">
      <c r="A24" s="25" t="s">
        <v>54</v>
      </c>
      <c r="B24" s="40">
        <f>B18+B20+B22</f>
        <v>871.232626891</v>
      </c>
      <c r="C24" s="40">
        <f t="shared" ref="C24:P24" si="58">C18+C20+C22</f>
        <v>894.23241138700018</v>
      </c>
      <c r="D24" s="40">
        <f t="shared" si="58"/>
        <v>900.64728553900022</v>
      </c>
      <c r="E24" s="40">
        <f t="shared" si="58"/>
        <v>911.411676575</v>
      </c>
      <c r="F24" s="40">
        <f t="shared" si="58"/>
        <v>923.84560564799995</v>
      </c>
      <c r="G24" s="40">
        <f t="shared" si="58"/>
        <v>941.81277847399997</v>
      </c>
      <c r="H24" s="40">
        <f t="shared" si="58"/>
        <v>1012.7418136920003</v>
      </c>
      <c r="I24" s="40">
        <f t="shared" si="58"/>
        <v>1034.0322352170003</v>
      </c>
      <c r="J24" s="40">
        <f t="shared" si="58"/>
        <v>1030.0241951670005</v>
      </c>
      <c r="K24" s="40">
        <f t="shared" si="58"/>
        <v>1039.6692143855842</v>
      </c>
      <c r="L24" s="40">
        <f t="shared" si="58"/>
        <v>1051.291246044774</v>
      </c>
      <c r="M24" s="40">
        <f t="shared" si="58"/>
        <v>1062.781523195074</v>
      </c>
      <c r="N24" s="40">
        <f t="shared" si="58"/>
        <v>1072.0475392795959</v>
      </c>
      <c r="O24" s="40">
        <f t="shared" si="58"/>
        <v>1083.111402867642</v>
      </c>
      <c r="P24" s="40">
        <f t="shared" si="58"/>
        <v>1092.2088161942866</v>
      </c>
      <c r="R24" s="36">
        <f>(J24/D24)^(1/6)-1</f>
        <v>2.2622742611813074E-2</v>
      </c>
      <c r="S24" s="36">
        <f>(P24/J24)^(1/6)-1</f>
        <v>9.817846956941656E-3</v>
      </c>
    </row>
    <row r="25" spans="1:19" ht="17.100000000000001" customHeight="1" x14ac:dyDescent="0.2">
      <c r="A25" s="26" t="s">
        <v>4</v>
      </c>
      <c r="B25" s="35"/>
      <c r="C25" s="8">
        <f>C24/B24-1</f>
        <v>2.6399131283771027E-2</v>
      </c>
      <c r="D25" s="8">
        <f t="shared" ref="D25" si="59">D24/C24-1</f>
        <v>7.1736095340697581E-3</v>
      </c>
      <c r="E25" s="8">
        <f t="shared" ref="E25" si="60">E24/D24-1</f>
        <v>1.1951838648531332E-2</v>
      </c>
      <c r="F25" s="8">
        <f t="shared" ref="F25" si="61">F24/E24-1</f>
        <v>1.364249481609181E-2</v>
      </c>
      <c r="G25" s="8">
        <f t="shared" ref="G25" si="62">G24/F24-1</f>
        <v>1.9448241909856279E-2</v>
      </c>
      <c r="H25" s="8">
        <f t="shared" ref="H25" si="63">H24/G24-1</f>
        <v>7.5311183750262023E-2</v>
      </c>
      <c r="I25" s="8">
        <f t="shared" ref="I25" si="64">I24/H24-1</f>
        <v>2.1022556032701756E-2</v>
      </c>
      <c r="J25" s="8">
        <f t="shared" ref="J25" si="65">J24/I24-1</f>
        <v>-3.8761267913072217E-3</v>
      </c>
      <c r="K25" s="8">
        <f t="shared" ref="K25" si="66">K24/J24-1</f>
        <v>9.3638763670205183E-3</v>
      </c>
      <c r="L25" s="8">
        <f t="shared" ref="L25" si="67">L24/K24-1</f>
        <v>1.1178585937122509E-2</v>
      </c>
      <c r="M25" s="8">
        <f t="shared" ref="M25" si="68">M24/L24-1</f>
        <v>1.0929680232313777E-2</v>
      </c>
      <c r="N25" s="8">
        <f t="shared" ref="N25" si="69">N24/M24-1</f>
        <v>8.7186461961299422E-3</v>
      </c>
      <c r="O25" s="8">
        <f t="shared" ref="O25" si="70">O24/N24-1</f>
        <v>1.0320310604398086E-2</v>
      </c>
      <c r="P25" s="8">
        <f t="shared" ref="P25" si="71">P24/O24-1</f>
        <v>8.3993329795608584E-3</v>
      </c>
      <c r="R25" s="110"/>
      <c r="S25" s="110"/>
    </row>
    <row r="26" spans="1:19" ht="17.100000000000001" customHeight="1" x14ac:dyDescent="0.2">
      <c r="R26" s="110"/>
      <c r="S26" s="110"/>
    </row>
    <row r="27" spans="1:19" x14ac:dyDescent="0.2">
      <c r="A27" s="16" t="s">
        <v>12</v>
      </c>
      <c r="R27" s="110"/>
      <c r="S27" s="110"/>
    </row>
    <row r="28" spans="1:19" x14ac:dyDescent="0.2">
      <c r="A28" s="17" t="s">
        <v>84</v>
      </c>
      <c r="B28" s="93">
        <v>3.2269528273998593E-2</v>
      </c>
      <c r="C28" s="93">
        <v>4.5014603670312382E-2</v>
      </c>
      <c r="D28" s="93">
        <v>6.2468498774204552E-2</v>
      </c>
      <c r="E28" s="93">
        <v>8.6079931734160606E-2</v>
      </c>
      <c r="F28" s="93">
        <v>0.11749738492405457</v>
      </c>
      <c r="G28" s="93">
        <v>0.15839424442663005</v>
      </c>
      <c r="H28" s="93">
        <v>0.21013640461175473</v>
      </c>
      <c r="I28" s="93">
        <v>0.27329233000736902</v>
      </c>
      <c r="J28" s="93">
        <v>0.34708865275617939</v>
      </c>
      <c r="K28" s="93">
        <v>0.42904710640722193</v>
      </c>
      <c r="L28" s="93">
        <v>0.51509070206556251</v>
      </c>
      <c r="M28" s="93">
        <v>0.6002488963062298</v>
      </c>
      <c r="N28" s="93">
        <v>0.67975006049254805</v>
      </c>
      <c r="O28" s="93">
        <v>0.75002479959218293</v>
      </c>
      <c r="P28" s="93">
        <v>0.8092070014485484</v>
      </c>
      <c r="R28" s="110"/>
      <c r="S28" s="110"/>
    </row>
    <row r="29" spans="1:19" x14ac:dyDescent="0.2">
      <c r="A29" s="17" t="s">
        <v>13</v>
      </c>
      <c r="B29" s="93">
        <v>6.6626539524687917E-2</v>
      </c>
      <c r="C29" s="93">
        <v>9.2902579954067144E-2</v>
      </c>
      <c r="D29" s="93">
        <v>0.12811888429450069</v>
      </c>
      <c r="E29" s="93">
        <v>0.17412205329549543</v>
      </c>
      <c r="F29" s="93">
        <v>0.23224345003429267</v>
      </c>
      <c r="G29" s="93">
        <v>0.30265588262433696</v>
      </c>
      <c r="H29" s="93">
        <v>0.38374594623184466</v>
      </c>
      <c r="I29" s="93">
        <v>0.47186111500308325</v>
      </c>
      <c r="J29" s="93">
        <v>0.56176526155425255</v>
      </c>
      <c r="K29" s="93">
        <v>0.64778871587925291</v>
      </c>
      <c r="L29" s="93">
        <v>0.72518672903860104</v>
      </c>
      <c r="M29" s="93">
        <v>0.79106241504035901</v>
      </c>
      <c r="N29" s="93">
        <v>0.84453233729529187</v>
      </c>
      <c r="O29" s="93">
        <v>0.88628560436161019</v>
      </c>
      <c r="P29" s="93">
        <v>0.917915280551728</v>
      </c>
      <c r="R29" s="110"/>
      <c r="S29" s="110"/>
    </row>
    <row r="30" spans="1:19" x14ac:dyDescent="0.2">
      <c r="A30" s="17" t="s">
        <v>14</v>
      </c>
      <c r="B30" s="93">
        <v>0.26270054482885852</v>
      </c>
      <c r="C30" s="93">
        <v>0.34893303847206331</v>
      </c>
      <c r="D30" s="93">
        <v>0.44633610117747929</v>
      </c>
      <c r="E30" s="93">
        <v>0.54804166839845847</v>
      </c>
      <c r="F30" s="93">
        <v>0.64588693909605788</v>
      </c>
      <c r="G30" s="93">
        <v>0.73287435056499495</v>
      </c>
      <c r="H30" s="93">
        <v>0.80494651327698463</v>
      </c>
      <c r="I30" s="93">
        <v>0.86125452253271328</v>
      </c>
      <c r="J30" s="93">
        <v>0.90326107814190759</v>
      </c>
      <c r="K30" s="93">
        <v>0.93353126128499075</v>
      </c>
      <c r="L30" s="93">
        <v>0.954803659412233</v>
      </c>
      <c r="M30" s="93">
        <v>0.96949061638258072</v>
      </c>
      <c r="N30" s="93">
        <v>0.9795073487947209</v>
      </c>
      <c r="O30" s="93">
        <v>0.98628195688200138</v>
      </c>
      <c r="P30" s="93">
        <v>0.9908379149698554</v>
      </c>
      <c r="R30" s="110"/>
      <c r="S30" s="110"/>
    </row>
    <row r="31" spans="1:19" x14ac:dyDescent="0.2">
      <c r="A31" s="18" t="s">
        <v>15</v>
      </c>
      <c r="B31" s="94">
        <v>3.9053208699540189E-2</v>
      </c>
      <c r="C31" s="94">
        <v>5.4464705905971557E-2</v>
      </c>
      <c r="D31" s="94">
        <v>7.5591654966323515E-2</v>
      </c>
      <c r="E31" s="94">
        <v>0.10333406604309374</v>
      </c>
      <c r="F31" s="94">
        <v>0.13905682483264289</v>
      </c>
      <c r="G31" s="94">
        <v>0.18549858383987042</v>
      </c>
      <c r="H31" s="94">
        <v>0.23969329886957683</v>
      </c>
      <c r="I31" s="94">
        <v>0.30596949656127609</v>
      </c>
      <c r="J31" s="94">
        <v>0.38237755222082764</v>
      </c>
      <c r="K31" s="94">
        <v>0.46484401569915962</v>
      </c>
      <c r="L31" s="94">
        <v>0.54930687849559567</v>
      </c>
      <c r="M31" s="94">
        <v>0.63122748410894958</v>
      </c>
      <c r="N31" s="94">
        <v>0.70643361012589745</v>
      </c>
      <c r="O31" s="94">
        <v>0.77201748134273407</v>
      </c>
      <c r="P31" s="94">
        <v>0.82668649994347632</v>
      </c>
      <c r="R31" s="110"/>
      <c r="S31" s="110"/>
    </row>
    <row r="32" spans="1:19" ht="17.100000000000001" customHeight="1" x14ac:dyDescent="0.2">
      <c r="B32" s="103"/>
      <c r="C32" s="103"/>
      <c r="D32" s="103"/>
      <c r="E32" s="103"/>
      <c r="F32" s="103"/>
      <c r="G32" s="103"/>
      <c r="H32" s="103"/>
      <c r="I32" s="103"/>
      <c r="J32" s="103"/>
      <c r="K32" s="103"/>
      <c r="L32" s="103"/>
      <c r="M32" s="103"/>
      <c r="N32" s="103"/>
      <c r="O32" s="103"/>
      <c r="P32" s="103"/>
      <c r="R32" s="110"/>
      <c r="S32" s="110"/>
    </row>
    <row r="33" spans="1:19" x14ac:dyDescent="0.2">
      <c r="A33" s="21" t="s">
        <v>16</v>
      </c>
      <c r="R33" s="110"/>
      <c r="S33" s="110"/>
    </row>
    <row r="34" spans="1:19" x14ac:dyDescent="0.2">
      <c r="A34" s="22" t="s">
        <v>83</v>
      </c>
      <c r="B34" s="15">
        <f t="shared" ref="B34:P34" si="72">B28*B18</f>
        <v>23.428124459889567</v>
      </c>
      <c r="C34" s="15">
        <f t="shared" si="72"/>
        <v>33.4827037309852</v>
      </c>
      <c r="D34" s="15">
        <f t="shared" si="72"/>
        <v>46.546760233178681</v>
      </c>
      <c r="E34" s="15">
        <f t="shared" si="72"/>
        <v>64.946251251094608</v>
      </c>
      <c r="F34" s="15">
        <f t="shared" si="72"/>
        <v>90.260181966295335</v>
      </c>
      <c r="G34" s="15">
        <f t="shared" si="72"/>
        <v>123.57544122857774</v>
      </c>
      <c r="H34" s="15">
        <f t="shared" si="72"/>
        <v>179.23931013904891</v>
      </c>
      <c r="I34" s="15">
        <f t="shared" si="72"/>
        <v>238.84022804063054</v>
      </c>
      <c r="J34" s="15">
        <f t="shared" si="72"/>
        <v>301.6264984608211</v>
      </c>
      <c r="K34" s="15">
        <f t="shared" si="72"/>
        <v>376.05642626531522</v>
      </c>
      <c r="L34" s="15">
        <f t="shared" si="72"/>
        <v>456.36893394950124</v>
      </c>
      <c r="M34" s="15">
        <f t="shared" si="72"/>
        <v>537.44644082015986</v>
      </c>
      <c r="N34" s="15">
        <f t="shared" si="72"/>
        <v>613.81617412625269</v>
      </c>
      <c r="O34" s="15">
        <f t="shared" si="72"/>
        <v>684.33881194577737</v>
      </c>
      <c r="P34" s="15">
        <f t="shared" si="72"/>
        <v>744.78874562333476</v>
      </c>
      <c r="R34" s="36">
        <f>(J34/D34)^(1/6)-1</f>
        <v>0.36541081677528697</v>
      </c>
      <c r="S34" s="36">
        <f>(P34/J34)^(1/6)-1</f>
        <v>0.16259183579478464</v>
      </c>
    </row>
    <row r="35" spans="1:19" x14ac:dyDescent="0.2">
      <c r="A35" s="12" t="s">
        <v>4</v>
      </c>
      <c r="B35" s="41"/>
      <c r="C35" s="13">
        <f>C34/B34-1</f>
        <v>0.42916705894702378</v>
      </c>
      <c r="D35" s="13">
        <f t="shared" ref="D35" si="73">D34/C34-1</f>
        <v>0.39017328490422609</v>
      </c>
      <c r="E35" s="13">
        <f t="shared" ref="E35" si="74">E34/D34-1</f>
        <v>0.39529047619517699</v>
      </c>
      <c r="F35" s="13">
        <f t="shared" ref="F35" si="75">F34/E34-1</f>
        <v>0.38976738807190325</v>
      </c>
      <c r="G35" s="13">
        <f t="shared" ref="G35" si="76">G34/F34-1</f>
        <v>0.36910250496418118</v>
      </c>
      <c r="H35" s="13">
        <f t="shared" ref="H35" si="77">H34/G34-1</f>
        <v>0.45044442776869875</v>
      </c>
      <c r="I35" s="13">
        <f t="shared" ref="I35" si="78">I34/H34-1</f>
        <v>0.33252146448982023</v>
      </c>
      <c r="J35" s="13">
        <f t="shared" ref="J35" si="79">J34/I34-1</f>
        <v>0.26287979598440847</v>
      </c>
      <c r="K35" s="13">
        <f t="shared" ref="K35" si="80">K34/J34-1</f>
        <v>0.24676189984734376</v>
      </c>
      <c r="L35" s="13">
        <f t="shared" ref="L35" si="81">L34/K34-1</f>
        <v>0.21356504522947306</v>
      </c>
      <c r="M35" s="13">
        <f t="shared" ref="M35" si="82">M34/L34-1</f>
        <v>0.17765781331564101</v>
      </c>
      <c r="N35" s="13">
        <f t="shared" ref="N35" si="83">N34/M34-1</f>
        <v>0.14209738404732986</v>
      </c>
      <c r="O35" s="13">
        <f t="shared" ref="O35" si="84">O34/N34-1</f>
        <v>0.11489211394585896</v>
      </c>
      <c r="P35" s="13">
        <f t="shared" ref="P35" si="85">P34/O34-1</f>
        <v>8.8333341061981319E-2</v>
      </c>
      <c r="R35" s="110"/>
      <c r="S35" s="110"/>
    </row>
    <row r="36" spans="1:19" x14ac:dyDescent="0.2">
      <c r="A36" s="22" t="s">
        <v>17</v>
      </c>
      <c r="B36" s="15">
        <f t="shared" ref="B36:P36" si="86">B29*B20</f>
        <v>9.3625065791990547</v>
      </c>
      <c r="C36" s="15">
        <f t="shared" si="86"/>
        <v>13.521128861391398</v>
      </c>
      <c r="D36" s="15">
        <f t="shared" si="86"/>
        <v>19.277637178741255</v>
      </c>
      <c r="E36" s="15">
        <f t="shared" si="86"/>
        <v>26.434636909334166</v>
      </c>
      <c r="F36" s="15">
        <f t="shared" si="86"/>
        <v>34.995568570276738</v>
      </c>
      <c r="G36" s="15">
        <f t="shared" si="86"/>
        <v>47.366009547168652</v>
      </c>
      <c r="H36" s="15">
        <f t="shared" si="86"/>
        <v>59.313339639599299</v>
      </c>
      <c r="I36" s="15">
        <f t="shared" si="86"/>
        <v>73.120094198381736</v>
      </c>
      <c r="J36" s="15">
        <f t="shared" si="86"/>
        <v>87.512168153528563</v>
      </c>
      <c r="K36" s="15">
        <f t="shared" si="86"/>
        <v>102.25079994907347</v>
      </c>
      <c r="L36" s="15">
        <f t="shared" si="86"/>
        <v>115.94159137214866</v>
      </c>
      <c r="M36" s="15">
        <f t="shared" si="86"/>
        <v>128.0878408498007</v>
      </c>
      <c r="N36" s="15">
        <f t="shared" si="86"/>
        <v>138.06826951534867</v>
      </c>
      <c r="O36" s="15">
        <f t="shared" si="86"/>
        <v>146.29712854773058</v>
      </c>
      <c r="P36" s="15">
        <f t="shared" si="86"/>
        <v>152.50711003867033</v>
      </c>
      <c r="R36" s="36">
        <f>(J36/D36)^(1/6)-1</f>
        <v>0.28677448328952138</v>
      </c>
      <c r="S36" s="36">
        <f>(P36/J36)^(1/6)-1</f>
        <v>9.6992372603752042E-2</v>
      </c>
    </row>
    <row r="37" spans="1:19" x14ac:dyDescent="0.2">
      <c r="A37" s="12" t="s">
        <v>4</v>
      </c>
      <c r="B37" s="41"/>
      <c r="C37" s="13">
        <f>C36/B36-1</f>
        <v>0.44417830278823756</v>
      </c>
      <c r="D37" s="13">
        <f t="shared" ref="D37" si="87">D36/C36-1</f>
        <v>0.42574169482158752</v>
      </c>
      <c r="E37" s="13">
        <f t="shared" ref="E37" si="88">E36/D36-1</f>
        <v>0.37125917788749629</v>
      </c>
      <c r="F37" s="13">
        <f t="shared" ref="F37" si="89">F36/E36-1</f>
        <v>0.32385281819095746</v>
      </c>
      <c r="G37" s="13">
        <f t="shared" ref="G37" si="90">G36/F36-1</f>
        <v>0.3534859264266581</v>
      </c>
      <c r="H37" s="13">
        <f t="shared" ref="H37" si="91">H36/G36-1</f>
        <v>0.25223425419726553</v>
      </c>
      <c r="I37" s="13">
        <f t="shared" ref="I37" si="92">I36/H36-1</f>
        <v>0.2327765498060852</v>
      </c>
      <c r="J37" s="13">
        <f t="shared" ref="J37" si="93">J36/I36-1</f>
        <v>0.19682789133312339</v>
      </c>
      <c r="K37" s="13">
        <f t="shared" ref="K37" si="94">K36/J36-1</f>
        <v>0.16841808523916257</v>
      </c>
      <c r="L37" s="13">
        <f t="shared" ref="L37" si="95">L36/K36-1</f>
        <v>0.13389422312484567</v>
      </c>
      <c r="M37" s="13">
        <f t="shared" ref="M37" si="96">M36/L36-1</f>
        <v>0.10476179715927025</v>
      </c>
      <c r="N37" s="13">
        <f t="shared" ref="N37" si="97">N36/M36-1</f>
        <v>7.7918626774662325E-2</v>
      </c>
      <c r="O37" s="13">
        <f t="shared" ref="O37" si="98">O36/N36-1</f>
        <v>5.9599928798029334E-2</v>
      </c>
      <c r="P37" s="13">
        <f t="shared" ref="P37" si="99">P36/O36-1</f>
        <v>4.2447733271222088E-2</v>
      </c>
      <c r="R37" s="110"/>
      <c r="S37" s="110"/>
    </row>
    <row r="38" spans="1:19" x14ac:dyDescent="0.2">
      <c r="A38" s="22" t="s">
        <v>18</v>
      </c>
      <c r="B38" s="15">
        <f t="shared" ref="B38:P38" si="100">B30*B22</f>
        <v>1.2337985647342293</v>
      </c>
      <c r="C38" s="15">
        <f t="shared" si="100"/>
        <v>1.7002727054041378</v>
      </c>
      <c r="D38" s="15">
        <f t="shared" si="100"/>
        <v>2.2570214429000193</v>
      </c>
      <c r="E38" s="15">
        <f t="shared" si="100"/>
        <v>2.7989862192190715</v>
      </c>
      <c r="F38" s="15">
        <f t="shared" si="100"/>
        <v>3.2112860204287679</v>
      </c>
      <c r="G38" s="15">
        <f t="shared" si="100"/>
        <v>3.7634858734742158</v>
      </c>
      <c r="H38" s="15">
        <f t="shared" si="100"/>
        <v>4.1947764483457206</v>
      </c>
      <c r="I38" s="15">
        <f t="shared" si="100"/>
        <v>4.4220001984643247</v>
      </c>
      <c r="J38" s="15">
        <f t="shared" si="100"/>
        <v>4.719463861836048</v>
      </c>
      <c r="K38" s="15">
        <f t="shared" si="100"/>
        <v>4.9767863993967438</v>
      </c>
      <c r="L38" s="15">
        <f t="shared" si="100"/>
        <v>5.1709874329501</v>
      </c>
      <c r="M38" s="15">
        <f t="shared" si="100"/>
        <v>5.3226253739432252</v>
      </c>
      <c r="N38" s="15">
        <f t="shared" si="100"/>
        <v>5.4459697582682862</v>
      </c>
      <c r="O38" s="15">
        <f t="shared" si="100"/>
        <v>5.5449967619643576</v>
      </c>
      <c r="P38" s="15">
        <f t="shared" si="100"/>
        <v>5.6184278050572738</v>
      </c>
      <c r="R38" s="36">
        <f>(J38/D38)^(1/6)-1</f>
        <v>0.13081830499527713</v>
      </c>
      <c r="S38" s="36">
        <f>(P38/J38)^(1/6)-1</f>
        <v>2.9485790477930873E-2</v>
      </c>
    </row>
    <row r="39" spans="1:19" x14ac:dyDescent="0.2">
      <c r="A39" s="12" t="s">
        <v>4</v>
      </c>
      <c r="B39" s="41"/>
      <c r="C39" s="13">
        <f>C38/B38-1</f>
        <v>0.37807965903282681</v>
      </c>
      <c r="D39" s="13">
        <f t="shared" ref="D39" si="101">D38/C38-1</f>
        <v>0.32744673000178981</v>
      </c>
      <c r="E39" s="13">
        <f t="shared" ref="E39" si="102">E38/D38-1</f>
        <v>0.24012389338343554</v>
      </c>
      <c r="F39" s="13">
        <f t="shared" ref="F39" si="103">F38/E38-1</f>
        <v>0.14730326229499258</v>
      </c>
      <c r="G39" s="13">
        <f t="shared" ref="G39" si="104">G38/F38-1</f>
        <v>0.1719559857118298</v>
      </c>
      <c r="H39" s="13">
        <f t="shared" ref="H39" si="105">H38/G38-1</f>
        <v>0.11459869636055364</v>
      </c>
      <c r="I39" s="13">
        <f t="shared" ref="I39" si="106">I38/H38-1</f>
        <v>5.4168262103267306E-2</v>
      </c>
      <c r="J39" s="13">
        <f t="shared" ref="J39" si="107">J38/I38-1</f>
        <v>6.726902985554517E-2</v>
      </c>
      <c r="K39" s="13">
        <f t="shared" ref="K39" si="108">K38/J38-1</f>
        <v>5.4523680039492373E-2</v>
      </c>
      <c r="L39" s="13">
        <f t="shared" ref="L39" si="109">L38/K38-1</f>
        <v>3.9021372019682365E-2</v>
      </c>
      <c r="M39" s="13">
        <f t="shared" ref="M39" si="110">M38/L38-1</f>
        <v>2.9324755273407055E-2</v>
      </c>
      <c r="N39" s="13">
        <f t="shared" ref="N39" si="111">N38/M38-1</f>
        <v>2.3173598677241225E-2</v>
      </c>
      <c r="O39" s="13">
        <f t="shared" ref="O39" si="112">O38/N38-1</f>
        <v>1.8183539037418317E-2</v>
      </c>
      <c r="P39" s="13">
        <f t="shared" ref="P39" si="113">P38/O38-1</f>
        <v>1.3242756712972925E-2</v>
      </c>
      <c r="R39" s="110"/>
      <c r="S39" s="110"/>
    </row>
    <row r="40" spans="1:19" x14ac:dyDescent="0.2">
      <c r="A40" s="18" t="s">
        <v>19</v>
      </c>
      <c r="B40" s="40">
        <f>B38+B36+B34</f>
        <v>34.024429603822853</v>
      </c>
      <c r="C40" s="40">
        <f t="shared" ref="C40:P40" si="114">C38+C36+C34</f>
        <v>48.704105297780735</v>
      </c>
      <c r="D40" s="40">
        <f t="shared" si="114"/>
        <v>68.081418854819958</v>
      </c>
      <c r="E40" s="40">
        <f t="shared" si="114"/>
        <v>94.179874379647842</v>
      </c>
      <c r="F40" s="40">
        <f t="shared" si="114"/>
        <v>128.46703655700082</v>
      </c>
      <c r="G40" s="40">
        <f t="shared" si="114"/>
        <v>174.7049366492206</v>
      </c>
      <c r="H40" s="40">
        <f t="shared" si="114"/>
        <v>242.74742622699392</v>
      </c>
      <c r="I40" s="40">
        <f t="shared" si="114"/>
        <v>316.3823224374766</v>
      </c>
      <c r="J40" s="40">
        <f t="shared" si="114"/>
        <v>393.85813047618569</v>
      </c>
      <c r="K40" s="40">
        <f t="shared" si="114"/>
        <v>483.28401261378542</v>
      </c>
      <c r="L40" s="40">
        <f t="shared" si="114"/>
        <v>577.48151275459998</v>
      </c>
      <c r="M40" s="40">
        <f t="shared" si="114"/>
        <v>670.85690704390379</v>
      </c>
      <c r="N40" s="40">
        <f t="shared" si="114"/>
        <v>757.33041339986971</v>
      </c>
      <c r="O40" s="40">
        <f t="shared" si="114"/>
        <v>836.18093725547237</v>
      </c>
      <c r="P40" s="40">
        <f t="shared" si="114"/>
        <v>902.91428346706243</v>
      </c>
      <c r="R40" s="36">
        <f>(J40/D40)^(1/6)-1</f>
        <v>0.33983669984166154</v>
      </c>
      <c r="S40" s="36">
        <f>(P40/J40)^(1/6)-1</f>
        <v>0.14828877129068041</v>
      </c>
    </row>
    <row r="41" spans="1:19" x14ac:dyDescent="0.2">
      <c r="A41" s="19" t="s">
        <v>4</v>
      </c>
      <c r="B41" s="35"/>
      <c r="C41" s="8">
        <f>C40/B40-1</f>
        <v>0.43144516645500297</v>
      </c>
      <c r="D41" s="8">
        <f t="shared" ref="D41" si="115">D40/C40-1</f>
        <v>0.39785791030478435</v>
      </c>
      <c r="E41" s="8">
        <f t="shared" ref="E41" si="116">E40/D40-1</f>
        <v>0.38334182753272916</v>
      </c>
      <c r="F41" s="8">
        <f t="shared" ref="F41" si="117">F40/E40-1</f>
        <v>0.36406039404064439</v>
      </c>
      <c r="G41" s="8">
        <f t="shared" ref="G41" si="118">G40/F40-1</f>
        <v>0.35992034479369361</v>
      </c>
      <c r="H41" s="8">
        <f t="shared" ref="H41" si="119">H40/G40-1</f>
        <v>0.38947090381533811</v>
      </c>
      <c r="I41" s="8">
        <f t="shared" ref="I41" si="120">I40/H40-1</f>
        <v>0.30333955484094988</v>
      </c>
      <c r="J41" s="8">
        <f t="shared" ref="J41" si="121">J40/I40-1</f>
        <v>0.24488033162478562</v>
      </c>
      <c r="K41" s="8">
        <f t="shared" ref="K41" si="122">K40/J40-1</f>
        <v>0.22705099937757112</v>
      </c>
      <c r="L41" s="8">
        <f t="shared" ref="L41" si="123">L40/K40-1</f>
        <v>0.19491126890657595</v>
      </c>
      <c r="M41" s="8">
        <f t="shared" ref="M41" si="124">M40/L40-1</f>
        <v>0.16169417068245373</v>
      </c>
      <c r="N41" s="8">
        <f t="shared" ref="N41" si="125">N40/M40-1</f>
        <v>0.12890007607882725</v>
      </c>
      <c r="O41" s="8">
        <f t="shared" ref="O41" si="126">O40/N40-1</f>
        <v>0.10411641003775407</v>
      </c>
      <c r="P41" s="8">
        <f t="shared" ref="P41" si="127">P40/O40-1</f>
        <v>7.9807303943837171E-2</v>
      </c>
      <c r="R41" s="110"/>
      <c r="S41" s="110"/>
    </row>
    <row r="42" spans="1:19" ht="17.100000000000001" customHeight="1" x14ac:dyDescent="0.2">
      <c r="R42" s="110"/>
      <c r="S42" s="110"/>
    </row>
    <row r="43" spans="1:19" x14ac:dyDescent="0.2">
      <c r="A43" s="24" t="s">
        <v>20</v>
      </c>
      <c r="B43" s="40">
        <f>B55+B111</f>
        <v>139.47669929169101</v>
      </c>
      <c r="C43" s="40">
        <f t="shared" ref="C43:P43" si="128">C55+C111</f>
        <v>182.93872445274422</v>
      </c>
      <c r="D43" s="40">
        <f t="shared" si="128"/>
        <v>239.48228384416939</v>
      </c>
      <c r="E43" s="40">
        <f t="shared" si="128"/>
        <v>312.28115541600795</v>
      </c>
      <c r="F43" s="40">
        <f t="shared" si="128"/>
        <v>385.4967316477684</v>
      </c>
      <c r="G43" s="40">
        <f t="shared" si="128"/>
        <v>492.47464438915142</v>
      </c>
      <c r="H43" s="40">
        <f t="shared" si="128"/>
        <v>621.43932624506976</v>
      </c>
      <c r="I43" s="40">
        <f t="shared" si="128"/>
        <v>826.81692458640464</v>
      </c>
      <c r="J43" s="40">
        <f t="shared" si="128"/>
        <v>1083.6527462932013</v>
      </c>
      <c r="K43" s="40">
        <f t="shared" si="128"/>
        <v>1379.1066026153508</v>
      </c>
      <c r="L43" s="40">
        <f t="shared" si="128"/>
        <v>1719.5209498846407</v>
      </c>
      <c r="M43" s="40">
        <f t="shared" si="128"/>
        <v>2056.269820025102</v>
      </c>
      <c r="N43" s="40">
        <f t="shared" si="128"/>
        <v>2403.9256036465958</v>
      </c>
      <c r="O43" s="40">
        <f t="shared" si="128"/>
        <v>2823.4142135673414</v>
      </c>
      <c r="P43" s="40">
        <f t="shared" si="128"/>
        <v>3245.6833944450686</v>
      </c>
      <c r="R43" s="36">
        <f>(J43/D43)^(1/6)-1</f>
        <v>0.28608436186908648</v>
      </c>
      <c r="S43" s="36">
        <f>(P43/J43)^(1/6)-1</f>
        <v>0.20061197188941793</v>
      </c>
    </row>
    <row r="44" spans="1:19" x14ac:dyDescent="0.2">
      <c r="A44" s="7" t="s">
        <v>4</v>
      </c>
      <c r="B44" s="35"/>
      <c r="C44" s="8">
        <f>C43/B43-1</f>
        <v>0.3116077838217266</v>
      </c>
      <c r="D44" s="8">
        <f t="shared" ref="D44" si="129">D43/C43-1</f>
        <v>0.30908469248691639</v>
      </c>
      <c r="E44" s="8">
        <f t="shared" ref="E44" si="130">E43/D43-1</f>
        <v>0.30398437163397296</v>
      </c>
      <c r="F44" s="8">
        <f t="shared" ref="F44" si="131">F43/E43-1</f>
        <v>0.23445403272645682</v>
      </c>
      <c r="G44" s="8">
        <f t="shared" ref="G44" si="132">G43/F43-1</f>
        <v>0.27750666596864848</v>
      </c>
      <c r="H44" s="8">
        <f t="shared" ref="H44" si="133">H43/G43-1</f>
        <v>0.26187070405600621</v>
      </c>
      <c r="I44" s="8">
        <f t="shared" ref="I44" si="134">I43/H43-1</f>
        <v>0.33048696737988958</v>
      </c>
      <c r="J44" s="8">
        <f t="shared" ref="J44" si="135">J43/I43-1</f>
        <v>0.31063203239976334</v>
      </c>
      <c r="K44" s="8">
        <f t="shared" ref="K44" si="136">K43/J43-1</f>
        <v>0.27264624884013289</v>
      </c>
      <c r="L44" s="8">
        <f t="shared" ref="L44" si="137">L43/K43-1</f>
        <v>0.24683686280939043</v>
      </c>
      <c r="M44" s="8">
        <f t="shared" ref="M44" si="138">M43/L43-1</f>
        <v>0.19583877135259864</v>
      </c>
      <c r="N44" s="8">
        <f t="shared" ref="N44" si="139">N43/M43-1</f>
        <v>0.16907109185566416</v>
      </c>
      <c r="O44" s="8">
        <f t="shared" ref="O44" si="140">O43/N43-1</f>
        <v>0.17450149425772965</v>
      </c>
      <c r="P44" s="8">
        <f t="shared" ref="P44" si="141">P43/O43-1</f>
        <v>0.14955977017066746</v>
      </c>
      <c r="R44" s="110"/>
      <c r="S44" s="110"/>
    </row>
    <row r="45" spans="1:19" x14ac:dyDescent="0.2">
      <c r="A45" s="7"/>
      <c r="B45" s="35"/>
      <c r="C45" s="8"/>
      <c r="D45" s="8"/>
      <c r="E45" s="8"/>
      <c r="F45" s="8"/>
      <c r="G45" s="8"/>
      <c r="H45" s="8"/>
      <c r="I45" s="8"/>
      <c r="J45" s="8"/>
      <c r="K45" s="8"/>
      <c r="L45" s="8"/>
      <c r="M45" s="8"/>
      <c r="N45" s="8"/>
      <c r="O45" s="8"/>
      <c r="P45" s="8"/>
      <c r="R45" s="110"/>
      <c r="S45" s="110"/>
    </row>
    <row r="46" spans="1:19" x14ac:dyDescent="0.2">
      <c r="A46" s="21" t="s">
        <v>21</v>
      </c>
      <c r="R46" s="110"/>
      <c r="S46" s="110"/>
    </row>
    <row r="47" spans="1:19" x14ac:dyDescent="0.2">
      <c r="A47" s="22" t="s">
        <v>82</v>
      </c>
      <c r="B47" s="15">
        <v>5.5532851240804018</v>
      </c>
      <c r="C47" s="15">
        <v>7.5330778299124095</v>
      </c>
      <c r="D47" s="15">
        <v>10.467135586553674</v>
      </c>
      <c r="E47" s="15">
        <v>14.656432525991129</v>
      </c>
      <c r="F47" s="15">
        <v>20.061965254366363</v>
      </c>
      <c r="G47" s="15">
        <v>28.087663432249329</v>
      </c>
      <c r="H47" s="15">
        <v>39.028122471435147</v>
      </c>
      <c r="I47" s="15">
        <v>54.942037376093843</v>
      </c>
      <c r="J47" s="15">
        <v>77.372036184200837</v>
      </c>
      <c r="K47" s="15">
        <v>105.18361577646864</v>
      </c>
      <c r="L47" s="15">
        <v>138.73443971648015</v>
      </c>
      <c r="M47" s="15">
        <v>173.90898233477432</v>
      </c>
      <c r="N47" s="15">
        <v>213.06598506957496</v>
      </c>
      <c r="O47" s="15">
        <v>261.51338246185492</v>
      </c>
      <c r="P47" s="15">
        <v>311.31858367721446</v>
      </c>
      <c r="R47" s="36">
        <f>(J47/D47)^(1/6)-1</f>
        <v>0.39570198468789219</v>
      </c>
      <c r="S47" s="36">
        <f>(P47/J47)^(1/6)-1</f>
        <v>0.26115994804159759</v>
      </c>
    </row>
    <row r="48" spans="1:19" x14ac:dyDescent="0.2">
      <c r="A48" s="12" t="s">
        <v>4</v>
      </c>
      <c r="B48" s="13"/>
      <c r="C48" s="13">
        <f>C47/B47-1</f>
        <v>0.35650838406390162</v>
      </c>
      <c r="D48" s="13">
        <f t="shared" ref="D48:P48" si="142">D47/C47-1</f>
        <v>0.38948990344831991</v>
      </c>
      <c r="E48" s="13">
        <f t="shared" si="142"/>
        <v>0.40023336898579243</v>
      </c>
      <c r="F48" s="13">
        <f t="shared" si="142"/>
        <v>0.36881640322699805</v>
      </c>
      <c r="G48" s="13">
        <f t="shared" si="142"/>
        <v>0.40004546295065602</v>
      </c>
      <c r="H48" s="13">
        <f t="shared" si="142"/>
        <v>0.38951118399632856</v>
      </c>
      <c r="I48" s="13">
        <f t="shared" si="142"/>
        <v>0.40775507241748965</v>
      </c>
      <c r="J48" s="13">
        <f t="shared" si="142"/>
        <v>0.40824839920964862</v>
      </c>
      <c r="K48" s="13">
        <f t="shared" si="142"/>
        <v>0.35945260023991521</v>
      </c>
      <c r="L48" s="13">
        <f t="shared" si="142"/>
        <v>0.31897386006687745</v>
      </c>
      <c r="M48" s="13">
        <f t="shared" si="142"/>
        <v>0.25353865046182777</v>
      </c>
      <c r="N48" s="13">
        <f t="shared" si="142"/>
        <v>0.22515802351958758</v>
      </c>
      <c r="O48" s="13">
        <f t="shared" si="142"/>
        <v>0.22738212942089198</v>
      </c>
      <c r="P48" s="13">
        <f t="shared" si="142"/>
        <v>0.19044991405984457</v>
      </c>
      <c r="R48" s="110"/>
      <c r="S48" s="110"/>
    </row>
    <row r="49" spans="1:19" x14ac:dyDescent="0.2">
      <c r="A49" s="22" t="s">
        <v>10</v>
      </c>
      <c r="B49" s="15">
        <v>58.976966981398</v>
      </c>
      <c r="C49" s="15">
        <v>76.359992590445444</v>
      </c>
      <c r="D49" s="15">
        <v>99.392160244897397</v>
      </c>
      <c r="E49" s="15">
        <v>128.26640199388547</v>
      </c>
      <c r="F49" s="15">
        <v>160.77269183860858</v>
      </c>
      <c r="G49" s="15">
        <v>207.61741385681387</v>
      </c>
      <c r="H49" s="15">
        <v>260.16447766585577</v>
      </c>
      <c r="I49" s="15">
        <v>342.85327518242786</v>
      </c>
      <c r="J49" s="15">
        <v>445.15988070749256</v>
      </c>
      <c r="K49" s="15">
        <v>559.15024353675278</v>
      </c>
      <c r="L49" s="15">
        <v>687.95302663243342</v>
      </c>
      <c r="M49" s="15">
        <v>816.22167838422195</v>
      </c>
      <c r="N49" s="15">
        <v>946.77376926538466</v>
      </c>
      <c r="O49" s="15">
        <v>1101.6507919925971</v>
      </c>
      <c r="P49" s="15">
        <v>1259.5742532513027</v>
      </c>
      <c r="R49" s="36">
        <f>(J49/D49)^(1/6)-1</f>
        <v>0.28388851699155793</v>
      </c>
      <c r="S49" s="36">
        <f>(P49/J49)^(1/6)-1</f>
        <v>0.18928139869396943</v>
      </c>
    </row>
    <row r="50" spans="1:19" x14ac:dyDescent="0.2">
      <c r="A50" s="12" t="s">
        <v>4</v>
      </c>
      <c r="B50" s="13"/>
      <c r="C50" s="13">
        <f>C49/B49-1</f>
        <v>0.29474261730906304</v>
      </c>
      <c r="D50" s="13">
        <f t="shared" ref="D50" si="143">D49/C49-1</f>
        <v>0.30162611169941167</v>
      </c>
      <c r="E50" s="13">
        <f t="shared" ref="E50" si="144">E49/D49-1</f>
        <v>0.29050824207707482</v>
      </c>
      <c r="F50" s="13">
        <f t="shared" ref="F50" si="145">F49/E49-1</f>
        <v>0.25342793856705126</v>
      </c>
      <c r="G50" s="13">
        <f t="shared" ref="G50" si="146">G49/F49-1</f>
        <v>0.29137238098389417</v>
      </c>
      <c r="H50" s="13">
        <f t="shared" ref="H50" si="147">H49/G49-1</f>
        <v>0.25309564758032144</v>
      </c>
      <c r="I50" s="13">
        <f t="shared" ref="I50" si="148">I49/H49-1</f>
        <v>0.31783277355325223</v>
      </c>
      <c r="J50" s="13">
        <f t="shared" ref="J50" si="149">J49/I49-1</f>
        <v>0.29839763225428917</v>
      </c>
      <c r="K50" s="13">
        <f t="shared" ref="K50" si="150">K49/J49-1</f>
        <v>0.25606611864504814</v>
      </c>
      <c r="L50" s="13">
        <f t="shared" ref="L50" si="151">L49/K49-1</f>
        <v>0.23035451488131997</v>
      </c>
      <c r="M50" s="13">
        <f t="shared" ref="M50" si="152">M49/L49-1</f>
        <v>0.18644972372557245</v>
      </c>
      <c r="N50" s="13">
        <f t="shared" ref="N50" si="153">N49/M49-1</f>
        <v>0.15994685554003096</v>
      </c>
      <c r="O50" s="13">
        <f t="shared" ref="O50" si="154">O49/N49-1</f>
        <v>0.16358398146938913</v>
      </c>
      <c r="P50" s="13">
        <f t="shared" ref="P50" si="155">P49/O49-1</f>
        <v>0.143351652271827</v>
      </c>
      <c r="R50" s="110"/>
      <c r="S50" s="110"/>
    </row>
    <row r="51" spans="1:19" x14ac:dyDescent="0.2">
      <c r="A51" s="22" t="s">
        <v>11</v>
      </c>
      <c r="B51" s="15">
        <v>18.571428523037994</v>
      </c>
      <c r="C51" s="15">
        <v>25.027124949549979</v>
      </c>
      <c r="D51" s="15">
        <v>33.814986706454086</v>
      </c>
      <c r="E51" s="15">
        <v>45.494009790742126</v>
      </c>
      <c r="F51" s="15">
        <v>59.942215075345878</v>
      </c>
      <c r="G51" s="15">
        <v>80.822912903031465</v>
      </c>
      <c r="H51" s="15">
        <v>105.58116521378739</v>
      </c>
      <c r="I51" s="15">
        <v>144.62607467002667</v>
      </c>
      <c r="J51" s="15">
        <v>195.78032164076791</v>
      </c>
      <c r="K51" s="15">
        <v>254.54493543729546</v>
      </c>
      <c r="L51" s="15">
        <v>328.19602051093688</v>
      </c>
      <c r="M51" s="15">
        <v>402.4919961087374</v>
      </c>
      <c r="N51" s="15">
        <v>477.37761616326833</v>
      </c>
      <c r="O51" s="15">
        <v>571.53721707588898</v>
      </c>
      <c r="P51" s="15">
        <v>668.73570945044696</v>
      </c>
      <c r="R51" s="36">
        <f>(J51/D51)^(1/6)-1</f>
        <v>0.34001595525662665</v>
      </c>
      <c r="S51" s="36">
        <f>(P51/J51)^(1/6)-1</f>
        <v>0.22719689037126356</v>
      </c>
    </row>
    <row r="52" spans="1:19" x14ac:dyDescent="0.2">
      <c r="A52" s="12" t="s">
        <v>4</v>
      </c>
      <c r="B52" s="13"/>
      <c r="C52" s="13">
        <f>C51/B51-1</f>
        <v>0.3476144238717902</v>
      </c>
      <c r="D52" s="13">
        <f t="shared" ref="D52" si="156">D51/C51-1</f>
        <v>0.35113349114685755</v>
      </c>
      <c r="E52" s="13">
        <f t="shared" ref="E52" si="157">E51/D51-1</f>
        <v>0.34538008799686826</v>
      </c>
      <c r="F52" s="13">
        <f t="shared" ref="F52" si="158">F51/E51-1</f>
        <v>0.31758478426194725</v>
      </c>
      <c r="G52" s="13">
        <f t="shared" ref="G52" si="159">G51/F51-1</f>
        <v>0.3483471173268966</v>
      </c>
      <c r="H52" s="13">
        <f t="shared" ref="H52" si="160">H51/G51-1</f>
        <v>0.30632714686316764</v>
      </c>
      <c r="I52" s="13">
        <f t="shared" ref="I52" si="161">I51/H51-1</f>
        <v>0.36980941986365368</v>
      </c>
      <c r="J52" s="13">
        <f t="shared" ref="J52" si="162">J51/I51-1</f>
        <v>0.35370003014638152</v>
      </c>
      <c r="K52" s="13">
        <f t="shared" ref="K52" si="163">K51/J51-1</f>
        <v>0.30015587523833553</v>
      </c>
      <c r="L52" s="13">
        <f t="shared" ref="L52" si="164">L51/K51-1</f>
        <v>0.28934413857856778</v>
      </c>
      <c r="M52" s="13">
        <f t="shared" ref="M52" si="165">M51/L51-1</f>
        <v>0.22637683260795249</v>
      </c>
      <c r="N52" s="13">
        <f t="shared" ref="N52" si="166">N51/M51-1</f>
        <v>0.18605492973405569</v>
      </c>
      <c r="O52" s="13">
        <f t="shared" ref="O52" si="167">O51/N51-1</f>
        <v>0.19724343522721233</v>
      </c>
      <c r="P52" s="13">
        <f t="shared" ref="P52" si="168">P51/O51-1</f>
        <v>0.1700650272117834</v>
      </c>
      <c r="R52" s="110"/>
      <c r="S52" s="110"/>
    </row>
    <row r="53" spans="1:19" x14ac:dyDescent="0.2">
      <c r="A53" s="22" t="s">
        <v>22</v>
      </c>
      <c r="B53" s="15">
        <v>4.9607291021430049</v>
      </c>
      <c r="C53" s="15">
        <v>6.3800360703408536</v>
      </c>
      <c r="D53" s="15">
        <v>8.7036896203198921</v>
      </c>
      <c r="E53" s="15">
        <v>12.436106613067352</v>
      </c>
      <c r="F53" s="15">
        <v>18.686873880995631</v>
      </c>
      <c r="G53" s="15">
        <v>27.112579158085165</v>
      </c>
      <c r="H53" s="15">
        <v>36.294745519650888</v>
      </c>
      <c r="I53" s="15">
        <v>50.952843544078334</v>
      </c>
      <c r="J53" s="15">
        <v>71.994646545572792</v>
      </c>
      <c r="K53" s="15">
        <v>98.460691813003564</v>
      </c>
      <c r="L53" s="15">
        <v>124.84722293631343</v>
      </c>
      <c r="M53" s="15">
        <v>149.47993756516718</v>
      </c>
      <c r="N53" s="15">
        <v>178.86122138285188</v>
      </c>
      <c r="O53" s="15">
        <v>211.79945867595399</v>
      </c>
      <c r="P53" s="15">
        <v>243.01224938631574</v>
      </c>
      <c r="R53" s="36">
        <f>(J53/D53)^(1/6)-1</f>
        <v>0.42210872657544796</v>
      </c>
      <c r="S53" s="36">
        <f>(P53/J53)^(1/6)-1</f>
        <v>0.22477033900628585</v>
      </c>
    </row>
    <row r="54" spans="1:19" x14ac:dyDescent="0.2">
      <c r="A54" s="12" t="s">
        <v>4</v>
      </c>
      <c r="C54" s="13">
        <f>C53/B53-1</f>
        <v>0.28610854150143306</v>
      </c>
      <c r="D54" s="13">
        <f t="shared" ref="D54" si="169">D53/C53-1</f>
        <v>0.36420696127112917</v>
      </c>
      <c r="E54" s="13">
        <f t="shared" ref="E54" si="170">E53/D53-1</f>
        <v>0.42883158241691532</v>
      </c>
      <c r="F54" s="13">
        <f t="shared" ref="F54" si="171">F53/E53-1</f>
        <v>0.50263056295772079</v>
      </c>
      <c r="G54" s="13">
        <f t="shared" ref="G54" si="172">G53/F53-1</f>
        <v>0.4508889678791268</v>
      </c>
      <c r="H54" s="13">
        <f t="shared" ref="H54" si="173">H53/G53-1</f>
        <v>0.33866812552311298</v>
      </c>
      <c r="I54" s="13">
        <f t="shared" ref="I54" si="174">I53/H53-1</f>
        <v>0.40386281304799843</v>
      </c>
      <c r="J54" s="13">
        <f t="shared" ref="J54" si="175">J53/I53-1</f>
        <v>0.41296621616989038</v>
      </c>
      <c r="K54" s="13">
        <f t="shared" ref="K54" si="176">K53/J53-1</f>
        <v>0.36761129524648339</v>
      </c>
      <c r="L54" s="13">
        <f t="shared" ref="L54" si="177">L53/K53-1</f>
        <v>0.26799051111100392</v>
      </c>
      <c r="M54" s="13">
        <f t="shared" ref="M54" si="178">M53/L53-1</f>
        <v>0.19730286384839557</v>
      </c>
      <c r="N54" s="13">
        <f t="shared" ref="N54" si="179">N53/M53-1</f>
        <v>0.19655670383776869</v>
      </c>
      <c r="O54" s="13">
        <f t="shared" ref="O54" si="180">O53/N53-1</f>
        <v>0.18415527434310608</v>
      </c>
      <c r="P54" s="13">
        <f t="shared" ref="P54" si="181">P53/O53-1</f>
        <v>0.14736954903230548</v>
      </c>
      <c r="R54" s="110"/>
      <c r="S54" s="110"/>
    </row>
    <row r="55" spans="1:19" x14ac:dyDescent="0.2">
      <c r="A55" s="23" t="s">
        <v>23</v>
      </c>
      <c r="B55" s="40">
        <f>B53+B51+B49+B47</f>
        <v>88.062409730659411</v>
      </c>
      <c r="C55" s="40">
        <f>C53+C51+C49+C47</f>
        <v>115.30023144024869</v>
      </c>
      <c r="D55" s="40">
        <f t="shared" ref="D55:P55" si="182">D53+D51+D49+D47</f>
        <v>152.37797215822505</v>
      </c>
      <c r="E55" s="40">
        <f t="shared" si="182"/>
        <v>200.85295092368608</v>
      </c>
      <c r="F55" s="40">
        <f t="shared" si="182"/>
        <v>259.46374604931646</v>
      </c>
      <c r="G55" s="40">
        <f t="shared" si="182"/>
        <v>343.64056935017982</v>
      </c>
      <c r="H55" s="40">
        <f t="shared" si="182"/>
        <v>441.0685108707292</v>
      </c>
      <c r="I55" s="40">
        <f t="shared" si="182"/>
        <v>593.37423077262667</v>
      </c>
      <c r="J55" s="40">
        <f t="shared" si="182"/>
        <v>790.30688507803416</v>
      </c>
      <c r="K55" s="40">
        <f t="shared" si="182"/>
        <v>1017.3394865635204</v>
      </c>
      <c r="L55" s="40">
        <f t="shared" si="182"/>
        <v>1279.7307097961639</v>
      </c>
      <c r="M55" s="40">
        <f t="shared" si="182"/>
        <v>1542.1025943929008</v>
      </c>
      <c r="N55" s="40">
        <f t="shared" si="182"/>
        <v>1816.0785918810798</v>
      </c>
      <c r="O55" s="40">
        <f t="shared" si="182"/>
        <v>2146.5008502062947</v>
      </c>
      <c r="P55" s="40">
        <f t="shared" si="182"/>
        <v>2482.64079576528</v>
      </c>
      <c r="R55" s="36">
        <f>(J55/D55)^(1/6)-1</f>
        <v>0.31566583141949867</v>
      </c>
      <c r="S55" s="36">
        <f>(P55/J55)^(1/6)-1</f>
        <v>0.21018849634419201</v>
      </c>
    </row>
    <row r="56" spans="1:19" x14ac:dyDescent="0.2">
      <c r="A56" s="19" t="s">
        <v>4</v>
      </c>
      <c r="B56" s="35"/>
      <c r="C56" s="8">
        <f>C55/B55-1</f>
        <v>0.30930134427273437</v>
      </c>
      <c r="D56" s="8">
        <f t="shared" ref="D56:P56" si="183">D55/C55-1</f>
        <v>0.32157559663868418</v>
      </c>
      <c r="E56" s="8">
        <f t="shared" si="183"/>
        <v>0.31812326991151951</v>
      </c>
      <c r="F56" s="8">
        <f t="shared" si="183"/>
        <v>0.29180947980146676</v>
      </c>
      <c r="G56" s="8">
        <f t="shared" si="183"/>
        <v>0.32442614655252777</v>
      </c>
      <c r="H56" s="8">
        <f t="shared" si="183"/>
        <v>0.28351699482044412</v>
      </c>
      <c r="I56" s="8">
        <f t="shared" si="183"/>
        <v>0.3453107989986075</v>
      </c>
      <c r="J56" s="8">
        <f t="shared" si="183"/>
        <v>0.33188609159683846</v>
      </c>
      <c r="K56" s="8">
        <f t="shared" si="183"/>
        <v>0.28727144577902708</v>
      </c>
      <c r="L56" s="8">
        <f t="shared" si="183"/>
        <v>0.25791903951253969</v>
      </c>
      <c r="M56" s="8">
        <f t="shared" si="183"/>
        <v>0.20502116780375435</v>
      </c>
      <c r="N56" s="8">
        <f t="shared" si="183"/>
        <v>0.17766392358352689</v>
      </c>
      <c r="O56" s="8">
        <f t="shared" si="183"/>
        <v>0.18194270875852681</v>
      </c>
      <c r="P56" s="8">
        <f t="shared" si="183"/>
        <v>0.15659902744817455</v>
      </c>
      <c r="R56" s="110"/>
      <c r="S56" s="110"/>
    </row>
    <row r="57" spans="1:19" ht="17.100000000000001" customHeight="1" x14ac:dyDescent="0.2">
      <c r="R57" s="110"/>
      <c r="S57" s="110"/>
    </row>
    <row r="58" spans="1:19" x14ac:dyDescent="0.2">
      <c r="A58" s="21" t="s">
        <v>24</v>
      </c>
      <c r="R58" s="110"/>
      <c r="S58" s="110"/>
    </row>
    <row r="59" spans="1:19" x14ac:dyDescent="0.2">
      <c r="A59" s="22" t="s">
        <v>82</v>
      </c>
      <c r="B59" s="127">
        <f t="shared" ref="B59:P59" si="184">(B47*1000000)/(B34*1000)</f>
        <v>237.03498475040021</v>
      </c>
      <c r="C59" s="127">
        <f t="shared" si="184"/>
        <v>224.98415571324455</v>
      </c>
      <c r="D59" s="127">
        <f t="shared" si="184"/>
        <v>224.87355799024365</v>
      </c>
      <c r="E59" s="127">
        <f t="shared" si="184"/>
        <v>225.67018486296556</v>
      </c>
      <c r="F59" s="127">
        <f t="shared" si="184"/>
        <v>222.26816761634535</v>
      </c>
      <c r="G59" s="127">
        <f t="shared" si="184"/>
        <v>227.29162973649045</v>
      </c>
      <c r="H59" s="127">
        <f t="shared" si="184"/>
        <v>217.74309687511186</v>
      </c>
      <c r="I59" s="127">
        <f t="shared" si="184"/>
        <v>230.03678160425858</v>
      </c>
      <c r="J59" s="127">
        <f t="shared" si="184"/>
        <v>256.51604411092831</v>
      </c>
      <c r="K59" s="127">
        <f t="shared" si="184"/>
        <v>279.70168418890285</v>
      </c>
      <c r="L59" s="127">
        <f t="shared" si="184"/>
        <v>303.99623943691046</v>
      </c>
      <c r="M59" s="127">
        <f t="shared" si="184"/>
        <v>323.5838385484214</v>
      </c>
      <c r="N59" s="127">
        <f t="shared" si="184"/>
        <v>347.11692857045915</v>
      </c>
      <c r="O59" s="127">
        <f t="shared" si="184"/>
        <v>382.14021753098456</v>
      </c>
      <c r="P59" s="127">
        <f t="shared" si="184"/>
        <v>417.99582164290507</v>
      </c>
      <c r="R59" s="36">
        <f>(J59/D59)^(1/6)-1</f>
        <v>2.2184655006721288E-2</v>
      </c>
      <c r="S59" s="36">
        <f>(P59/J59)^(1/6)-1</f>
        <v>8.4783076237094468E-2</v>
      </c>
    </row>
    <row r="60" spans="1:19" x14ac:dyDescent="0.2">
      <c r="A60" s="12" t="s">
        <v>4</v>
      </c>
      <c r="C60" s="13">
        <f>C59/B59-1</f>
        <v>-5.0839875176422966E-2</v>
      </c>
      <c r="D60" s="13">
        <f t="shared" ref="D60" si="185">D59/C59-1</f>
        <v>-4.9158005216087819E-4</v>
      </c>
      <c r="E60" s="13">
        <f t="shared" ref="E60" si="186">E59/D59-1</f>
        <v>3.5425546686840281E-3</v>
      </c>
      <c r="F60" s="13">
        <f t="shared" ref="F60" si="187">F59/E59-1</f>
        <v>-1.507517374830003E-2</v>
      </c>
      <c r="G60" s="13">
        <f t="shared" ref="G60" si="188">G59/F59-1</f>
        <v>2.2600906706605084E-2</v>
      </c>
      <c r="H60" s="13">
        <f t="shared" ref="H60" si="189">H59/G59-1</f>
        <v>-4.2010050578847213E-2</v>
      </c>
      <c r="I60" s="13">
        <f t="shared" ref="I60" si="190">I59/H59-1</f>
        <v>5.6459584278797381E-2</v>
      </c>
      <c r="J60" s="13">
        <f t="shared" ref="J60" si="191">J59/I59-1</f>
        <v>0.11510882008522905</v>
      </c>
      <c r="K60" s="13">
        <f t="shared" ref="K60" si="192">K59/J59-1</f>
        <v>9.0386705277382573E-2</v>
      </c>
      <c r="L60" s="13">
        <f t="shared" ref="L60" si="193">L59/K59-1</f>
        <v>8.6858809300553785E-2</v>
      </c>
      <c r="M60" s="13">
        <f t="shared" ref="M60" si="194">M59/L59-1</f>
        <v>6.4433688876523121E-2</v>
      </c>
      <c r="N60" s="13">
        <f t="shared" ref="N60" si="195">N59/M59-1</f>
        <v>7.2726407250763403E-2</v>
      </c>
      <c r="O60" s="13">
        <f t="shared" ref="O60" si="196">O59/N59-1</f>
        <v>0.10089766899229824</v>
      </c>
      <c r="P60" s="13">
        <f t="shared" ref="P60" si="197">P59/O59-1</f>
        <v>9.3828397187776469E-2</v>
      </c>
      <c r="R60" s="110"/>
      <c r="S60" s="110"/>
    </row>
    <row r="61" spans="1:19" x14ac:dyDescent="0.2">
      <c r="A61" s="22" t="s">
        <v>10</v>
      </c>
      <c r="B61" s="127">
        <f t="shared" ref="B61:P61" si="198">(B49*1000000)/(B36*1000)</f>
        <v>6299.2710854194529</v>
      </c>
      <c r="C61" s="127">
        <f t="shared" si="198"/>
        <v>5647.4569078685327</v>
      </c>
      <c r="D61" s="127">
        <f t="shared" si="198"/>
        <v>5155.8268953471024</v>
      </c>
      <c r="E61" s="127">
        <f t="shared" si="198"/>
        <v>4852.209713861972</v>
      </c>
      <c r="F61" s="127">
        <f t="shared" si="198"/>
        <v>4594.0871489414767</v>
      </c>
      <c r="G61" s="127">
        <f t="shared" si="198"/>
        <v>4383.2574422394937</v>
      </c>
      <c r="H61" s="127">
        <f t="shared" si="198"/>
        <v>4386.2726200661018</v>
      </c>
      <c r="I61" s="127">
        <f t="shared" si="198"/>
        <v>4688.906366179378</v>
      </c>
      <c r="J61" s="127">
        <f t="shared" si="198"/>
        <v>5086.8340951914051</v>
      </c>
      <c r="K61" s="127">
        <f t="shared" si="198"/>
        <v>5468.4192575044935</v>
      </c>
      <c r="L61" s="127">
        <f t="shared" si="198"/>
        <v>5933.6172506399862</v>
      </c>
      <c r="M61" s="127">
        <f t="shared" si="198"/>
        <v>6372.3587888513612</v>
      </c>
      <c r="N61" s="127">
        <f t="shared" si="198"/>
        <v>6857.2871419970561</v>
      </c>
      <c r="O61" s="127">
        <f t="shared" si="198"/>
        <v>7530.2283983870184</v>
      </c>
      <c r="P61" s="127">
        <f t="shared" si="198"/>
        <v>8259.1182334510158</v>
      </c>
      <c r="R61" s="36">
        <f>(J61/D61)^(1/6)-1</f>
        <v>-2.2427910526992001E-3</v>
      </c>
      <c r="S61" s="36">
        <f>(P61/J61)^(1/6)-1</f>
        <v>8.4129141090713233E-2</v>
      </c>
    </row>
    <row r="62" spans="1:19" x14ac:dyDescent="0.2">
      <c r="A62" s="12" t="s">
        <v>4</v>
      </c>
      <c r="C62" s="13">
        <f>C61/B61-1</f>
        <v>-0.10347453994473033</v>
      </c>
      <c r="D62" s="13">
        <f t="shared" ref="D62" si="199">D61/C61-1</f>
        <v>-8.705334463667147E-2</v>
      </c>
      <c r="E62" s="13">
        <f t="shared" ref="E62" si="200">E61/D61-1</f>
        <v>-5.8888164332889237E-2</v>
      </c>
      <c r="F62" s="13">
        <f t="shared" ref="F62" si="201">F61/E61-1</f>
        <v>-5.3196910303171974E-2</v>
      </c>
      <c r="G62" s="13">
        <f t="shared" ref="G62" si="202">G61/F61-1</f>
        <v>-4.5891534023371872E-2</v>
      </c>
      <c r="H62" s="13">
        <f t="shared" ref="H62" si="203">H61/G61-1</f>
        <v>6.8788517816731343E-4</v>
      </c>
      <c r="I62" s="13">
        <f t="shared" ref="I62" si="204">I61/H61-1</f>
        <v>6.8995653559881909E-2</v>
      </c>
      <c r="J62" s="13">
        <f t="shared" ref="J62" si="205">J61/I61-1</f>
        <v>8.4865787016401351E-2</v>
      </c>
      <c r="K62" s="13">
        <f t="shared" ref="K62" si="206">K61/J61-1</f>
        <v>7.5014273155439071E-2</v>
      </c>
      <c r="L62" s="13">
        <f t="shared" ref="L62" si="207">L61/K61-1</f>
        <v>8.5069920799705656E-2</v>
      </c>
      <c r="M62" s="13">
        <f t="shared" ref="M62" si="208">M61/L61-1</f>
        <v>7.3941664869612733E-2</v>
      </c>
      <c r="N62" s="13">
        <f t="shared" ref="N62" si="209">N61/M61-1</f>
        <v>7.6098720931108366E-2</v>
      </c>
      <c r="O62" s="13">
        <f t="shared" ref="O62" si="210">O61/N61-1</f>
        <v>9.8135201640977332E-2</v>
      </c>
      <c r="P62" s="13">
        <f t="shared" ref="P62" si="211">P61/O61-1</f>
        <v>9.6795182895133225E-2</v>
      </c>
      <c r="R62" s="110"/>
      <c r="S62" s="110"/>
    </row>
    <row r="63" spans="1:19" x14ac:dyDescent="0.2">
      <c r="A63" s="22" t="s">
        <v>11</v>
      </c>
      <c r="B63" s="127">
        <f t="shared" ref="B63:P63" si="212">(B51*1000000)/(B38*1000)</f>
        <v>15052.237094341603</v>
      </c>
      <c r="C63" s="127">
        <f t="shared" si="212"/>
        <v>14719.476981547667</v>
      </c>
      <c r="D63" s="127">
        <f t="shared" si="212"/>
        <v>14982.129129887937</v>
      </c>
      <c r="E63" s="127">
        <f t="shared" si="212"/>
        <v>16253.745544854857</v>
      </c>
      <c r="F63" s="127">
        <f t="shared" si="212"/>
        <v>18666.109058495651</v>
      </c>
      <c r="G63" s="127">
        <f t="shared" si="212"/>
        <v>21475.545709547408</v>
      </c>
      <c r="H63" s="127">
        <f t="shared" si="212"/>
        <v>25169.67626616314</v>
      </c>
      <c r="I63" s="127">
        <f t="shared" si="212"/>
        <v>32706.030795804236</v>
      </c>
      <c r="J63" s="127">
        <f t="shared" si="212"/>
        <v>41483.593766644932</v>
      </c>
      <c r="K63" s="127">
        <f t="shared" si="212"/>
        <v>51146.445720103613</v>
      </c>
      <c r="L63" s="127">
        <f t="shared" si="212"/>
        <v>63468.732957971581</v>
      </c>
      <c r="M63" s="127">
        <f t="shared" si="212"/>
        <v>75619.072888189083</v>
      </c>
      <c r="N63" s="127">
        <f t="shared" si="212"/>
        <v>87657.044998917729</v>
      </c>
      <c r="O63" s="127">
        <f t="shared" si="212"/>
        <v>103072.59708361264</v>
      </c>
      <c r="P63" s="127">
        <f t="shared" si="212"/>
        <v>119025.41647834344</v>
      </c>
      <c r="R63" s="36">
        <f>(J63/D63)^(1/6)-1</f>
        <v>0.18499669605385738</v>
      </c>
      <c r="S63" s="36">
        <f>(P63/J63)^(1/6)-1</f>
        <v>0.19204840098040288</v>
      </c>
    </row>
    <row r="64" spans="1:19" x14ac:dyDescent="0.2">
      <c r="A64" s="12" t="s">
        <v>4</v>
      </c>
      <c r="C64" s="13">
        <f>C63/B63-1</f>
        <v>-2.2107020418847045E-2</v>
      </c>
      <c r="D64" s="13">
        <f t="shared" ref="D64" si="213">D63/C63-1</f>
        <v>1.7843850611644063E-2</v>
      </c>
      <c r="E64" s="13">
        <f t="shared" ref="E64" si="214">E63/D63-1</f>
        <v>8.4875547656985795E-2</v>
      </c>
      <c r="F64" s="13">
        <f t="shared" ref="F64" si="215">F63/E63-1</f>
        <v>0.14841892946973267</v>
      </c>
      <c r="G64" s="13">
        <f t="shared" ref="G64" si="216">G63/F63-1</f>
        <v>0.15051003089329296</v>
      </c>
      <c r="H64" s="13">
        <f t="shared" ref="H64" si="217">H63/G63-1</f>
        <v>0.1720156780450719</v>
      </c>
      <c r="I64" s="13">
        <f t="shared" ref="I64" si="218">I63/H63-1</f>
        <v>0.29942198898174133</v>
      </c>
      <c r="J64" s="13">
        <f t="shared" ref="J64" si="219">J63/I63-1</f>
        <v>0.2683775058380593</v>
      </c>
      <c r="K64" s="13">
        <f t="shared" ref="K64" si="220">K63/J63-1</f>
        <v>0.23293189128730063</v>
      </c>
      <c r="L64" s="13">
        <f t="shared" ref="L64" si="221">L63/K63-1</f>
        <v>0.24092167235434259</v>
      </c>
      <c r="M64" s="13">
        <f t="shared" ref="M64" si="222">M63/L63-1</f>
        <v>0.19143819899892045</v>
      </c>
      <c r="N64" s="13">
        <f t="shared" ref="N64" si="223">N63/M63-1</f>
        <v>0.15919227320504281</v>
      </c>
      <c r="O64" s="13">
        <f t="shared" ref="O64" si="224">O63/N63-1</f>
        <v>0.17586210081443232</v>
      </c>
      <c r="P64" s="13">
        <f t="shared" ref="P64" si="225">P63/O63-1</f>
        <v>0.15477265389742589</v>
      </c>
      <c r="R64" s="110"/>
      <c r="S64" s="110"/>
    </row>
    <row r="65" spans="1:19" x14ac:dyDescent="0.2">
      <c r="A65" s="23" t="s">
        <v>23</v>
      </c>
      <c r="B65" s="40">
        <f>(B55*1000000)/(B40*1000)</f>
        <v>2588.211198719554</v>
      </c>
      <c r="C65" s="40">
        <f t="shared" ref="C65:P65" si="226">(C55*1000000)/(C40*1000)</f>
        <v>2367.3616574063726</v>
      </c>
      <c r="D65" s="40">
        <f t="shared" si="226"/>
        <v>2238.1726867820289</v>
      </c>
      <c r="E65" s="40">
        <f t="shared" si="226"/>
        <v>2132.6525677240675</v>
      </c>
      <c r="F65" s="40">
        <f t="shared" si="226"/>
        <v>2019.6912219905719</v>
      </c>
      <c r="G65" s="40">
        <f t="shared" si="226"/>
        <v>1966.9768693494609</v>
      </c>
      <c r="H65" s="40">
        <f t="shared" si="226"/>
        <v>1816.9853239073461</v>
      </c>
      <c r="I65" s="40">
        <f t="shared" si="226"/>
        <v>1875.4974241327568</v>
      </c>
      <c r="J65" s="40">
        <f t="shared" si="226"/>
        <v>2006.5775565494373</v>
      </c>
      <c r="K65" s="40">
        <f t="shared" si="226"/>
        <v>2105.0551228900749</v>
      </c>
      <c r="L65" s="40">
        <f t="shared" si="226"/>
        <v>2216.0548546252485</v>
      </c>
      <c r="M65" s="40">
        <f t="shared" si="226"/>
        <v>2298.7056974461152</v>
      </c>
      <c r="N65" s="40">
        <f t="shared" si="226"/>
        <v>2398.000344035031</v>
      </c>
      <c r="O65" s="40">
        <f t="shared" si="226"/>
        <v>2567.0291614773914</v>
      </c>
      <c r="P65" s="40">
        <f t="shared" si="226"/>
        <v>2749.5863574472351</v>
      </c>
      <c r="R65" s="36">
        <f>(J65/D65)^(1/6)-1</f>
        <v>-1.8040159987422033E-2</v>
      </c>
      <c r="S65" s="36">
        <f>(P65/J65)^(1/6)-1</f>
        <v>5.3906061437782871E-2</v>
      </c>
    </row>
    <row r="66" spans="1:19" x14ac:dyDescent="0.2">
      <c r="A66" s="19" t="s">
        <v>4</v>
      </c>
      <c r="B66" s="35"/>
      <c r="C66" s="8">
        <f>C65/B65-1</f>
        <v>-8.532902624887817E-2</v>
      </c>
      <c r="D66" s="8">
        <f t="shared" ref="D66" si="227">D65/C65-1</f>
        <v>-5.4570863822251847E-2</v>
      </c>
      <c r="E66" s="8">
        <f t="shared" ref="E66" si="228">E65/D65-1</f>
        <v>-4.7145655775861828E-2</v>
      </c>
      <c r="F66" s="8">
        <f t="shared" ref="F66" si="229">F65/E65-1</f>
        <v>-5.296753322274439E-2</v>
      </c>
      <c r="G66" s="8">
        <f t="shared" ref="G66" si="230">G65/F65-1</f>
        <v>-2.6100203866389338E-2</v>
      </c>
      <c r="H66" s="8">
        <f t="shared" ref="H66" si="231">H65/G65-1</f>
        <v>-7.6254859820350407E-2</v>
      </c>
      <c r="I66" s="8">
        <f t="shared" ref="I66" si="232">I65/H65-1</f>
        <v>3.2202846911048688E-2</v>
      </c>
      <c r="J66" s="8">
        <f t="shared" ref="J66" si="233">J65/I65-1</f>
        <v>6.9890862408031662E-2</v>
      </c>
      <c r="K66" s="8">
        <f t="shared" ref="K66" si="234">K65/J65-1</f>
        <v>4.9077378553950446E-2</v>
      </c>
      <c r="L66" s="8">
        <f t="shared" ref="L66" si="235">L65/K65-1</f>
        <v>5.2730083183180287E-2</v>
      </c>
      <c r="M66" s="8">
        <f t="shared" ref="M66" si="236">M65/L65-1</f>
        <v>3.7296388511485423E-2</v>
      </c>
      <c r="N66" s="8">
        <f t="shared" ref="N66" si="237">N65/M65-1</f>
        <v>4.3195893540975305E-2</v>
      </c>
      <c r="O66" s="8">
        <f t="shared" ref="O66" si="238">O65/N65-1</f>
        <v>7.0487403332870846E-2</v>
      </c>
      <c r="P66" s="8">
        <f t="shared" ref="P66" si="239">P65/O65-1</f>
        <v>7.111613639199077E-2</v>
      </c>
      <c r="R66" s="110"/>
      <c r="S66" s="110"/>
    </row>
    <row r="67" spans="1:19" ht="17.100000000000001" customHeight="1" x14ac:dyDescent="0.2">
      <c r="R67" s="110"/>
      <c r="S67" s="110"/>
    </row>
    <row r="68" spans="1:19" x14ac:dyDescent="0.2">
      <c r="A68" s="21" t="s">
        <v>25</v>
      </c>
      <c r="R68" s="110"/>
      <c r="S68" s="110"/>
    </row>
    <row r="69" spans="1:19" x14ac:dyDescent="0.2">
      <c r="A69" s="22" t="s">
        <v>26</v>
      </c>
      <c r="B69" s="15">
        <v>53.578498613181239</v>
      </c>
      <c r="C69" s="15">
        <v>69.735520457535898</v>
      </c>
      <c r="D69" s="15">
        <v>90.119047509562094</v>
      </c>
      <c r="E69" s="15">
        <v>117.27475367613026</v>
      </c>
      <c r="F69" s="15">
        <v>150.14410961123295</v>
      </c>
      <c r="G69" s="15">
        <v>197.57827862679343</v>
      </c>
      <c r="H69" s="15">
        <v>257.00709552156582</v>
      </c>
      <c r="I69" s="15">
        <v>355.15889698438161</v>
      </c>
      <c r="J69" s="15">
        <v>481.10247840424802</v>
      </c>
      <c r="K69" s="15">
        <v>629.21461671602117</v>
      </c>
      <c r="L69" s="15">
        <v>799.74812083886275</v>
      </c>
      <c r="M69" s="15">
        <v>965.74315397511521</v>
      </c>
      <c r="N69" s="15">
        <v>1141.0557625176586</v>
      </c>
      <c r="O69" s="15">
        <v>1351.6446956319012</v>
      </c>
      <c r="P69" s="15">
        <v>1565.7600653782315</v>
      </c>
      <c r="R69" s="36">
        <f>(J69/D69)^(1/6)-1</f>
        <v>0.32201637203106626</v>
      </c>
      <c r="S69" s="36">
        <f>(P69/J69)^(1/6)-1</f>
        <v>0.21734759756879196</v>
      </c>
    </row>
    <row r="70" spans="1:19" x14ac:dyDescent="0.2">
      <c r="A70" s="12" t="s">
        <v>4</v>
      </c>
      <c r="B70" s="13"/>
      <c r="C70" s="13">
        <f>C69/B69-1</f>
        <v>0.30155794325262697</v>
      </c>
      <c r="D70" s="13">
        <f t="shared" ref="D70" si="240">D69/C69-1</f>
        <v>0.2922976256330998</v>
      </c>
      <c r="E70" s="13">
        <f t="shared" ref="E70" si="241">E69/D69-1</f>
        <v>0.30133148226723994</v>
      </c>
      <c r="F70" s="13">
        <f t="shared" ref="F70" si="242">F69/E69-1</f>
        <v>0.28027648666716254</v>
      </c>
      <c r="G70" s="13">
        <f t="shared" ref="G70" si="243">G69/F69-1</f>
        <v>0.31592427527381139</v>
      </c>
      <c r="H70" s="13">
        <f t="shared" ref="H70" si="244">H69/G69-1</f>
        <v>0.30078618615271857</v>
      </c>
      <c r="I70" s="13">
        <f t="shared" ref="I70" si="245">I69/H69-1</f>
        <v>0.38190308039405751</v>
      </c>
      <c r="J70" s="13">
        <f t="shared" ref="J70" si="246">J69/I69-1</f>
        <v>0.35461192860221336</v>
      </c>
      <c r="K70" s="13">
        <f t="shared" ref="K70" si="247">K69/J69-1</f>
        <v>0.30785985306714925</v>
      </c>
      <c r="L70" s="13">
        <f t="shared" ref="L70" si="248">L69/K69-1</f>
        <v>0.27102597363819214</v>
      </c>
      <c r="M70" s="13">
        <f t="shared" ref="M70" si="249">M69/L69-1</f>
        <v>0.20755914119827978</v>
      </c>
      <c r="N70" s="13">
        <f t="shared" ref="N70" si="250">N69/M69-1</f>
        <v>0.18153129827629177</v>
      </c>
      <c r="O70" s="13">
        <f t="shared" ref="O70" si="251">O69/N69-1</f>
        <v>0.18455621542070211</v>
      </c>
      <c r="P70" s="13">
        <f t="shared" ref="P70" si="252">P69/O69-1</f>
        <v>0.1584109865841854</v>
      </c>
      <c r="R70" s="110"/>
      <c r="S70" s="110"/>
    </row>
    <row r="71" spans="1:19" x14ac:dyDescent="0.2">
      <c r="A71" s="22" t="s">
        <v>27</v>
      </c>
      <c r="B71" s="39">
        <v>30.192971415472417</v>
      </c>
      <c r="C71" s="39">
        <v>39.733382844794718</v>
      </c>
      <c r="D71" s="39">
        <v>54.360052929168766</v>
      </c>
      <c r="E71" s="39">
        <v>72.811364774312494</v>
      </c>
      <c r="F71" s="39">
        <v>94.936269325952537</v>
      </c>
      <c r="G71" s="39">
        <v>126.07643013530566</v>
      </c>
      <c r="H71" s="39">
        <v>158.46219435020885</v>
      </c>
      <c r="I71" s="39">
        <v>202.08534692934137</v>
      </c>
      <c r="J71" s="39">
        <v>256.07258034553092</v>
      </c>
      <c r="K71" s="39">
        <v>310.79494251432465</v>
      </c>
      <c r="L71" s="39">
        <v>371.43061574030787</v>
      </c>
      <c r="M71" s="39">
        <v>432.48275164104984</v>
      </c>
      <c r="N71" s="39">
        <v>491.32678952712047</v>
      </c>
      <c r="O71" s="39">
        <v>558.86862354288496</v>
      </c>
      <c r="P71" s="39">
        <v>626.49340167627031</v>
      </c>
      <c r="R71" s="36">
        <f>(J71/D71)^(1/6)-1</f>
        <v>0.29473394528125851</v>
      </c>
      <c r="S71" s="36">
        <f>(P71/J71)^(1/6)-1</f>
        <v>0.16080402129706606</v>
      </c>
    </row>
    <row r="72" spans="1:19" x14ac:dyDescent="0.2">
      <c r="A72" s="12" t="s">
        <v>4</v>
      </c>
      <c r="B72" s="13"/>
      <c r="C72" s="13">
        <f>C71/B71-1</f>
        <v>0.31598120297736942</v>
      </c>
      <c r="D72" s="13">
        <f t="shared" ref="D72" si="253">D71/C71-1</f>
        <v>0.36812043267265415</v>
      </c>
      <c r="E72" s="13">
        <f t="shared" ref="E72" si="254">E71/D71-1</f>
        <v>0.33942777556132664</v>
      </c>
      <c r="F72" s="13">
        <f t="shared" ref="F72" si="255">F71/E71-1</f>
        <v>0.30386608766665502</v>
      </c>
      <c r="G72" s="13">
        <f t="shared" ref="G72" si="256">G71/F71-1</f>
        <v>0.32801121247388632</v>
      </c>
      <c r="H72" s="13">
        <f t="shared" ref="H72" si="257">H71/G71-1</f>
        <v>0.25687405790397677</v>
      </c>
      <c r="I72" s="13">
        <f t="shared" ref="I72" si="258">I71/H71-1</f>
        <v>0.27529060012082951</v>
      </c>
      <c r="J72" s="13">
        <f t="shared" ref="J72" si="259">J71/I71-1</f>
        <v>0.26715065805867688</v>
      </c>
      <c r="K72" s="13">
        <f t="shared" ref="K72" si="260">K71/J71-1</f>
        <v>0.21369864002992522</v>
      </c>
      <c r="L72" s="13">
        <f t="shared" ref="L72" si="261">L71/K71-1</f>
        <v>0.19509864843823355</v>
      </c>
      <c r="M72" s="13">
        <f t="shared" ref="M72" si="262">M71/L71-1</f>
        <v>0.16437023043740595</v>
      </c>
      <c r="N72" s="13">
        <f t="shared" ref="N72" si="263">N71/M71-1</f>
        <v>0.13606100512167885</v>
      </c>
      <c r="O72" s="13">
        <f t="shared" ref="O72" si="264">O71/N71-1</f>
        <v>0.13746825016557795</v>
      </c>
      <c r="P72" s="13">
        <f t="shared" ref="P72" si="265">P71/O71-1</f>
        <v>0.12100299656238644</v>
      </c>
      <c r="R72" s="110"/>
      <c r="S72" s="110"/>
    </row>
    <row r="73" spans="1:19" x14ac:dyDescent="0.2">
      <c r="A73" s="22" t="s">
        <v>28</v>
      </c>
      <c r="B73" s="39">
        <v>4.2909397020057449</v>
      </c>
      <c r="C73" s="39">
        <v>5.8313281379180744</v>
      </c>
      <c r="D73" s="39">
        <v>7.8988717194941849</v>
      </c>
      <c r="E73" s="39">
        <v>10.766832473243314</v>
      </c>
      <c r="F73" s="39">
        <v>14.383367112130951</v>
      </c>
      <c r="G73" s="39">
        <v>19.98586058808079</v>
      </c>
      <c r="H73" s="39">
        <v>25.599220998954539</v>
      </c>
      <c r="I73" s="39">
        <v>36.129986858903585</v>
      </c>
      <c r="J73" s="39">
        <v>53.131826328255336</v>
      </c>
      <c r="K73" s="39">
        <v>77.329927333174737</v>
      </c>
      <c r="L73" s="39">
        <v>108.55197321699335</v>
      </c>
      <c r="M73" s="39">
        <v>143.87668877673568</v>
      </c>
      <c r="N73" s="39">
        <v>183.69603983630054</v>
      </c>
      <c r="O73" s="39">
        <v>235.98753103150898</v>
      </c>
      <c r="P73" s="39">
        <v>290.38732871077832</v>
      </c>
      <c r="R73" s="36">
        <f>(J73/D73)^(1/6)-1</f>
        <v>0.37393107795525515</v>
      </c>
      <c r="S73" s="36">
        <f>(P73/J73)^(1/6)-1</f>
        <v>0.32720238324137618</v>
      </c>
    </row>
    <row r="74" spans="1:19" x14ac:dyDescent="0.2">
      <c r="A74" s="12" t="s">
        <v>4</v>
      </c>
      <c r="B74" s="13"/>
      <c r="C74" s="13">
        <f>C73/B73-1</f>
        <v>0.35898626941606637</v>
      </c>
      <c r="D74" s="13">
        <f t="shared" ref="D74" si="266">D73/C73-1</f>
        <v>0.35455792105608963</v>
      </c>
      <c r="E74" s="13">
        <f t="shared" ref="E74" si="267">E73/D73-1</f>
        <v>0.36308486269894535</v>
      </c>
      <c r="F74" s="13">
        <f t="shared" ref="F74" si="268">F73/E73-1</f>
        <v>0.33589587725778203</v>
      </c>
      <c r="G74" s="13">
        <f t="shared" ref="G74" si="269">G73/F73-1</f>
        <v>0.38951195726796728</v>
      </c>
      <c r="H74" s="13">
        <f t="shared" ref="H74" si="270">H73/G73-1</f>
        <v>0.28086658496064243</v>
      </c>
      <c r="I74" s="13">
        <f t="shared" ref="I74" si="271">I73/H73-1</f>
        <v>0.41137055929862543</v>
      </c>
      <c r="J74" s="13">
        <f t="shared" ref="J74" si="272">J73/I73-1</f>
        <v>0.47057419466406336</v>
      </c>
      <c r="K74" s="13">
        <f t="shared" ref="K74" si="273">K73/J73-1</f>
        <v>0.45543514456703194</v>
      </c>
      <c r="L74" s="13">
        <f t="shared" ref="L74" si="274">L73/K73-1</f>
        <v>0.40375113439973798</v>
      </c>
      <c r="M74" s="13">
        <f t="shared" ref="M74" si="275">M73/L73-1</f>
        <v>0.32541753514815341</v>
      </c>
      <c r="N74" s="13">
        <f t="shared" ref="N74" si="276">N73/M73-1</f>
        <v>0.27676026879764759</v>
      </c>
      <c r="O74" s="13">
        <f t="shared" ref="O74" si="277">O73/N73-1</f>
        <v>0.28466313831156964</v>
      </c>
      <c r="P74" s="13">
        <f t="shared" ref="P74" si="278">P73/O73-1</f>
        <v>0.2305197967091146</v>
      </c>
      <c r="R74" s="110"/>
      <c r="S74" s="110"/>
    </row>
    <row r="75" spans="1:19" x14ac:dyDescent="0.2">
      <c r="A75" s="23" t="s">
        <v>23</v>
      </c>
      <c r="B75" s="40">
        <f>B69+B71+B73</f>
        <v>88.062409730659397</v>
      </c>
      <c r="C75" s="40">
        <f t="shared" ref="C75:P75" si="279">C69+C71+C73</f>
        <v>115.30023144024869</v>
      </c>
      <c r="D75" s="40">
        <f t="shared" si="279"/>
        <v>152.37797215822505</v>
      </c>
      <c r="E75" s="40">
        <f t="shared" si="279"/>
        <v>200.85295092368608</v>
      </c>
      <c r="F75" s="40">
        <f t="shared" si="279"/>
        <v>259.46374604931646</v>
      </c>
      <c r="G75" s="40">
        <f t="shared" si="279"/>
        <v>343.64056935017987</v>
      </c>
      <c r="H75" s="40">
        <f t="shared" si="279"/>
        <v>441.0685108707292</v>
      </c>
      <c r="I75" s="40">
        <f t="shared" si="279"/>
        <v>593.37423077262667</v>
      </c>
      <c r="J75" s="40">
        <f t="shared" si="279"/>
        <v>790.30688507803427</v>
      </c>
      <c r="K75" s="40">
        <f t="shared" si="279"/>
        <v>1017.3394865635205</v>
      </c>
      <c r="L75" s="40">
        <f t="shared" si="279"/>
        <v>1279.7307097961639</v>
      </c>
      <c r="M75" s="40">
        <f t="shared" si="279"/>
        <v>1542.1025943929008</v>
      </c>
      <c r="N75" s="40">
        <f t="shared" si="279"/>
        <v>1816.0785918810795</v>
      </c>
      <c r="O75" s="40">
        <f t="shared" si="279"/>
        <v>2146.5008502062951</v>
      </c>
      <c r="P75" s="40">
        <f t="shared" si="279"/>
        <v>2482.64079576528</v>
      </c>
      <c r="R75" s="36">
        <f>(J75/D75)^(1/6)-1</f>
        <v>0.31566583141949867</v>
      </c>
      <c r="S75" s="36">
        <f>(P75/J75)^(1/6)-1</f>
        <v>0.21018849634419179</v>
      </c>
    </row>
    <row r="76" spans="1:19" x14ac:dyDescent="0.2">
      <c r="A76" s="19" t="s">
        <v>4</v>
      </c>
      <c r="B76" s="35"/>
      <c r="C76" s="8">
        <f>C75/B75-1</f>
        <v>0.30930134427273459</v>
      </c>
      <c r="D76" s="8">
        <f t="shared" ref="D76" si="280">D75/C75-1</f>
        <v>0.32157559663868418</v>
      </c>
      <c r="E76" s="8">
        <f t="shared" ref="E76" si="281">E75/D75-1</f>
        <v>0.31812326991151951</v>
      </c>
      <c r="F76" s="8">
        <f t="shared" ref="F76" si="282">F75/E75-1</f>
        <v>0.29180947980146676</v>
      </c>
      <c r="G76" s="8">
        <f t="shared" ref="G76" si="283">G75/F75-1</f>
        <v>0.32442614655252799</v>
      </c>
      <c r="H76" s="8">
        <f t="shared" ref="H76" si="284">H75/G75-1</f>
        <v>0.2835169948204439</v>
      </c>
      <c r="I76" s="8">
        <f t="shared" ref="I76" si="285">I75/H75-1</f>
        <v>0.3453107989986075</v>
      </c>
      <c r="J76" s="8">
        <f t="shared" ref="J76" si="286">J75/I75-1</f>
        <v>0.33188609159683846</v>
      </c>
      <c r="K76" s="8">
        <f t="shared" ref="K76" si="287">K75/J75-1</f>
        <v>0.28727144577902708</v>
      </c>
      <c r="L76" s="8">
        <f t="shared" ref="L76" si="288">L75/K75-1</f>
        <v>0.25791903951253947</v>
      </c>
      <c r="M76" s="8">
        <f t="shared" ref="M76" si="289">M75/L75-1</f>
        <v>0.20502116780375435</v>
      </c>
      <c r="N76" s="8">
        <f t="shared" ref="N76" si="290">N75/M75-1</f>
        <v>0.17766392358352689</v>
      </c>
      <c r="O76" s="8">
        <f t="shared" ref="O76" si="291">O75/N75-1</f>
        <v>0.18194270875852725</v>
      </c>
      <c r="P76" s="8">
        <f t="shared" ref="P76" si="292">P75/O75-1</f>
        <v>0.15659902744817411</v>
      </c>
      <c r="R76" s="110"/>
      <c r="S76" s="110"/>
    </row>
    <row r="77" spans="1:19" ht="17.100000000000001" customHeight="1" x14ac:dyDescent="0.2">
      <c r="G77" s="144"/>
      <c r="J77" s="144"/>
      <c r="R77" s="110"/>
      <c r="S77" s="110"/>
    </row>
    <row r="78" spans="1:19" x14ac:dyDescent="0.2">
      <c r="A78" s="21" t="s">
        <v>29</v>
      </c>
      <c r="R78" s="110"/>
      <c r="S78" s="110"/>
    </row>
    <row r="79" spans="1:19" x14ac:dyDescent="0.2">
      <c r="A79" s="22" t="s">
        <v>30</v>
      </c>
      <c r="B79" s="39">
        <v>38.254127672054118</v>
      </c>
      <c r="C79" s="39">
        <v>48.405272905808779</v>
      </c>
      <c r="D79" s="39">
        <v>61.755045001854121</v>
      </c>
      <c r="E79" s="39">
        <v>74.887822592223642</v>
      </c>
      <c r="F79" s="39">
        <v>90.85563543426575</v>
      </c>
      <c r="G79" s="39">
        <v>116.56980078506481</v>
      </c>
      <c r="H79" s="39">
        <v>148.57923294597595</v>
      </c>
      <c r="I79" s="39">
        <v>201.46321620069273</v>
      </c>
      <c r="J79" s="39">
        <v>261.60258625415167</v>
      </c>
      <c r="K79" s="39">
        <v>334.05311990560608</v>
      </c>
      <c r="L79" s="39">
        <v>415.96471960469847</v>
      </c>
      <c r="M79" s="39">
        <v>493.88178609295903</v>
      </c>
      <c r="N79" s="39">
        <v>575.94585228068343</v>
      </c>
      <c r="O79" s="39">
        <v>676.04130771979146</v>
      </c>
      <c r="P79" s="39">
        <v>779.18816205077212</v>
      </c>
      <c r="R79" s="36">
        <f>(J79/D79)^(1/6)-1</f>
        <v>0.27202290547350438</v>
      </c>
      <c r="S79" s="36">
        <f>(P79/J79)^(1/6)-1</f>
        <v>0.19949944706270784</v>
      </c>
    </row>
    <row r="80" spans="1:19" x14ac:dyDescent="0.2">
      <c r="A80" s="12" t="s">
        <v>4</v>
      </c>
      <c r="B80" s="13"/>
      <c r="C80" s="13">
        <f>C79/B79-1</f>
        <v>0.26536078199922986</v>
      </c>
      <c r="D80" s="13">
        <f t="shared" ref="D80" si="293">D79/C79-1</f>
        <v>0.27579169157919003</v>
      </c>
      <c r="E80" s="13">
        <f t="shared" ref="E80" si="294">E79/D79-1</f>
        <v>0.21265918581996379</v>
      </c>
      <c r="F80" s="13">
        <f t="shared" ref="F80" si="295">F79/E79-1</f>
        <v>0.21322308873886531</v>
      </c>
      <c r="G80" s="13">
        <f t="shared" ref="G80" si="296">G79/F79-1</f>
        <v>0.28302223882857902</v>
      </c>
      <c r="H80" s="13">
        <f t="shared" ref="H80" si="297">H79/G79-1</f>
        <v>0.27459455146475853</v>
      </c>
      <c r="I80" s="13">
        <f t="shared" ref="I80" si="298">I79/H79-1</f>
        <v>0.35593119042380317</v>
      </c>
      <c r="J80" s="13">
        <f t="shared" ref="J80" si="299">J79/I79-1</f>
        <v>0.29851290566884225</v>
      </c>
      <c r="K80" s="13">
        <f t="shared" ref="K80" si="300">K79/J79-1</f>
        <v>0.27694884323913915</v>
      </c>
      <c r="L80" s="13">
        <f t="shared" ref="L80" si="301">L79/K79-1</f>
        <v>0.2452053126228495</v>
      </c>
      <c r="M80" s="13">
        <f t="shared" ref="M80" si="302">M79/L79-1</f>
        <v>0.1873165266571335</v>
      </c>
      <c r="N80" s="13">
        <f t="shared" ref="N80" si="303">N79/M79-1</f>
        <v>0.16616135378654806</v>
      </c>
      <c r="O80" s="13">
        <f t="shared" ref="O80" si="304">O79/N79-1</f>
        <v>0.17379317003975436</v>
      </c>
      <c r="P80" s="13">
        <f t="shared" ref="P80" si="305">P79/O79-1</f>
        <v>0.15257478079095943</v>
      </c>
      <c r="R80" s="110"/>
      <c r="S80" s="110"/>
    </row>
    <row r="81" spans="1:19" x14ac:dyDescent="0.2">
      <c r="A81" s="22" t="s">
        <v>31</v>
      </c>
      <c r="B81" s="39">
        <v>15.324370941127121</v>
      </c>
      <c r="C81" s="39">
        <v>21.330247551727119</v>
      </c>
      <c r="D81" s="39">
        <v>28.364002507707973</v>
      </c>
      <c r="E81" s="39">
        <v>42.386931083906617</v>
      </c>
      <c r="F81" s="39">
        <v>59.288474176967199</v>
      </c>
      <c r="G81" s="39">
        <v>81.00847784172862</v>
      </c>
      <c r="H81" s="39">
        <v>108.42786257558987</v>
      </c>
      <c r="I81" s="39">
        <v>153.69568078368889</v>
      </c>
      <c r="J81" s="39">
        <v>219.49989215009634</v>
      </c>
      <c r="K81" s="39">
        <v>295.16149681041509</v>
      </c>
      <c r="L81" s="39">
        <v>383.78340123416427</v>
      </c>
      <c r="M81" s="39">
        <v>471.86136788215617</v>
      </c>
      <c r="N81" s="39">
        <v>565.10991023697522</v>
      </c>
      <c r="O81" s="39">
        <v>675.60338791210972</v>
      </c>
      <c r="P81" s="39">
        <v>786.57190332745938</v>
      </c>
      <c r="R81" s="36">
        <f>(J81/D81)^(1/6)-1</f>
        <v>0.40640736712352066</v>
      </c>
      <c r="S81" s="36">
        <f>(P81/J81)^(1/6)-1</f>
        <v>0.23704078839506826</v>
      </c>
    </row>
    <row r="82" spans="1:19" x14ac:dyDescent="0.2">
      <c r="A82" s="12" t="s">
        <v>4</v>
      </c>
      <c r="B82" s="13"/>
      <c r="C82" s="13">
        <f>C81/B81-1</f>
        <v>0.39191668184444639</v>
      </c>
      <c r="D82" s="13">
        <f t="shared" ref="D82" si="306">D81/C81-1</f>
        <v>0.32975496130195303</v>
      </c>
      <c r="E82" s="13">
        <f t="shared" ref="E82" si="307">E81/D81-1</f>
        <v>0.49439174081259818</v>
      </c>
      <c r="F82" s="13">
        <f t="shared" ref="F82" si="308">F81/E81-1</f>
        <v>0.39874420395294252</v>
      </c>
      <c r="G82" s="13">
        <f t="shared" ref="G82" si="309">G81/F81-1</f>
        <v>0.36634445339123545</v>
      </c>
      <c r="H82" s="13">
        <f t="shared" ref="H82" si="310">H81/G81-1</f>
        <v>0.33847549619969697</v>
      </c>
      <c r="I82" s="13">
        <f t="shared" ref="I82" si="311">I81/H81-1</f>
        <v>0.41749248885673462</v>
      </c>
      <c r="J82" s="13">
        <f t="shared" ref="J82" si="312">J81/I81-1</f>
        <v>0.42814613287031933</v>
      </c>
      <c r="K82" s="13">
        <f t="shared" ref="K82" si="313">K81/J81-1</f>
        <v>0.34469996280718229</v>
      </c>
      <c r="L82" s="13">
        <f t="shared" ref="L82" si="314">L81/K81-1</f>
        <v>0.30024886504987425</v>
      </c>
      <c r="M82" s="13">
        <f t="shared" ref="M82" si="315">M81/L81-1</f>
        <v>0.22949915594252457</v>
      </c>
      <c r="N82" s="13">
        <f t="shared" ref="N82" si="316">N81/M81-1</f>
        <v>0.19761851404225816</v>
      </c>
      <c r="O82" s="13">
        <f t="shared" ref="O82" si="317">O81/N81-1</f>
        <v>0.19552564142575335</v>
      </c>
      <c r="P82" s="13">
        <f t="shared" ref="P82" si="318">P81/O81-1</f>
        <v>0.16425097535151156</v>
      </c>
      <c r="R82" s="110"/>
      <c r="S82" s="110"/>
    </row>
    <row r="83" spans="1:19" x14ac:dyDescent="0.2">
      <c r="A83" s="23" t="s">
        <v>23</v>
      </c>
      <c r="B83" s="40">
        <f>B79+B81</f>
        <v>53.578498613181239</v>
      </c>
      <c r="C83" s="40">
        <f t="shared" ref="C83:P83" si="319">C79+C81</f>
        <v>69.735520457535898</v>
      </c>
      <c r="D83" s="40">
        <f t="shared" si="319"/>
        <v>90.119047509562094</v>
      </c>
      <c r="E83" s="40">
        <f t="shared" si="319"/>
        <v>117.27475367613026</v>
      </c>
      <c r="F83" s="40">
        <f t="shared" si="319"/>
        <v>150.14410961123295</v>
      </c>
      <c r="G83" s="40">
        <f t="shared" si="319"/>
        <v>197.57827862679343</v>
      </c>
      <c r="H83" s="40">
        <f t="shared" si="319"/>
        <v>257.00709552156582</v>
      </c>
      <c r="I83" s="40">
        <f t="shared" si="319"/>
        <v>355.15889698438161</v>
      </c>
      <c r="J83" s="40">
        <f t="shared" si="319"/>
        <v>481.10247840424802</v>
      </c>
      <c r="K83" s="40">
        <f t="shared" si="319"/>
        <v>629.21461671602117</v>
      </c>
      <c r="L83" s="40">
        <f t="shared" si="319"/>
        <v>799.74812083886275</v>
      </c>
      <c r="M83" s="40">
        <f t="shared" si="319"/>
        <v>965.74315397511521</v>
      </c>
      <c r="N83" s="40">
        <f t="shared" si="319"/>
        <v>1141.0557625176586</v>
      </c>
      <c r="O83" s="40">
        <f t="shared" si="319"/>
        <v>1351.6446956319012</v>
      </c>
      <c r="P83" s="40">
        <f t="shared" si="319"/>
        <v>1565.7600653782315</v>
      </c>
      <c r="R83" s="36">
        <f>(J83/D83)^(1/6)-1</f>
        <v>0.32201637203106626</v>
      </c>
      <c r="S83" s="36">
        <f>(P83/J83)^(1/6)-1</f>
        <v>0.21734759756879196</v>
      </c>
    </row>
    <row r="84" spans="1:19" x14ac:dyDescent="0.2">
      <c r="A84" s="19" t="s">
        <v>4</v>
      </c>
      <c r="B84" s="35"/>
      <c r="C84" s="8">
        <f>C83/B83-1</f>
        <v>0.30155794325262697</v>
      </c>
      <c r="D84" s="8">
        <f t="shared" ref="D84" si="320">D83/C83-1</f>
        <v>0.2922976256330998</v>
      </c>
      <c r="E84" s="8">
        <f t="shared" ref="E84" si="321">E83/D83-1</f>
        <v>0.30133148226723994</v>
      </c>
      <c r="F84" s="8">
        <f t="shared" ref="F84" si="322">F83/E83-1</f>
        <v>0.28027648666716254</v>
      </c>
      <c r="G84" s="8">
        <f t="shared" ref="G84" si="323">G83/F83-1</f>
        <v>0.31592427527381139</v>
      </c>
      <c r="H84" s="8">
        <f t="shared" ref="H84" si="324">H83/G83-1</f>
        <v>0.30078618615271857</v>
      </c>
      <c r="I84" s="8">
        <f t="shared" ref="I84" si="325">I83/H83-1</f>
        <v>0.38190308039405751</v>
      </c>
      <c r="J84" s="8">
        <f t="shared" ref="J84" si="326">J83/I83-1</f>
        <v>0.35461192860221336</v>
      </c>
      <c r="K84" s="8">
        <f t="shared" ref="K84" si="327">K83/J83-1</f>
        <v>0.30785985306714925</v>
      </c>
      <c r="L84" s="8">
        <f t="shared" ref="L84" si="328">L83/K83-1</f>
        <v>0.27102597363819214</v>
      </c>
      <c r="M84" s="8">
        <f t="shared" ref="M84" si="329">M83/L83-1</f>
        <v>0.20755914119827978</v>
      </c>
      <c r="N84" s="8">
        <f t="shared" ref="N84" si="330">N83/M83-1</f>
        <v>0.18153129827629177</v>
      </c>
      <c r="O84" s="8">
        <f t="shared" ref="O84" si="331">O83/N83-1</f>
        <v>0.18455621542070211</v>
      </c>
      <c r="P84" s="8">
        <f t="shared" ref="P84" si="332">P83/O83-1</f>
        <v>0.1584109865841854</v>
      </c>
      <c r="R84" s="110"/>
      <c r="S84" s="110"/>
    </row>
    <row r="85" spans="1:19" ht="17.100000000000001" customHeight="1" x14ac:dyDescent="0.2">
      <c r="G85" s="144"/>
      <c r="H85" s="108"/>
      <c r="I85" s="108"/>
      <c r="J85" s="108"/>
      <c r="K85" s="108"/>
      <c r="L85" s="108"/>
      <c r="M85" s="108"/>
      <c r="N85" s="108"/>
      <c r="O85" s="108"/>
      <c r="P85" s="108"/>
      <c r="R85" s="110"/>
      <c r="S85" s="110"/>
    </row>
    <row r="86" spans="1:19" ht="17.100000000000001" customHeight="1" x14ac:dyDescent="0.2">
      <c r="A86" s="21" t="s">
        <v>47</v>
      </c>
      <c r="R86" s="110"/>
      <c r="S86" s="110"/>
    </row>
    <row r="87" spans="1:19" ht="17.100000000000001" customHeight="1" x14ac:dyDescent="0.2">
      <c r="A87" s="22" t="s">
        <v>48</v>
      </c>
      <c r="B87" s="39">
        <v>12.681047994498414</v>
      </c>
      <c r="C87" s="39">
        <v>17.438981730580398</v>
      </c>
      <c r="D87" s="39">
        <v>24.932265455989715</v>
      </c>
      <c r="E87" s="39">
        <v>34.89774245809474</v>
      </c>
      <c r="F87" s="39">
        <v>47.549572158960054</v>
      </c>
      <c r="G87" s="39">
        <v>65.987951399329674</v>
      </c>
      <c r="H87" s="39">
        <v>86.670778739207947</v>
      </c>
      <c r="I87" s="39">
        <v>115.50429875567102</v>
      </c>
      <c r="J87" s="39">
        <v>152.94760884481298</v>
      </c>
      <c r="K87" s="39">
        <v>193.98575856906351</v>
      </c>
      <c r="L87" s="39">
        <v>242.26456318685015</v>
      </c>
      <c r="M87" s="39">
        <v>294.77949930160116</v>
      </c>
      <c r="N87" s="39">
        <v>349.9574315078051</v>
      </c>
      <c r="O87" s="39">
        <v>415.97841327585616</v>
      </c>
      <c r="P87" s="39">
        <v>487.29713493793912</v>
      </c>
      <c r="R87" s="36">
        <f>(J87/D87)^(1/6)-1</f>
        <v>0.35299697281891507</v>
      </c>
      <c r="S87" s="36">
        <f>(P87/J87)^(1/6)-1</f>
        <v>0.21304020225543385</v>
      </c>
    </row>
    <row r="88" spans="1:19" ht="17.100000000000001" customHeight="1" x14ac:dyDescent="0.2">
      <c r="A88" s="12" t="s">
        <v>4</v>
      </c>
      <c r="B88" s="13"/>
      <c r="C88" s="13">
        <f>C87/B87-1</f>
        <v>0.37520035711135091</v>
      </c>
      <c r="D88" s="13">
        <f t="shared" ref="D88" si="333">D87/C87-1</f>
        <v>0.42968585214292365</v>
      </c>
      <c r="E88" s="13">
        <f t="shared" ref="E88" si="334">E87/D87-1</f>
        <v>0.39970202546158617</v>
      </c>
      <c r="F88" s="13">
        <f t="shared" ref="F88" si="335">F87/E87-1</f>
        <v>0.36254006161165431</v>
      </c>
      <c r="G88" s="13">
        <f t="shared" ref="G88" si="336">G87/F87-1</f>
        <v>0.38777171703521129</v>
      </c>
      <c r="H88" s="13">
        <f t="shared" ref="H88" si="337">H87/G87-1</f>
        <v>0.31343339050965557</v>
      </c>
      <c r="I88" s="13">
        <f t="shared" ref="I88" si="338">I87/H87-1</f>
        <v>0.33267867712626686</v>
      </c>
      <c r="J88" s="13">
        <f t="shared" ref="J88" si="339">J87/I87-1</f>
        <v>0.32417243767131709</v>
      </c>
      <c r="K88" s="13">
        <f t="shared" ref="K88" si="340">K87/J87-1</f>
        <v>0.26831507883127181</v>
      </c>
      <c r="L88" s="13">
        <f t="shared" ref="L88" si="341">L87/K87-1</f>
        <v>0.24887808761795394</v>
      </c>
      <c r="M88" s="13">
        <f t="shared" ref="M88" si="342">M87/L87-1</f>
        <v>0.21676689080708877</v>
      </c>
      <c r="N88" s="13">
        <f t="shared" ref="N88" si="343">N87/M87-1</f>
        <v>0.18718375035215429</v>
      </c>
      <c r="O88" s="13">
        <f t="shared" ref="O88" si="344">O87/N87-1</f>
        <v>0.18865432142302874</v>
      </c>
      <c r="P88" s="13">
        <f t="shared" ref="P88" si="345">P87/O87-1</f>
        <v>0.17144813140769388</v>
      </c>
      <c r="R88" s="110"/>
      <c r="S88" s="110"/>
    </row>
    <row r="89" spans="1:19" ht="17.100000000000001" customHeight="1" x14ac:dyDescent="0.2">
      <c r="A89" s="22" t="s">
        <v>49</v>
      </c>
      <c r="B89" s="39">
        <v>17.511923420974004</v>
      </c>
      <c r="C89" s="39">
        <v>22.294401114214317</v>
      </c>
      <c r="D89" s="39">
        <v>29.427787473179052</v>
      </c>
      <c r="E89" s="39">
        <v>37.913622316217761</v>
      </c>
      <c r="F89" s="39">
        <v>47.386697166992484</v>
      </c>
      <c r="G89" s="39">
        <v>60.08847873597599</v>
      </c>
      <c r="H89" s="39">
        <v>71.7914156110009</v>
      </c>
      <c r="I89" s="39">
        <v>86.581048173670339</v>
      </c>
      <c r="J89" s="39">
        <v>103.12497150071795</v>
      </c>
      <c r="K89" s="39">
        <v>116.80918394526115</v>
      </c>
      <c r="L89" s="39">
        <v>129.16605255345775</v>
      </c>
      <c r="M89" s="39">
        <v>137.70325233944868</v>
      </c>
      <c r="N89" s="39">
        <v>141.36935801931534</v>
      </c>
      <c r="O89" s="39">
        <v>142.89021026702875</v>
      </c>
      <c r="P89" s="39">
        <v>139.19626673833119</v>
      </c>
      <c r="R89" s="36">
        <f>(J89/D89)^(1/6)-1</f>
        <v>0.23244544799883782</v>
      </c>
      <c r="S89" s="36">
        <f>(P89/J89)^(1/6)-1</f>
        <v>5.126117239463035E-2</v>
      </c>
    </row>
    <row r="90" spans="1:19" ht="17.100000000000001" customHeight="1" x14ac:dyDescent="0.2">
      <c r="A90" s="12" t="s">
        <v>4</v>
      </c>
      <c r="B90" s="13"/>
      <c r="C90" s="13">
        <f>C89/B89-1</f>
        <v>0.27309836722517566</v>
      </c>
      <c r="D90" s="13">
        <f t="shared" ref="D90" si="346">D89/C89-1</f>
        <v>0.31996312986477471</v>
      </c>
      <c r="E90" s="13">
        <f t="shared" ref="E90" si="347">E89/D89-1</f>
        <v>0.28836129290293511</v>
      </c>
      <c r="F90" s="13">
        <f t="shared" ref="F90" si="348">F89/E89-1</f>
        <v>0.24985939807504387</v>
      </c>
      <c r="G90" s="13">
        <f t="shared" ref="G90" si="349">G89/F89-1</f>
        <v>0.26804530233921886</v>
      </c>
      <c r="H90" s="13">
        <f t="shared" ref="H90" si="350">H89/G89-1</f>
        <v>0.19476174336925189</v>
      </c>
      <c r="I90" s="13">
        <f t="shared" ref="I90" si="351">I89/H89-1</f>
        <v>0.20600837073343858</v>
      </c>
      <c r="J90" s="13">
        <f t="shared" ref="J90" si="352">J89/I89-1</f>
        <v>0.19108019221322725</v>
      </c>
      <c r="K90" s="13">
        <f t="shared" ref="K90" si="353">K89/J89-1</f>
        <v>0.13269543007289886</v>
      </c>
      <c r="L90" s="13">
        <f t="shared" ref="L90" si="354">L89/K89-1</f>
        <v>0.10578678996667956</v>
      </c>
      <c r="M90" s="13">
        <f t="shared" ref="M90" si="355">M89/L89-1</f>
        <v>6.6094764198647793E-2</v>
      </c>
      <c r="N90" s="13">
        <f t="shared" ref="N90" si="356">N89/M89-1</f>
        <v>2.662323233172037E-2</v>
      </c>
      <c r="O90" s="13">
        <f t="shared" ref="O90" si="357">O89/N89-1</f>
        <v>1.0758004910127683E-2</v>
      </c>
      <c r="P90" s="13">
        <f t="shared" ref="P90" si="358">P89/O89-1</f>
        <v>-2.5851620777899598E-2</v>
      </c>
      <c r="R90" s="110"/>
      <c r="S90" s="110"/>
    </row>
    <row r="91" spans="1:19" ht="17.100000000000001" customHeight="1" x14ac:dyDescent="0.2">
      <c r="A91" s="23" t="s">
        <v>23</v>
      </c>
      <c r="B91" s="40">
        <f>B89+B87</f>
        <v>30.192971415472417</v>
      </c>
      <c r="C91" s="40">
        <f t="shared" ref="C91:P91" si="359">C89+C87</f>
        <v>39.733382844794718</v>
      </c>
      <c r="D91" s="40">
        <f t="shared" si="359"/>
        <v>54.360052929168766</v>
      </c>
      <c r="E91" s="40">
        <f t="shared" si="359"/>
        <v>72.811364774312494</v>
      </c>
      <c r="F91" s="40">
        <f t="shared" si="359"/>
        <v>94.936269325952537</v>
      </c>
      <c r="G91" s="40">
        <f t="shared" si="359"/>
        <v>126.07643013530566</v>
      </c>
      <c r="H91" s="40">
        <f t="shared" si="359"/>
        <v>158.46219435020885</v>
      </c>
      <c r="I91" s="40">
        <f t="shared" si="359"/>
        <v>202.08534692934137</v>
      </c>
      <c r="J91" s="40">
        <f t="shared" si="359"/>
        <v>256.07258034553092</v>
      </c>
      <c r="K91" s="40">
        <f t="shared" si="359"/>
        <v>310.79494251432465</v>
      </c>
      <c r="L91" s="40">
        <f t="shared" si="359"/>
        <v>371.43061574030787</v>
      </c>
      <c r="M91" s="40">
        <f t="shared" si="359"/>
        <v>432.48275164104984</v>
      </c>
      <c r="N91" s="40">
        <f t="shared" si="359"/>
        <v>491.32678952712047</v>
      </c>
      <c r="O91" s="40">
        <f t="shared" si="359"/>
        <v>558.86862354288496</v>
      </c>
      <c r="P91" s="40">
        <f t="shared" si="359"/>
        <v>626.49340167627031</v>
      </c>
      <c r="R91" s="36">
        <f>(J91/D91)^(1/6)-1</f>
        <v>0.29473394528125851</v>
      </c>
      <c r="S91" s="36">
        <f>(P91/J91)^(1/6)-1</f>
        <v>0.16080402129706606</v>
      </c>
    </row>
    <row r="92" spans="1:19" ht="17.100000000000001" customHeight="1" x14ac:dyDescent="0.2">
      <c r="A92" s="19" t="s">
        <v>4</v>
      </c>
      <c r="B92" s="35"/>
      <c r="C92" s="8">
        <f>C91/B91-1</f>
        <v>0.31598120297736942</v>
      </c>
      <c r="D92" s="8">
        <f t="shared" ref="D92" si="360">D91/C91-1</f>
        <v>0.36812043267265415</v>
      </c>
      <c r="E92" s="8">
        <f t="shared" ref="E92" si="361">E91/D91-1</f>
        <v>0.33942777556132664</v>
      </c>
      <c r="F92" s="8">
        <f t="shared" ref="F92" si="362">F91/E91-1</f>
        <v>0.30386608766665502</v>
      </c>
      <c r="G92" s="8">
        <f t="shared" ref="G92" si="363">G91/F91-1</f>
        <v>0.32801121247388632</v>
      </c>
      <c r="H92" s="8">
        <f t="shared" ref="H92" si="364">H91/G91-1</f>
        <v>0.25687405790397677</v>
      </c>
      <c r="I92" s="8">
        <f t="shared" ref="I92" si="365">I91/H91-1</f>
        <v>0.27529060012082951</v>
      </c>
      <c r="J92" s="8">
        <f t="shared" ref="J92" si="366">J91/I91-1</f>
        <v>0.26715065805867688</v>
      </c>
      <c r="K92" s="8">
        <f t="shared" ref="K92" si="367">K91/J91-1</f>
        <v>0.21369864002992522</v>
      </c>
      <c r="L92" s="8">
        <f t="shared" ref="L92" si="368">L91/K91-1</f>
        <v>0.19509864843823355</v>
      </c>
      <c r="M92" s="8">
        <f t="shared" ref="M92" si="369">M91/L91-1</f>
        <v>0.16437023043740595</v>
      </c>
      <c r="N92" s="8">
        <f t="shared" ref="N92" si="370">N91/M91-1</f>
        <v>0.13606100512167885</v>
      </c>
      <c r="O92" s="8">
        <f t="shared" ref="O92" si="371">O91/N91-1</f>
        <v>0.13746825016557795</v>
      </c>
      <c r="P92" s="8">
        <f t="shared" ref="P92" si="372">P91/O91-1</f>
        <v>0.12100299656238644</v>
      </c>
      <c r="R92" s="110"/>
      <c r="S92" s="110"/>
    </row>
    <row r="93" spans="1:19" ht="17.100000000000001" customHeight="1" x14ac:dyDescent="0.2">
      <c r="R93" s="110"/>
      <c r="S93" s="110"/>
    </row>
    <row r="94" spans="1:19" ht="17.100000000000001" customHeight="1" x14ac:dyDescent="0.2">
      <c r="A94" s="21" t="s">
        <v>50</v>
      </c>
      <c r="R94" s="110"/>
      <c r="S94" s="110"/>
    </row>
    <row r="95" spans="1:19" ht="17.100000000000001" customHeight="1" x14ac:dyDescent="0.2">
      <c r="A95" s="22" t="s">
        <v>48</v>
      </c>
      <c r="B95" s="39">
        <v>2.574563821203447</v>
      </c>
      <c r="C95" s="39">
        <v>3.5862668048196147</v>
      </c>
      <c r="D95" s="39">
        <v>4.9792512601761452</v>
      </c>
      <c r="E95" s="39">
        <v>6.9568205708287696</v>
      </c>
      <c r="F95" s="39">
        <v>9.5259276173770893</v>
      </c>
      <c r="G95" s="39">
        <v>13.567300086625</v>
      </c>
      <c r="H95" s="39">
        <v>17.812348862318863</v>
      </c>
      <c r="I95" s="39">
        <v>25.768320395639037</v>
      </c>
      <c r="J95" s="39">
        <v>38.841582689003999</v>
      </c>
      <c r="K95" s="39">
        <v>57.944689629087428</v>
      </c>
      <c r="L95" s="39">
        <v>83.373421894254008</v>
      </c>
      <c r="M95" s="39">
        <v>113.26721022754795</v>
      </c>
      <c r="N95" s="39">
        <v>148.2304506204859</v>
      </c>
      <c r="O95" s="39">
        <v>195.18685078463781</v>
      </c>
      <c r="P95" s="39">
        <v>246.18581604649992</v>
      </c>
      <c r="R95" s="36">
        <f>(J95/D95)^(1/6)-1</f>
        <v>0.40827935490413636</v>
      </c>
      <c r="S95" s="36">
        <f>(P95/J95)^(1/6)-1</f>
        <v>0.3603824428224105</v>
      </c>
    </row>
    <row r="96" spans="1:19" ht="17.100000000000001" customHeight="1" x14ac:dyDescent="0.2">
      <c r="A96" s="12" t="s">
        <v>4</v>
      </c>
      <c r="B96" s="13"/>
      <c r="C96" s="13">
        <f>C95/B95-1</f>
        <v>0.39296092615146749</v>
      </c>
      <c r="D96" s="13">
        <f t="shared" ref="D96" si="373">D95/C95-1</f>
        <v>0.38842186908249188</v>
      </c>
      <c r="E96" s="13">
        <f t="shared" ref="E96" si="374">E95/D95-1</f>
        <v>0.39716198426641891</v>
      </c>
      <c r="F96" s="13">
        <f t="shared" ref="F96" si="375">F95/E95-1</f>
        <v>0.36929327418922653</v>
      </c>
      <c r="G96" s="13">
        <f t="shared" ref="G96" si="376">G95/F95-1</f>
        <v>0.42424975619966765</v>
      </c>
      <c r="H96" s="13">
        <f t="shared" ref="H96" si="377">H95/G95-1</f>
        <v>0.31288824958465722</v>
      </c>
      <c r="I96" s="13">
        <f t="shared" ref="I96" si="378">I95/H95-1</f>
        <v>0.44665482328109096</v>
      </c>
      <c r="J96" s="13">
        <f t="shared" ref="J96" si="379">J95/I95-1</f>
        <v>0.50733854953066504</v>
      </c>
      <c r="K96" s="13">
        <f t="shared" ref="K96" si="380">K95/J95-1</f>
        <v>0.49182102318120768</v>
      </c>
      <c r="L96" s="13">
        <f t="shared" ref="L96" si="381">L95/K95-1</f>
        <v>0.43884491275973136</v>
      </c>
      <c r="M96" s="13">
        <f t="shared" ref="M96" si="382">M95/L95-1</f>
        <v>0.35855297352685711</v>
      </c>
      <c r="N96" s="13">
        <f t="shared" ref="N96" si="383">N95/M95-1</f>
        <v>0.30867927551758889</v>
      </c>
      <c r="O96" s="13">
        <f t="shared" ref="O96" si="384">O95/N95-1</f>
        <v>0.31677971676935868</v>
      </c>
      <c r="P96" s="13">
        <f t="shared" ref="P96" si="385">P95/O95-1</f>
        <v>0.26128279162684254</v>
      </c>
      <c r="R96" s="110"/>
      <c r="S96" s="110"/>
    </row>
    <row r="97" spans="1:19" ht="17.100000000000001" customHeight="1" x14ac:dyDescent="0.2">
      <c r="A97" s="22" t="s">
        <v>49</v>
      </c>
      <c r="B97" s="39">
        <v>1.7163758808022982</v>
      </c>
      <c r="C97" s="39">
        <v>2.2450613330984592</v>
      </c>
      <c r="D97" s="39">
        <v>2.9196204593180397</v>
      </c>
      <c r="E97" s="39">
        <v>3.8100119024145442</v>
      </c>
      <c r="F97" s="39">
        <v>4.8574394947538613</v>
      </c>
      <c r="G97" s="39">
        <v>6.4185605014557909</v>
      </c>
      <c r="H97" s="39">
        <v>7.786872136635675</v>
      </c>
      <c r="I97" s="39">
        <v>10.361666463264548</v>
      </c>
      <c r="J97" s="39">
        <v>14.290243639251338</v>
      </c>
      <c r="K97" s="39">
        <v>19.385237704087317</v>
      </c>
      <c r="L97" s="39">
        <v>25.178551322739342</v>
      </c>
      <c r="M97" s="39">
        <v>30.609478549187724</v>
      </c>
      <c r="N97" s="39">
        <v>35.46558921581466</v>
      </c>
      <c r="O97" s="39">
        <v>40.80068024687116</v>
      </c>
      <c r="P97" s="39">
        <v>44.201512664278397</v>
      </c>
      <c r="R97" s="36">
        <f>(J97/D97)^(1/6)-1</f>
        <v>0.30302337264755308</v>
      </c>
      <c r="S97" s="36">
        <f>(P97/J97)^(1/6)-1</f>
        <v>0.20707127898512478</v>
      </c>
    </row>
    <row r="98" spans="1:19" ht="17.100000000000001" customHeight="1" x14ac:dyDescent="0.2">
      <c r="A98" s="12" t="s">
        <v>4</v>
      </c>
      <c r="B98" s="13"/>
      <c r="C98" s="13">
        <f>C97/B97-1</f>
        <v>0.30802428431296391</v>
      </c>
      <c r="D98" s="13">
        <f t="shared" ref="D98" si="386">D97/C97-1</f>
        <v>0.3004635625204084</v>
      </c>
      <c r="E98" s="13">
        <f t="shared" ref="E98" si="387">E97/D97-1</f>
        <v>0.30496821607575697</v>
      </c>
      <c r="F98" s="13">
        <f t="shared" ref="F98" si="388">F97/E97-1</f>
        <v>0.27491451973562708</v>
      </c>
      <c r="G98" s="13">
        <f t="shared" ref="G98" si="389">G97/F97-1</f>
        <v>0.32138763815544658</v>
      </c>
      <c r="H98" s="13">
        <f t="shared" ref="H98" si="390">H97/G97-1</f>
        <v>0.21318045298000032</v>
      </c>
      <c r="I98" s="13">
        <f t="shared" ref="I98" si="391">I97/H97-1</f>
        <v>0.3306583544007331</v>
      </c>
      <c r="J98" s="13">
        <f t="shared" ref="J98" si="392">J97/I97-1</f>
        <v>0.37914530350063513</v>
      </c>
      <c r="K98" s="13">
        <f t="shared" ref="K98" si="393">K97/J97-1</f>
        <v>0.35653654293489034</v>
      </c>
      <c r="L98" s="13">
        <f t="shared" ref="L98" si="394">L97/K97-1</f>
        <v>0.29885182256137743</v>
      </c>
      <c r="M98" s="13">
        <f t="shared" ref="M98" si="395">M97/L97-1</f>
        <v>0.21569657272313303</v>
      </c>
      <c r="N98" s="13">
        <f t="shared" ref="N98" si="396">N97/M97-1</f>
        <v>0.15864728498472913</v>
      </c>
      <c r="O98" s="13">
        <f t="shared" ref="O98" si="397">O97/N97-1</f>
        <v>0.15043006894912936</v>
      </c>
      <c r="P98" s="13">
        <f t="shared" ref="P98" si="398">P97/O97-1</f>
        <v>8.3352346010653333E-2</v>
      </c>
      <c r="R98" s="110"/>
      <c r="S98" s="110"/>
    </row>
    <row r="99" spans="1:19" ht="17.100000000000001" customHeight="1" x14ac:dyDescent="0.2">
      <c r="A99" s="23" t="s">
        <v>23</v>
      </c>
      <c r="B99" s="40">
        <f>B97+B95</f>
        <v>4.2909397020057449</v>
      </c>
      <c r="C99" s="40">
        <f t="shared" ref="C99:P99" si="399">C97+C95</f>
        <v>5.8313281379180744</v>
      </c>
      <c r="D99" s="40">
        <f t="shared" si="399"/>
        <v>7.8988717194941849</v>
      </c>
      <c r="E99" s="40">
        <f t="shared" si="399"/>
        <v>10.766832473243314</v>
      </c>
      <c r="F99" s="40">
        <f t="shared" si="399"/>
        <v>14.383367112130951</v>
      </c>
      <c r="G99" s="40">
        <f t="shared" si="399"/>
        <v>19.98586058808079</v>
      </c>
      <c r="H99" s="40">
        <f t="shared" si="399"/>
        <v>25.599220998954539</v>
      </c>
      <c r="I99" s="40">
        <f t="shared" si="399"/>
        <v>36.129986858903585</v>
      </c>
      <c r="J99" s="40">
        <f t="shared" si="399"/>
        <v>53.131826328255336</v>
      </c>
      <c r="K99" s="40">
        <f t="shared" si="399"/>
        <v>77.329927333174737</v>
      </c>
      <c r="L99" s="40">
        <f t="shared" si="399"/>
        <v>108.55197321699335</v>
      </c>
      <c r="M99" s="40">
        <f t="shared" si="399"/>
        <v>143.87668877673568</v>
      </c>
      <c r="N99" s="40">
        <f t="shared" si="399"/>
        <v>183.69603983630054</v>
      </c>
      <c r="O99" s="40">
        <f t="shared" si="399"/>
        <v>235.98753103150898</v>
      </c>
      <c r="P99" s="40">
        <f t="shared" si="399"/>
        <v>290.38732871077832</v>
      </c>
      <c r="R99" s="36">
        <f>(J99/D99)^(1/6)-1</f>
        <v>0.37393107795525515</v>
      </c>
      <c r="S99" s="36">
        <f>(P99/J99)^(1/6)-1</f>
        <v>0.32720238324137618</v>
      </c>
    </row>
    <row r="100" spans="1:19" ht="17.100000000000001" customHeight="1" x14ac:dyDescent="0.2">
      <c r="A100" s="19" t="s">
        <v>4</v>
      </c>
      <c r="B100" s="35"/>
      <c r="C100" s="8">
        <f>C99/B99-1</f>
        <v>0.35898626941606637</v>
      </c>
      <c r="D100" s="8">
        <f t="shared" ref="D100" si="400">D99/C99-1</f>
        <v>0.35455792105608963</v>
      </c>
      <c r="E100" s="8">
        <f t="shared" ref="E100" si="401">E99/D99-1</f>
        <v>0.36308486269894535</v>
      </c>
      <c r="F100" s="8">
        <f t="shared" ref="F100" si="402">F99/E99-1</f>
        <v>0.33589587725778203</v>
      </c>
      <c r="G100" s="8">
        <f t="shared" ref="G100" si="403">G99/F99-1</f>
        <v>0.38951195726796728</v>
      </c>
      <c r="H100" s="8">
        <f t="shared" ref="H100" si="404">H99/G99-1</f>
        <v>0.28086658496064243</v>
      </c>
      <c r="I100" s="8">
        <f t="shared" ref="I100" si="405">I99/H99-1</f>
        <v>0.41137055929862543</v>
      </c>
      <c r="J100" s="8">
        <f t="shared" ref="J100" si="406">J99/I99-1</f>
        <v>0.47057419466406336</v>
      </c>
      <c r="K100" s="8">
        <f t="shared" ref="K100" si="407">K99/J99-1</f>
        <v>0.45543514456703194</v>
      </c>
      <c r="L100" s="8">
        <f t="shared" ref="L100" si="408">L99/K99-1</f>
        <v>0.40375113439973798</v>
      </c>
      <c r="M100" s="8">
        <f t="shared" ref="M100" si="409">M99/L99-1</f>
        <v>0.32541753514815341</v>
      </c>
      <c r="N100" s="8">
        <f t="shared" ref="N100" si="410">N99/M99-1</f>
        <v>0.27676026879764759</v>
      </c>
      <c r="O100" s="8">
        <f t="shared" ref="O100" si="411">O99/N99-1</f>
        <v>0.28466313831156964</v>
      </c>
      <c r="P100" s="8">
        <f t="shared" ref="P100" si="412">P99/O99-1</f>
        <v>0.2305197967091146</v>
      </c>
      <c r="R100" s="110"/>
      <c r="S100" s="110"/>
    </row>
    <row r="101" spans="1:19" ht="17.100000000000001" customHeight="1" x14ac:dyDescent="0.2">
      <c r="R101" s="110"/>
      <c r="S101" s="110"/>
    </row>
    <row r="102" spans="1:19" x14ac:dyDescent="0.2">
      <c r="A102" s="21" t="s">
        <v>32</v>
      </c>
      <c r="R102" s="110"/>
      <c r="S102" s="110"/>
    </row>
    <row r="103" spans="1:19" x14ac:dyDescent="0.2">
      <c r="A103" s="22" t="s">
        <v>82</v>
      </c>
      <c r="B103" s="15">
        <v>8.341318051575976E-4</v>
      </c>
      <c r="C103" s="15">
        <v>1.7515454716272101E-3</v>
      </c>
      <c r="D103" s="15">
        <v>2.4121129437158382E-3</v>
      </c>
      <c r="E103" s="15">
        <v>4.4650530479292813E-3</v>
      </c>
      <c r="F103" s="15">
        <v>5.3877942764579039E-3</v>
      </c>
      <c r="G103" s="15">
        <v>8.6584365284407133E-3</v>
      </c>
      <c r="H103" s="15">
        <v>1.1059714950180332E-2</v>
      </c>
      <c r="I103" s="15">
        <v>1.4074861545234473E-2</v>
      </c>
      <c r="J103" s="15">
        <v>1.7386201235370682E-2</v>
      </c>
      <c r="K103" s="15">
        <v>2.1059926074490736E-2</v>
      </c>
      <c r="L103" s="15">
        <v>2.488241064333812E-2</v>
      </c>
      <c r="M103" s="15">
        <v>2.8663312299912064E-2</v>
      </c>
      <c r="N103" s="15">
        <v>3.2013319888244386E-2</v>
      </c>
      <c r="O103" s="15">
        <v>3.5919940347048068E-2</v>
      </c>
      <c r="P103" s="15">
        <v>3.9415426741131361E-2</v>
      </c>
      <c r="R103" s="36">
        <f>(J103/D103)^(1/6)-1</f>
        <v>0.38984971965103155</v>
      </c>
      <c r="S103" s="36">
        <f>(P103/J103)^(1/6)-1</f>
        <v>0.14615562063658993</v>
      </c>
    </row>
    <row r="104" spans="1:19" x14ac:dyDescent="0.2">
      <c r="A104" s="12" t="s">
        <v>4</v>
      </c>
      <c r="B104" s="41"/>
      <c r="C104" s="13">
        <f>C103/B103-1</f>
        <v>1.0998425678017156</v>
      </c>
      <c r="D104" s="13">
        <f t="shared" ref="D104" si="413">D103/C103-1</f>
        <v>0.37713406976237485</v>
      </c>
      <c r="E104" s="13">
        <f t="shared" ref="E104" si="414">E103/D103-1</f>
        <v>0.85109617672002846</v>
      </c>
      <c r="F104" s="13">
        <f t="shared" ref="F104" si="415">F103/E103-1</f>
        <v>0.20665851415954717</v>
      </c>
      <c r="G104" s="13">
        <f t="shared" ref="G104" si="416">G103/F103-1</f>
        <v>0.60704661020075679</v>
      </c>
      <c r="H104" s="13">
        <f t="shared" ref="H104" si="417">H103/G103-1</f>
        <v>0.27733395213466583</v>
      </c>
      <c r="I104" s="13">
        <f t="shared" ref="I104" si="418">I103/H103-1</f>
        <v>0.27262425918174116</v>
      </c>
      <c r="J104" s="13">
        <f t="shared" ref="J104" si="419">J103/I103-1</f>
        <v>0.23526623544352909</v>
      </c>
      <c r="K104" s="13">
        <f t="shared" ref="K104" si="420">K103/J103-1</f>
        <v>0.21130118013624433</v>
      </c>
      <c r="L104" s="13">
        <f t="shared" ref="L104" si="421">L103/K103-1</f>
        <v>0.18150512757390191</v>
      </c>
      <c r="M104" s="13">
        <f t="shared" ref="M104" si="422">M103/L103-1</f>
        <v>0.1519507780322813</v>
      </c>
      <c r="N104" s="13">
        <f t="shared" ref="N104" si="423">N103/M103-1</f>
        <v>0.11687440562626805</v>
      </c>
      <c r="O104" s="13">
        <f t="shared" ref="O104" si="424">O103/N103-1</f>
        <v>0.12203109432078096</v>
      </c>
      <c r="P104" s="13">
        <f t="shared" ref="P104" si="425">P103/O103-1</f>
        <v>9.7313257213428317E-2</v>
      </c>
      <c r="R104" s="110"/>
      <c r="S104" s="110"/>
    </row>
    <row r="105" spans="1:19" x14ac:dyDescent="0.2">
      <c r="A105" s="22" t="s">
        <v>10</v>
      </c>
      <c r="B105" s="15">
        <v>4.170659504870982</v>
      </c>
      <c r="C105" s="15">
        <v>5.8384846885567976</v>
      </c>
      <c r="D105" s="15">
        <v>8.0403763484501685</v>
      </c>
      <c r="E105" s="15">
        <v>11.162632805955949</v>
      </c>
      <c r="F105" s="15">
        <v>13.469485940874401</v>
      </c>
      <c r="G105" s="15">
        <v>17.316873048123171</v>
      </c>
      <c r="H105" s="15">
        <v>22.119429751007612</v>
      </c>
      <c r="I105" s="15">
        <v>28.149723266563264</v>
      </c>
      <c r="J105" s="15">
        <v>34.772402424297844</v>
      </c>
      <c r="K105" s="15">
        <v>44.010297863537602</v>
      </c>
      <c r="L105" s="15">
        <v>55.959546891597171</v>
      </c>
      <c r="M105" s="15">
        <v>69.457242650998865</v>
      </c>
      <c r="N105" s="15">
        <v>84.742108299795973</v>
      </c>
      <c r="O105" s="15">
        <v>103.23317356223927</v>
      </c>
      <c r="P105" s="15">
        <v>124.330376258843</v>
      </c>
      <c r="R105" s="36">
        <f>(J105/D105)^(1/6)-1</f>
        <v>0.27641839183168471</v>
      </c>
      <c r="S105" s="36">
        <f>(P105/J105)^(1/6)-1</f>
        <v>0.236584385966637</v>
      </c>
    </row>
    <row r="106" spans="1:19" x14ac:dyDescent="0.2">
      <c r="A106" s="12" t="s">
        <v>4</v>
      </c>
      <c r="B106" s="41"/>
      <c r="C106" s="13">
        <f>C105/B105-1</f>
        <v>0.39989483239711499</v>
      </c>
      <c r="D106" s="13">
        <f t="shared" ref="D106" si="426">D105/C105-1</f>
        <v>0.37713409854597946</v>
      </c>
      <c r="E106" s="13">
        <f t="shared" ref="E106" si="427">E105/D105-1</f>
        <v>0.38832217824077531</v>
      </c>
      <c r="F106" s="13">
        <f t="shared" ref="F106" si="428">F105/E105-1</f>
        <v>0.20665851641089583</v>
      </c>
      <c r="G106" s="13">
        <f t="shared" ref="G106" si="429">G105/F105-1</f>
        <v>0.28563726367414799</v>
      </c>
      <c r="H106" s="13">
        <f t="shared" ref="H106" si="430">H105/G105-1</f>
        <v>0.27733394415598323</v>
      </c>
      <c r="I106" s="13">
        <f t="shared" ref="I106" si="431">I105/H105-1</f>
        <v>0.2726242757357229</v>
      </c>
      <c r="J106" s="13">
        <f t="shared" ref="J106" si="432">J105/I105-1</f>
        <v>0.235266226066283</v>
      </c>
      <c r="K106" s="13">
        <f t="shared" ref="K106" si="433">K105/J105-1</f>
        <v>0.26566744875771398</v>
      </c>
      <c r="L106" s="13">
        <f t="shared" ref="L106" si="434">L105/K105-1</f>
        <v>0.2715102966380849</v>
      </c>
      <c r="M106" s="13">
        <f t="shared" ref="M106" si="435">M105/L105-1</f>
        <v>0.24120452200138343</v>
      </c>
      <c r="N106" s="13">
        <f t="shared" ref="N106" si="436">N105/M105-1</f>
        <v>0.22006150928851032</v>
      </c>
      <c r="O106" s="13">
        <f t="shared" ref="O106" si="437">O105/N105-1</f>
        <v>0.21820397950245263</v>
      </c>
      <c r="P106" s="13">
        <f t="shared" ref="P106" si="438">P105/O105-1</f>
        <v>0.20436456585231522</v>
      </c>
      <c r="R106" s="110"/>
      <c r="S106" s="110"/>
    </row>
    <row r="107" spans="1:19" x14ac:dyDescent="0.2">
      <c r="A107" s="22" t="s">
        <v>11</v>
      </c>
      <c r="B107" s="15">
        <v>41.124594727793806</v>
      </c>
      <c r="C107" s="15">
        <v>53.715666173431359</v>
      </c>
      <c r="D107" s="15">
        <v>68.352344673064152</v>
      </c>
      <c r="E107" s="15">
        <v>85.968783573755331</v>
      </c>
      <c r="F107" s="15">
        <v>95.848112670986353</v>
      </c>
      <c r="G107" s="15">
        <v>110.96914780838134</v>
      </c>
      <c r="H107" s="15">
        <v>132.0340534041687</v>
      </c>
      <c r="I107" s="15">
        <v>169.95103039841425</v>
      </c>
      <c r="J107" s="15">
        <v>212.96724036317991</v>
      </c>
      <c r="K107" s="15">
        <v>260.56859641960028</v>
      </c>
      <c r="L107" s="15">
        <v>311.3032506567539</v>
      </c>
      <c r="M107" s="15">
        <v>359.919619383498</v>
      </c>
      <c r="N107" s="15">
        <v>406.63906773329148</v>
      </c>
      <c r="O107" s="15">
        <v>461.08406227463149</v>
      </c>
      <c r="P107" s="15">
        <v>511.9377454851288</v>
      </c>
      <c r="R107" s="36">
        <f>(J107/D107)^(1/6)-1</f>
        <v>0.2085368516136088</v>
      </c>
      <c r="S107" s="36">
        <f>(P107/J107)^(1/6)-1</f>
        <v>0.15740154572470155</v>
      </c>
    </row>
    <row r="108" spans="1:19" x14ac:dyDescent="0.2">
      <c r="A108" s="12" t="s">
        <v>4</v>
      </c>
      <c r="B108" s="41"/>
      <c r="C108" s="13">
        <f>C107/B107-1</f>
        <v>0.30616888820372878</v>
      </c>
      <c r="D108" s="13">
        <f t="shared" ref="D108" si="439">D107/C107-1</f>
        <v>0.27248435218834421</v>
      </c>
      <c r="E108" s="13">
        <f t="shared" ref="E108" si="440">E107/D107-1</f>
        <v>0.25772984065070914</v>
      </c>
      <c r="F108" s="13">
        <f t="shared" ref="F108" si="441">F107/E107-1</f>
        <v>0.11491763273299349</v>
      </c>
      <c r="G108" s="13">
        <f t="shared" ref="G108" si="442">G107/F107-1</f>
        <v>0.15776038480069299</v>
      </c>
      <c r="H108" s="13">
        <f t="shared" ref="H108" si="443">H107/G107-1</f>
        <v>0.18982668617192333</v>
      </c>
      <c r="I108" s="13">
        <f t="shared" ref="I108" si="444">I107/H107-1</f>
        <v>0.28717574002047863</v>
      </c>
      <c r="J108" s="13">
        <f t="shared" ref="J108" si="445">J107/I107-1</f>
        <v>0.2531094390185411</v>
      </c>
      <c r="K108" s="13">
        <f t="shared" ref="K108" si="446">K107/J107-1</f>
        <v>0.2235149217092931</v>
      </c>
      <c r="L108" s="13">
        <f t="shared" ref="L108" si="447">L107/K107-1</f>
        <v>0.19470747793204635</v>
      </c>
      <c r="M108" s="13">
        <f t="shared" ref="M108" si="448">M107/L107-1</f>
        <v>0.15617044995250939</v>
      </c>
      <c r="N108" s="13">
        <f t="shared" ref="N108" si="449">N107/M107-1</f>
        <v>0.12980522826129537</v>
      </c>
      <c r="O108" s="13">
        <f t="shared" ref="O108" si="450">O107/N107-1</f>
        <v>0.13389022074251278</v>
      </c>
      <c r="P108" s="13">
        <f t="shared" ref="P108" si="451">P107/O107-1</f>
        <v>0.11029156583644339</v>
      </c>
      <c r="R108" s="110"/>
      <c r="S108" s="110"/>
    </row>
    <row r="109" spans="1:19" x14ac:dyDescent="0.2">
      <c r="A109" s="22" t="s">
        <v>22</v>
      </c>
      <c r="B109" s="15">
        <v>6.1182011965616416</v>
      </c>
      <c r="C109" s="15">
        <v>8.0825906050357332</v>
      </c>
      <c r="D109" s="15">
        <v>10.709178551486303</v>
      </c>
      <c r="E109" s="15">
        <v>14.292323059562655</v>
      </c>
      <c r="F109" s="15">
        <v>16.709999192314708</v>
      </c>
      <c r="G109" s="15">
        <v>20.539395745938695</v>
      </c>
      <c r="H109" s="15">
        <v>26.206272504214059</v>
      </c>
      <c r="I109" s="15">
        <v>35.327865287255236</v>
      </c>
      <c r="J109" s="15">
        <v>45.588832226453874</v>
      </c>
      <c r="K109" s="15">
        <v>57.167161842618164</v>
      </c>
      <c r="L109" s="15">
        <v>72.502560129482447</v>
      </c>
      <c r="M109" s="15">
        <v>84.761700285404643</v>
      </c>
      <c r="N109" s="15">
        <v>96.43382241254055</v>
      </c>
      <c r="O109" s="15">
        <v>112.5602075838291</v>
      </c>
      <c r="P109" s="15">
        <v>126.73506150907583</v>
      </c>
      <c r="R109" s="36">
        <f>(J109/D109)^(1/6)-1</f>
        <v>0.27306443228696375</v>
      </c>
      <c r="S109" s="36">
        <f>(P109/J109)^(1/6)-1</f>
        <v>0.18578618247705481</v>
      </c>
    </row>
    <row r="110" spans="1:19" x14ac:dyDescent="0.2">
      <c r="A110" s="12" t="s">
        <v>4</v>
      </c>
      <c r="B110" s="13"/>
      <c r="C110" s="13">
        <f>C109/B109-1</f>
        <v>0.32107303198496573</v>
      </c>
      <c r="D110" s="13">
        <f t="shared" ref="D110" si="452">D109/C109-1</f>
        <v>0.32496857440906579</v>
      </c>
      <c r="E110" s="13">
        <f t="shared" ref="E110" si="453">E109/D109-1</f>
        <v>0.33458630751646723</v>
      </c>
      <c r="F110" s="13">
        <f t="shared" ref="F110" si="454">F109/E109-1</f>
        <v>0.16915907390817364</v>
      </c>
      <c r="G110" s="13">
        <f t="shared" ref="G110" si="455">G109/F109-1</f>
        <v>0.22916796760739588</v>
      </c>
      <c r="H110" s="13">
        <f t="shared" ref="H110" si="456">H109/G109-1</f>
        <v>0.27590279813347918</v>
      </c>
      <c r="I110" s="13">
        <f t="shared" ref="I110" si="457">I109/H109-1</f>
        <v>0.34806906558627881</v>
      </c>
      <c r="J110" s="13">
        <f t="shared" ref="J110" si="458">J109/I109-1</f>
        <v>0.29044967353010009</v>
      </c>
      <c r="K110" s="13">
        <f t="shared" ref="K110" si="459">K109/J109-1</f>
        <v>0.25397293702657553</v>
      </c>
      <c r="L110" s="13">
        <f t="shared" ref="L110" si="460">L109/K109-1</f>
        <v>0.2682553723601464</v>
      </c>
      <c r="M110" s="13">
        <f t="shared" ref="M110" si="461">M109/L109-1</f>
        <v>0.16908561758410423</v>
      </c>
      <c r="N110" s="13">
        <f t="shared" ref="N110" si="462">N109/M109-1</f>
        <v>0.13770514380709953</v>
      </c>
      <c r="O110" s="13">
        <f t="shared" ref="O110" si="463">O109/N109-1</f>
        <v>0.16722748064782111</v>
      </c>
      <c r="P110" s="13">
        <f t="shared" ref="P110" si="464">P109/O109-1</f>
        <v>0.125931305827506</v>
      </c>
      <c r="R110" s="110"/>
      <c r="S110" s="110"/>
    </row>
    <row r="111" spans="1:19" x14ac:dyDescent="0.2">
      <c r="A111" s="23" t="s">
        <v>23</v>
      </c>
      <c r="B111" s="40">
        <f>B109+B107+B105+B103</f>
        <v>51.414289561031588</v>
      </c>
      <c r="C111" s="40">
        <f t="shared" ref="C111:P111" si="465">C109+C107+C105+C103</f>
        <v>67.638493012495516</v>
      </c>
      <c r="D111" s="40">
        <f t="shared" si="465"/>
        <v>87.104311685944339</v>
      </c>
      <c r="E111" s="40">
        <f t="shared" si="465"/>
        <v>111.42820449232185</v>
      </c>
      <c r="F111" s="40">
        <f t="shared" si="465"/>
        <v>126.03298559845193</v>
      </c>
      <c r="G111" s="40">
        <f t="shared" si="465"/>
        <v>148.83407503897163</v>
      </c>
      <c r="H111" s="40">
        <f t="shared" si="465"/>
        <v>180.37081537434057</v>
      </c>
      <c r="I111" s="40">
        <f t="shared" si="465"/>
        <v>233.44269381377796</v>
      </c>
      <c r="J111" s="40">
        <f t="shared" si="465"/>
        <v>293.34586121516702</v>
      </c>
      <c r="K111" s="40">
        <f t="shared" si="465"/>
        <v>361.7671160518305</v>
      </c>
      <c r="L111" s="40">
        <f t="shared" si="465"/>
        <v>439.79024008847688</v>
      </c>
      <c r="M111" s="40">
        <f t="shared" si="465"/>
        <v>514.16722563220139</v>
      </c>
      <c r="N111" s="40">
        <f t="shared" si="465"/>
        <v>587.8470117655163</v>
      </c>
      <c r="O111" s="40">
        <f t="shared" si="465"/>
        <v>676.91336336104689</v>
      </c>
      <c r="P111" s="40">
        <f t="shared" si="465"/>
        <v>763.04259867978874</v>
      </c>
      <c r="R111" s="36">
        <f>(J111/D111)^(1/6)-1</f>
        <v>0.22430620898212306</v>
      </c>
      <c r="S111" s="36">
        <f>(P111/J111)^(1/6)-1</f>
        <v>0.17272127272610893</v>
      </c>
    </row>
    <row r="112" spans="1:19" x14ac:dyDescent="0.2">
      <c r="A112" s="19" t="s">
        <v>4</v>
      </c>
      <c r="B112" s="35"/>
      <c r="C112" s="8">
        <f>C111/B111-1</f>
        <v>0.31555825413487248</v>
      </c>
      <c r="D112" s="8">
        <f t="shared" ref="D112" si="466">D111/C111-1</f>
        <v>0.28779202206431043</v>
      </c>
      <c r="E112" s="8">
        <f t="shared" ref="E112" si="467">E111/D111-1</f>
        <v>0.27925015806424835</v>
      </c>
      <c r="F112" s="8">
        <f t="shared" ref="F112" si="468">F111/E111-1</f>
        <v>0.13106898000080802</v>
      </c>
      <c r="G112" s="8">
        <f t="shared" ref="G112" si="469">G111/F111-1</f>
        <v>0.18091366583320689</v>
      </c>
      <c r="H112" s="8">
        <f t="shared" ref="H112" si="470">H111/G111-1</f>
        <v>0.21189193621898172</v>
      </c>
      <c r="I112" s="8">
        <f t="shared" ref="I112" si="471">I111/H111-1</f>
        <v>0.29423761449041708</v>
      </c>
      <c r="J112" s="8">
        <f t="shared" ref="J112" si="472">J111/I111-1</f>
        <v>0.25660759145100953</v>
      </c>
      <c r="K112" s="8">
        <f t="shared" ref="K112" si="473">K111/J111-1</f>
        <v>0.23324431629351339</v>
      </c>
      <c r="L112" s="8">
        <f t="shared" ref="L112" si="474">L111/K111-1</f>
        <v>0.21567223933495372</v>
      </c>
      <c r="M112" s="8">
        <f t="shared" ref="M112" si="475">M111/L111-1</f>
        <v>0.16911922722241712</v>
      </c>
      <c r="N112" s="8">
        <f t="shared" ref="N112" si="476">N111/M111-1</f>
        <v>0.14329926619247457</v>
      </c>
      <c r="O112" s="8">
        <f t="shared" ref="O112" si="477">O111/N111-1</f>
        <v>0.15151280828668723</v>
      </c>
      <c r="P112" s="8">
        <f t="shared" ref="P112" si="478">P111/O111-1</f>
        <v>0.12723819617194176</v>
      </c>
      <c r="R112" s="110"/>
      <c r="S112" s="110"/>
    </row>
    <row r="113" spans="1:19" ht="17.100000000000001" customHeight="1" x14ac:dyDescent="0.2">
      <c r="R113" s="110"/>
      <c r="S113" s="110"/>
    </row>
    <row r="114" spans="1:19" x14ac:dyDescent="0.2">
      <c r="A114" s="21" t="s">
        <v>33</v>
      </c>
      <c r="R114" s="110"/>
      <c r="S114" s="110"/>
    </row>
    <row r="115" spans="1:19" x14ac:dyDescent="0.2">
      <c r="A115" s="22" t="s">
        <v>82</v>
      </c>
      <c r="B115" s="127">
        <f t="shared" ref="B115:P115" si="479">(B103*1000000)/(B34*1000)</f>
        <v>3.5603866053626441E-2</v>
      </c>
      <c r="C115" s="127">
        <f t="shared" si="479"/>
        <v>5.2311948452547274E-2</v>
      </c>
      <c r="D115" s="127">
        <f t="shared" si="479"/>
        <v>5.1821285340423677E-2</v>
      </c>
      <c r="E115" s="127">
        <f t="shared" si="479"/>
        <v>6.8749973430591596E-2</v>
      </c>
      <c r="F115" s="127">
        <f t="shared" si="479"/>
        <v>5.9691817134490122E-2</v>
      </c>
      <c r="G115" s="127">
        <f t="shared" si="479"/>
        <v>7.0065997275503847E-2</v>
      </c>
      <c r="H115" s="127">
        <f t="shared" si="479"/>
        <v>6.170362372852535E-2</v>
      </c>
      <c r="I115" s="127">
        <f t="shared" si="479"/>
        <v>5.8930028918077047E-2</v>
      </c>
      <c r="J115" s="127">
        <f t="shared" si="479"/>
        <v>5.7641491460767698E-2</v>
      </c>
      <c r="K115" s="127">
        <f t="shared" si="479"/>
        <v>5.6002037469857102E-2</v>
      </c>
      <c r="L115" s="127">
        <f t="shared" si="479"/>
        <v>5.4522577661018971E-2</v>
      </c>
      <c r="M115" s="127">
        <f t="shared" si="479"/>
        <v>5.3332406957930477E-2</v>
      </c>
      <c r="N115" s="127">
        <f t="shared" si="479"/>
        <v>5.2154572065185978E-2</v>
      </c>
      <c r="O115" s="127">
        <f t="shared" si="479"/>
        <v>5.2488533048296745E-2</v>
      </c>
      <c r="P115" s="127">
        <f t="shared" si="479"/>
        <v>5.2921619684442839E-2</v>
      </c>
      <c r="R115" s="36">
        <f>(J115/D115)^(1/6)-1</f>
        <v>1.7898571313110345E-2</v>
      </c>
      <c r="S115" s="36">
        <f>(P115/J115)^(1/6)-1</f>
        <v>-1.4137562859245834E-2</v>
      </c>
    </row>
    <row r="116" spans="1:19" x14ac:dyDescent="0.2">
      <c r="A116" s="12" t="s">
        <v>4</v>
      </c>
      <c r="B116" s="41"/>
      <c r="C116" s="13">
        <f>C115/B115-1</f>
        <v>0.46927719517187172</v>
      </c>
      <c r="D116" s="13">
        <f t="shared" ref="D116" si="480">D115/C115-1</f>
        <v>-9.3795610111652161E-3</v>
      </c>
      <c r="E116" s="13">
        <f t="shared" ref="E116" si="481">E115/D115-1</f>
        <v>0.32667441532876329</v>
      </c>
      <c r="F116" s="13">
        <f t="shared" ref="F116" si="482">F115/E115-1</f>
        <v>-0.13175505158916723</v>
      </c>
      <c r="G116" s="13">
        <f t="shared" ref="G116" si="483">G115/F115-1</f>
        <v>0.17379568321131722</v>
      </c>
      <c r="H116" s="13">
        <f t="shared" ref="H116" si="484">H115/G115-1</f>
        <v>-0.11934995393125036</v>
      </c>
      <c r="I116" s="13">
        <f t="shared" ref="I116" si="485">I115/H115-1</f>
        <v>-4.4950274276453595E-2</v>
      </c>
      <c r="J116" s="13">
        <f t="shared" ref="J116" si="486">J115/I115-1</f>
        <v>-2.1865549380616134E-2</v>
      </c>
      <c r="K116" s="13">
        <f t="shared" ref="K116" si="487">K115/J115-1</f>
        <v>-2.844225486473495E-2</v>
      </c>
      <c r="L116" s="13">
        <f t="shared" ref="L116" si="488">L115/K115-1</f>
        <v>-2.6417963982729109E-2</v>
      </c>
      <c r="M116" s="13">
        <f t="shared" ref="M116" si="489">M115/L115-1</f>
        <v>-2.182895149396813E-2</v>
      </c>
      <c r="N116" s="13">
        <f t="shared" ref="N116" si="490">N115/M115-1</f>
        <v>-2.2084787841538778E-2</v>
      </c>
      <c r="O116" s="13">
        <f t="shared" ref="O116" si="491">O115/N115-1</f>
        <v>6.4032925568513477E-3</v>
      </c>
      <c r="P116" s="13">
        <f t="shared" ref="P116" si="492">P115/O115-1</f>
        <v>8.2510714435015675E-3</v>
      </c>
      <c r="R116" s="110"/>
      <c r="S116" s="110"/>
    </row>
    <row r="117" spans="1:19" x14ac:dyDescent="0.2">
      <c r="A117" s="22" t="s">
        <v>10</v>
      </c>
      <c r="B117" s="127">
        <f t="shared" ref="B117:P117" si="493">(B105*1000000)/(B36*1000)</f>
        <v>445.46398655003929</v>
      </c>
      <c r="C117" s="127">
        <f t="shared" si="493"/>
        <v>431.80452966676228</v>
      </c>
      <c r="D117" s="127">
        <f t="shared" si="493"/>
        <v>417.08308305111331</v>
      </c>
      <c r="E117" s="127">
        <f t="shared" si="493"/>
        <v>422.27297633183616</v>
      </c>
      <c r="F117" s="127">
        <f t="shared" si="493"/>
        <v>384.89118740349954</v>
      </c>
      <c r="G117" s="127">
        <f t="shared" si="493"/>
        <v>365.59704340046738</v>
      </c>
      <c r="H117" s="127">
        <f t="shared" si="493"/>
        <v>372.92504326025244</v>
      </c>
      <c r="I117" s="127">
        <f t="shared" si="493"/>
        <v>384.97930801607561</v>
      </c>
      <c r="J117" s="127">
        <f t="shared" si="493"/>
        <v>397.34362841169985</v>
      </c>
      <c r="K117" s="127">
        <f t="shared" si="493"/>
        <v>430.41519367532732</v>
      </c>
      <c r="L117" s="127">
        <f t="shared" si="493"/>
        <v>482.65291367252792</v>
      </c>
      <c r="M117" s="127">
        <f t="shared" si="493"/>
        <v>542.26257691740091</v>
      </c>
      <c r="N117" s="127">
        <f t="shared" si="493"/>
        <v>613.76961265075761</v>
      </c>
      <c r="O117" s="127">
        <f t="shared" si="493"/>
        <v>705.64046326144148</v>
      </c>
      <c r="P117" s="127">
        <f t="shared" si="493"/>
        <v>815.24314654783825</v>
      </c>
      <c r="R117" s="36">
        <f>(J117/D117)^(1/6)-1</f>
        <v>-8.048101351343484E-3</v>
      </c>
      <c r="S117" s="36">
        <f>(P117/J117)^(1/6)-1</f>
        <v>0.12724975747238609</v>
      </c>
    </row>
    <row r="118" spans="1:19" x14ac:dyDescent="0.2">
      <c r="A118" s="12" t="s">
        <v>4</v>
      </c>
      <c r="B118" s="41"/>
      <c r="C118" s="13">
        <f>C117/B117-1</f>
        <v>-3.0663436990865822E-2</v>
      </c>
      <c r="D118" s="13">
        <f t="shared" ref="D118" si="494">D117/C117-1</f>
        <v>-3.4092848972682166E-2</v>
      </c>
      <c r="E118" s="13">
        <f t="shared" ref="E118" si="495">E117/D117-1</f>
        <v>1.2443308040107848E-2</v>
      </c>
      <c r="F118" s="13">
        <f t="shared" ref="F118" si="496">F117/E117-1</f>
        <v>-8.8525174528243489E-2</v>
      </c>
      <c r="G118" s="13">
        <f t="shared" ref="G118" si="497">G117/F117-1</f>
        <v>-5.0128827664752906E-2</v>
      </c>
      <c r="H118" s="13">
        <f t="shared" ref="H118" si="498">H117/G117-1</f>
        <v>2.0043925387432937E-2</v>
      </c>
      <c r="I118" s="13">
        <f t="shared" ref="I118" si="499">I117/H117-1</f>
        <v>3.2323559314869854E-2</v>
      </c>
      <c r="J118" s="13">
        <f t="shared" ref="J118" si="500">J117/I117-1</f>
        <v>3.2116844043752923E-2</v>
      </c>
      <c r="K118" s="13">
        <f t="shared" ref="K118" si="501">K117/J117-1</f>
        <v>8.323164862571053E-2</v>
      </c>
      <c r="L118" s="13">
        <f t="shared" ref="L118" si="502">L117/K117-1</f>
        <v>0.12136588290748107</v>
      </c>
      <c r="M118" s="13">
        <f t="shared" ref="M118" si="503">M117/L117-1</f>
        <v>0.12350420261902162</v>
      </c>
      <c r="N118" s="13">
        <f t="shared" ref="N118" si="504">N117/M117-1</f>
        <v>0.13186791561359934</v>
      </c>
      <c r="O118" s="13">
        <f t="shared" ref="O118" si="505">O117/N117-1</f>
        <v>0.14968295711791701</v>
      </c>
      <c r="P118" s="13">
        <f t="shared" ref="P118" si="506">P117/O117-1</f>
        <v>0.15532369385369083</v>
      </c>
      <c r="R118" s="110"/>
      <c r="S118" s="110"/>
    </row>
    <row r="119" spans="1:19" x14ac:dyDescent="0.2">
      <c r="A119" s="22" t="s">
        <v>11</v>
      </c>
      <c r="B119" s="127">
        <f t="shared" ref="B119:P119" si="507">(B107*1000000)/(B38*1000)</f>
        <v>33331.69279269861</v>
      </c>
      <c r="C119" s="127">
        <f t="shared" si="507"/>
        <v>31592.382799948369</v>
      </c>
      <c r="D119" s="127">
        <f t="shared" si="507"/>
        <v>30284.313375968224</v>
      </c>
      <c r="E119" s="127">
        <f t="shared" si="507"/>
        <v>30714.257534908826</v>
      </c>
      <c r="F119" s="127">
        <f t="shared" si="507"/>
        <v>29847.267437793907</v>
      </c>
      <c r="G119" s="127">
        <f t="shared" si="507"/>
        <v>29485.73517719665</v>
      </c>
      <c r="H119" s="127">
        <f t="shared" si="507"/>
        <v>31475.825954023967</v>
      </c>
      <c r="I119" s="127">
        <f t="shared" si="507"/>
        <v>38433.067112352226</v>
      </c>
      <c r="J119" s="127">
        <f t="shared" si="507"/>
        <v>45125.303762857446</v>
      </c>
      <c r="K119" s="127">
        <f t="shared" si="507"/>
        <v>52356.797239918684</v>
      </c>
      <c r="L119" s="127">
        <f t="shared" si="507"/>
        <v>60201.896580350476</v>
      </c>
      <c r="M119" s="127">
        <f t="shared" si="507"/>
        <v>67620.693567027134</v>
      </c>
      <c r="N119" s="127">
        <f t="shared" si="507"/>
        <v>74667.889427023722</v>
      </c>
      <c r="O119" s="127">
        <f t="shared" si="507"/>
        <v>83153.170699289811</v>
      </c>
      <c r="P119" s="127">
        <f t="shared" si="507"/>
        <v>91117.615683220502</v>
      </c>
      <c r="R119" s="36">
        <f>(J119/D119)^(1/6)-1</f>
        <v>6.8727704773629661E-2</v>
      </c>
      <c r="S119" s="36">
        <f>(P119/J119)^(1/6)-1</f>
        <v>0.12425208432200563</v>
      </c>
    </row>
    <row r="120" spans="1:19" x14ac:dyDescent="0.2">
      <c r="A120" s="12" t="s">
        <v>4</v>
      </c>
      <c r="B120" s="41"/>
      <c r="C120" s="13">
        <f>C119/B119-1</f>
        <v>-5.2181867976751617E-2</v>
      </c>
      <c r="D120" s="13">
        <f t="shared" ref="D120" si="508">D119/C119-1</f>
        <v>-4.1404582625603092E-2</v>
      </c>
      <c r="E120" s="13">
        <f t="shared" ref="E120" si="509">E119/D119-1</f>
        <v>1.4196926098439366E-2</v>
      </c>
      <c r="F120" s="13">
        <f t="shared" ref="F120" si="510">F119/E119-1</f>
        <v>-2.8227610455161645E-2</v>
      </c>
      <c r="G120" s="13">
        <f t="shared" ref="G120" si="511">G119/F119-1</f>
        <v>-1.2112742359103534E-2</v>
      </c>
      <c r="H120" s="13">
        <f t="shared" ref="H120" si="512">H119/G119-1</f>
        <v>6.7493340928002077E-2</v>
      </c>
      <c r="I120" s="13">
        <f t="shared" ref="I120" si="513">I119/H119-1</f>
        <v>0.22103442713435206</v>
      </c>
      <c r="J120" s="13">
        <f t="shared" ref="J120" si="514">J119/I119-1</f>
        <v>0.17412705134725925</v>
      </c>
      <c r="K120" s="13">
        <f t="shared" ref="K120" si="515">K119/J119-1</f>
        <v>0.16025362433157664</v>
      </c>
      <c r="L120" s="13">
        <f t="shared" ref="L120" si="516">L119/K119-1</f>
        <v>0.1498391756944677</v>
      </c>
      <c r="M120" s="13">
        <f t="shared" ref="M120" si="517">M119/L119-1</f>
        <v>0.12323194796321602</v>
      </c>
      <c r="N120" s="13">
        <f t="shared" ref="N120" si="518">N119/M119-1</f>
        <v>0.10421655691850096</v>
      </c>
      <c r="O120" s="13">
        <f t="shared" ref="O120" si="519">O119/N119-1</f>
        <v>0.11364029889393268</v>
      </c>
      <c r="P120" s="13">
        <f t="shared" ref="P120" si="520">P119/O119-1</f>
        <v>9.5780412423873029E-2</v>
      </c>
      <c r="R120" s="110"/>
      <c r="S120" s="110"/>
    </row>
    <row r="121" spans="1:19" x14ac:dyDescent="0.2">
      <c r="A121" s="23" t="s">
        <v>23</v>
      </c>
      <c r="B121" s="40">
        <f>(B111*1000000)/(B40*1000)</f>
        <v>1511.0992354521318</v>
      </c>
      <c r="C121" s="40">
        <f t="shared" ref="C121:P121" si="521">(C111*1000000)/(C40*1000)</f>
        <v>1388.7636904311955</v>
      </c>
      <c r="D121" s="40">
        <f t="shared" si="521"/>
        <v>1279.4138716716479</v>
      </c>
      <c r="E121" s="40">
        <f t="shared" si="521"/>
        <v>1183.1424200370493</v>
      </c>
      <c r="F121" s="40">
        <f t="shared" si="521"/>
        <v>981.05310884579399</v>
      </c>
      <c r="G121" s="40">
        <f t="shared" si="521"/>
        <v>851.91682555488694</v>
      </c>
      <c r="H121" s="40">
        <f t="shared" si="521"/>
        <v>743.039043411629</v>
      </c>
      <c r="I121" s="40">
        <f t="shared" si="521"/>
        <v>737.84999116033373</v>
      </c>
      <c r="J121" s="40">
        <f t="shared" si="521"/>
        <v>744.80082678629367</v>
      </c>
      <c r="K121" s="40">
        <f t="shared" si="521"/>
        <v>748.56007359990053</v>
      </c>
      <c r="L121" s="40">
        <f t="shared" si="521"/>
        <v>761.56592094293615</v>
      </c>
      <c r="M121" s="40">
        <f t="shared" si="521"/>
        <v>766.43352737896464</v>
      </c>
      <c r="N121" s="40">
        <f t="shared" si="521"/>
        <v>776.20943430292914</v>
      </c>
      <c r="O121" s="40">
        <f t="shared" si="521"/>
        <v>809.52977184916904</v>
      </c>
      <c r="P121" s="40">
        <f t="shared" si="521"/>
        <v>845.08863427191966</v>
      </c>
      <c r="R121" s="110"/>
      <c r="S121" s="110"/>
    </row>
    <row r="122" spans="1:19" x14ac:dyDescent="0.2">
      <c r="A122" s="19" t="s">
        <v>4</v>
      </c>
      <c r="B122" s="35"/>
      <c r="C122" s="8">
        <f>C121/B121-1</f>
        <v>-8.0957982209773682E-2</v>
      </c>
      <c r="D122" s="8">
        <f t="shared" ref="D122" si="522">D121/C121-1</f>
        <v>-7.8738967264902815E-2</v>
      </c>
      <c r="E122" s="8">
        <f t="shared" ref="E122" si="523">E121/D121-1</f>
        <v>-7.5246527934555663E-2</v>
      </c>
      <c r="F122" s="8">
        <f t="shared" ref="F122" si="524">F121/E121-1</f>
        <v>-0.17080725681776077</v>
      </c>
      <c r="G122" s="8">
        <f t="shared" ref="G122" si="525">G121/F121-1</f>
        <v>-0.13163026764456764</v>
      </c>
      <c r="H122" s="8">
        <f t="shared" ref="H122" si="526">H121/G121-1</f>
        <v>-0.12780330060078526</v>
      </c>
      <c r="I122" s="8">
        <f t="shared" ref="I122" si="527">I121/H121-1</f>
        <v>-6.983552610465793E-3</v>
      </c>
      <c r="J122" s="8">
        <f t="shared" ref="J122" si="528">J121/I121-1</f>
        <v>9.4203912844521565E-3</v>
      </c>
      <c r="K122" s="8">
        <f t="shared" ref="K122" si="529">K121/J121-1</f>
        <v>5.0473182606785016E-3</v>
      </c>
      <c r="L122" s="8">
        <f t="shared" ref="L122" si="530">L121/K121-1</f>
        <v>1.7374487100933811E-2</v>
      </c>
      <c r="M122" s="8">
        <f t="shared" ref="M122" si="531">M121/L121-1</f>
        <v>6.3915759649559867E-3</v>
      </c>
      <c r="N122" s="8">
        <f t="shared" ref="N122" si="532">N121/M121-1</f>
        <v>1.2755061691254621E-2</v>
      </c>
      <c r="O122" s="8">
        <f t="shared" ref="O122" si="533">O121/N121-1</f>
        <v>4.292699376446385E-2</v>
      </c>
      <c r="P122" s="8">
        <f t="shared" ref="P122" si="534">P121/O121-1</f>
        <v>4.3925330061086232E-2</v>
      </c>
      <c r="R122" s="110"/>
      <c r="S122" s="110"/>
    </row>
    <row r="123" spans="1:19" x14ac:dyDescent="0.2">
      <c r="R123" s="110"/>
      <c r="S123" s="110"/>
    </row>
    <row r="124" spans="1:19" x14ac:dyDescent="0.2">
      <c r="A124" s="21" t="s">
        <v>51</v>
      </c>
      <c r="R124" s="110"/>
      <c r="S124" s="110"/>
    </row>
    <row r="125" spans="1:19" x14ac:dyDescent="0.2">
      <c r="A125" s="22" t="s">
        <v>52</v>
      </c>
      <c r="B125" s="39">
        <v>20.179130072493763</v>
      </c>
      <c r="C125" s="39">
        <v>27.702626944313614</v>
      </c>
      <c r="D125" s="39">
        <v>37.228463649028342</v>
      </c>
      <c r="E125" s="39">
        <v>49.698012782657912</v>
      </c>
      <c r="F125" s="39">
        <v>58.659255332622841</v>
      </c>
      <c r="G125" s="39">
        <v>72.287486448021028</v>
      </c>
      <c r="H125" s="39">
        <v>91.418785994005489</v>
      </c>
      <c r="I125" s="39">
        <v>123.46899053124169</v>
      </c>
      <c r="J125" s="39">
        <v>161.90714197197698</v>
      </c>
      <c r="K125" s="39">
        <v>208.36441893373592</v>
      </c>
      <c r="L125" s="39">
        <v>264.33123725127132</v>
      </c>
      <c r="M125" s="39">
        <v>322.48960609218034</v>
      </c>
      <c r="N125" s="39">
        <v>384.75482663863903</v>
      </c>
      <c r="O125" s="39">
        <v>462.33979885346218</v>
      </c>
      <c r="P125" s="39">
        <v>543.85785580644529</v>
      </c>
      <c r="R125" s="36">
        <f>(J125/D125)^(1/6)-1</f>
        <v>0.27761052855774593</v>
      </c>
      <c r="S125" s="36">
        <f>(P125/J125)^(1/6)-1</f>
        <v>0.22377966729759025</v>
      </c>
    </row>
    <row r="126" spans="1:19" x14ac:dyDescent="0.2">
      <c r="A126" s="12" t="s">
        <v>4</v>
      </c>
      <c r="B126" s="41"/>
      <c r="C126" s="13">
        <f>C125/B125-1</f>
        <v>0.37283554071912905</v>
      </c>
      <c r="D126" s="13">
        <f t="shared" ref="D126" si="535">D125/C125-1</f>
        <v>0.34386041164482606</v>
      </c>
      <c r="E126" s="13">
        <f t="shared" ref="E126" si="536">E125/D125-1</f>
        <v>0.33494664864997792</v>
      </c>
      <c r="F126" s="13">
        <f t="shared" ref="F126" si="537">F125/E125-1</f>
        <v>0.18031390086269106</v>
      </c>
      <c r="G126" s="13">
        <f t="shared" ref="G126" si="538">G125/F125-1</f>
        <v>0.23232874399990822</v>
      </c>
      <c r="H126" s="13">
        <f t="shared" ref="H126" si="539">H125/G125-1</f>
        <v>0.26465575836200905</v>
      </c>
      <c r="I126" s="13">
        <f t="shared" ref="I126" si="540">I125/H125-1</f>
        <v>0.35058663477917751</v>
      </c>
      <c r="J126" s="13">
        <f t="shared" ref="J126" si="541">J125/I125-1</f>
        <v>0.31131826117108474</v>
      </c>
      <c r="K126" s="13">
        <f t="shared" ref="K126" si="542">K125/J125-1</f>
        <v>0.28693778665921843</v>
      </c>
      <c r="L126" s="13">
        <f t="shared" ref="L126" si="543">L125/K125-1</f>
        <v>0.26860064978432807</v>
      </c>
      <c r="M126" s="13">
        <f t="shared" ref="M126" si="544">M125/L125-1</f>
        <v>0.22002079453675805</v>
      </c>
      <c r="N126" s="13">
        <f t="shared" ref="N126" si="545">N125/M125-1</f>
        <v>0.19307667400809447</v>
      </c>
      <c r="O126" s="13">
        <f t="shared" ref="O126" si="546">O125/N125-1</f>
        <v>0.2016478204903478</v>
      </c>
      <c r="P126" s="13">
        <f t="shared" ref="P126" si="547">P125/O125-1</f>
        <v>0.17631633087857979</v>
      </c>
      <c r="R126" s="110"/>
      <c r="S126" s="110"/>
    </row>
    <row r="127" spans="1:19" x14ac:dyDescent="0.2">
      <c r="A127" s="22" t="s">
        <v>53</v>
      </c>
      <c r="B127" s="39">
        <v>31.235159488537818</v>
      </c>
      <c r="C127" s="39">
        <v>39.935866068181902</v>
      </c>
      <c r="D127" s="39">
        <v>49.875848036915997</v>
      </c>
      <c r="E127" s="39">
        <v>61.730191709663956</v>
      </c>
      <c r="F127" s="39">
        <v>67.373730265829067</v>
      </c>
      <c r="G127" s="39">
        <v>76.546588590950606</v>
      </c>
      <c r="H127" s="39">
        <v>88.952029380335048</v>
      </c>
      <c r="I127" s="39">
        <v>109.97370328253628</v>
      </c>
      <c r="J127" s="39">
        <v>131.43871924319004</v>
      </c>
      <c r="K127" s="39">
        <v>153.40269711809464</v>
      </c>
      <c r="L127" s="39">
        <v>175.45900283720556</v>
      </c>
      <c r="M127" s="39">
        <v>191.67761954002106</v>
      </c>
      <c r="N127" s="39">
        <v>203.09218512687727</v>
      </c>
      <c r="O127" s="39">
        <v>214.57356450758459</v>
      </c>
      <c r="P127" s="39">
        <v>219.18474287334345</v>
      </c>
      <c r="R127" s="36">
        <f>(J127/D127)^(1/6)-1</f>
        <v>0.1752732125519374</v>
      </c>
      <c r="S127" s="36">
        <f>(P127/J127)^(1/6)-1</f>
        <v>8.8966451262967539E-2</v>
      </c>
    </row>
    <row r="128" spans="1:19" x14ac:dyDescent="0.2">
      <c r="A128" s="12" t="s">
        <v>4</v>
      </c>
      <c r="B128" s="13"/>
      <c r="C128" s="13">
        <f>C127/B127-1</f>
        <v>0.27855489525631949</v>
      </c>
      <c r="D128" s="13">
        <f t="shared" ref="D128" si="548">D127/C127-1</f>
        <v>0.24889862039710664</v>
      </c>
      <c r="E128" s="13">
        <f t="shared" ref="E128" si="549">E127/D127-1</f>
        <v>0.23767703486412661</v>
      </c>
      <c r="F128" s="13">
        <f t="shared" ref="F128" si="550">F127/E127-1</f>
        <v>9.1422663689567196E-2</v>
      </c>
      <c r="G128" s="13">
        <f t="shared" ref="G128" si="551">G127/F127-1</f>
        <v>0.13614888605587372</v>
      </c>
      <c r="H128" s="13">
        <f t="shared" ref="H128" si="552">H127/G127-1</f>
        <v>0.16206392757326649</v>
      </c>
      <c r="I128" s="13">
        <f t="shared" ref="I128" si="553">I127/H127-1</f>
        <v>0.23632596185431787</v>
      </c>
      <c r="J128" s="13">
        <f t="shared" ref="J128" si="554">J127/I127-1</f>
        <v>0.1951831694301267</v>
      </c>
      <c r="K128" s="13">
        <f t="shared" ref="K128" si="555">K127/J127-1</f>
        <v>0.1671043205637639</v>
      </c>
      <c r="L128" s="13">
        <f t="shared" ref="L128" si="556">L127/K127-1</f>
        <v>0.14378042976735417</v>
      </c>
      <c r="M128" s="13">
        <f t="shared" ref="M128" si="557">M127/L127-1</f>
        <v>9.2435363478404531E-2</v>
      </c>
      <c r="N128" s="13">
        <f t="shared" ref="N128" si="558">N127/M127-1</f>
        <v>5.9550852176943447E-2</v>
      </c>
      <c r="O128" s="13">
        <f t="shared" ref="O128" si="559">O127/N127-1</f>
        <v>5.6532846763821087E-2</v>
      </c>
      <c r="P128" s="13">
        <f t="shared" ref="P128" si="560">P127/O127-1</f>
        <v>2.1489964881465484E-2</v>
      </c>
      <c r="R128" s="110"/>
      <c r="S128" s="110"/>
    </row>
    <row r="129" spans="1:19" x14ac:dyDescent="0.2">
      <c r="A129" s="23" t="s">
        <v>23</v>
      </c>
      <c r="B129" s="40">
        <f>B125+B127</f>
        <v>51.41428956103158</v>
      </c>
      <c r="C129" s="40">
        <f t="shared" ref="C129:P129" si="561">C125+C127</f>
        <v>67.638493012495516</v>
      </c>
      <c r="D129" s="40">
        <f t="shared" si="561"/>
        <v>87.104311685944339</v>
      </c>
      <c r="E129" s="40">
        <f t="shared" si="561"/>
        <v>111.42820449232187</v>
      </c>
      <c r="F129" s="40">
        <f t="shared" si="561"/>
        <v>126.03298559845192</v>
      </c>
      <c r="G129" s="40">
        <f t="shared" si="561"/>
        <v>148.83407503897163</v>
      </c>
      <c r="H129" s="40">
        <f t="shared" si="561"/>
        <v>180.37081537434054</v>
      </c>
      <c r="I129" s="40">
        <f t="shared" si="561"/>
        <v>233.44269381377796</v>
      </c>
      <c r="J129" s="40">
        <f t="shared" si="561"/>
        <v>293.34586121516702</v>
      </c>
      <c r="K129" s="40">
        <f t="shared" si="561"/>
        <v>361.76711605183056</v>
      </c>
      <c r="L129" s="40">
        <f t="shared" si="561"/>
        <v>439.79024008847688</v>
      </c>
      <c r="M129" s="40">
        <f t="shared" si="561"/>
        <v>514.16722563220139</v>
      </c>
      <c r="N129" s="40">
        <f t="shared" si="561"/>
        <v>587.8470117655163</v>
      </c>
      <c r="O129" s="40">
        <f t="shared" si="561"/>
        <v>676.91336336104678</v>
      </c>
      <c r="P129" s="40">
        <f t="shared" si="561"/>
        <v>763.04259867978874</v>
      </c>
      <c r="R129" s="36">
        <f>(J129/D129)^(1/6)-1</f>
        <v>0.22430620898212306</v>
      </c>
      <c r="S129" s="36">
        <f>(P129/J129)^(1/6)-1</f>
        <v>0.17272127272610893</v>
      </c>
    </row>
    <row r="130" spans="1:19" x14ac:dyDescent="0.2">
      <c r="A130" s="19" t="s">
        <v>4</v>
      </c>
      <c r="B130" s="35"/>
      <c r="C130" s="8">
        <f>C129/B129-1</f>
        <v>0.31555825413487271</v>
      </c>
      <c r="D130" s="8">
        <f t="shared" ref="D130" si="562">D129/C129-1</f>
        <v>0.28779202206431043</v>
      </c>
      <c r="E130" s="8">
        <f t="shared" ref="E130" si="563">E129/D129-1</f>
        <v>0.27925015806424858</v>
      </c>
      <c r="F130" s="8">
        <f t="shared" ref="F130" si="564">F129/E129-1</f>
        <v>0.1310689800008078</v>
      </c>
      <c r="G130" s="8">
        <f t="shared" ref="G130" si="565">G129/F129-1</f>
        <v>0.18091366583320689</v>
      </c>
      <c r="H130" s="8">
        <f t="shared" ref="H130" si="566">H129/G129-1</f>
        <v>0.21189193621898172</v>
      </c>
      <c r="I130" s="8">
        <f t="shared" ref="I130" si="567">I129/H129-1</f>
        <v>0.2942376144904173</v>
      </c>
      <c r="J130" s="8">
        <f t="shared" ref="J130" si="568">J129/I129-1</f>
        <v>0.25660759145100953</v>
      </c>
      <c r="K130" s="8">
        <f t="shared" ref="K130" si="569">K129/J129-1</f>
        <v>0.23324431629351361</v>
      </c>
      <c r="L130" s="8">
        <f t="shared" ref="L130" si="570">L129/K129-1</f>
        <v>0.2156722393349535</v>
      </c>
      <c r="M130" s="8">
        <f t="shared" ref="M130" si="571">M129/L129-1</f>
        <v>0.16911922722241712</v>
      </c>
      <c r="N130" s="8">
        <f t="shared" ref="N130" si="572">N129/M129-1</f>
        <v>0.14329926619247457</v>
      </c>
      <c r="O130" s="8">
        <f t="shared" ref="O130" si="573">O129/N129-1</f>
        <v>0.15151280828668701</v>
      </c>
      <c r="P130" s="8">
        <f t="shared" ref="P130" si="574">P129/O129-1</f>
        <v>0.12723819617194199</v>
      </c>
      <c r="R130" s="110"/>
      <c r="S130" s="110"/>
    </row>
    <row r="131" spans="1:19" x14ac:dyDescent="0.2">
      <c r="R131" s="110"/>
      <c r="S131" s="110"/>
    </row>
    <row r="132" spans="1:19" x14ac:dyDescent="0.2">
      <c r="A132" s="21" t="s">
        <v>34</v>
      </c>
      <c r="R132" s="110"/>
      <c r="S132" s="110"/>
    </row>
    <row r="133" spans="1:19" x14ac:dyDescent="0.2">
      <c r="A133" s="27" t="s">
        <v>35</v>
      </c>
      <c r="B133" s="10">
        <v>123000.23027718499</v>
      </c>
      <c r="C133" s="10">
        <v>125537.10021321999</v>
      </c>
      <c r="D133" s="10">
        <v>127202.22245989299</v>
      </c>
      <c r="E133" s="10">
        <v>125647.0588235294</v>
      </c>
      <c r="F133" s="10">
        <v>132951.871657754</v>
      </c>
      <c r="G133" s="10">
        <v>148941.6135881104</v>
      </c>
      <c r="H133" s="10">
        <v>158875.13227513229</v>
      </c>
      <c r="I133" s="10">
        <v>190352.87958115185</v>
      </c>
      <c r="J133" s="10">
        <v>197347.64397905799</v>
      </c>
      <c r="K133" s="10">
        <v>225262.25446643989</v>
      </c>
      <c r="L133" s="10">
        <v>248607.05034005336</v>
      </c>
      <c r="M133" s="10">
        <v>269965.80646200146</v>
      </c>
      <c r="N133" s="10">
        <v>295509.64177762327</v>
      </c>
      <c r="O133" s="10">
        <v>322476.63814144436</v>
      </c>
      <c r="P133" s="10">
        <v>347826.08271019021</v>
      </c>
      <c r="R133" s="36">
        <f>(J133/D133)^(1/6)-1</f>
        <v>7.594368549710806E-2</v>
      </c>
      <c r="S133" s="36">
        <f>(P133/J133)^(1/6)-1</f>
        <v>9.9060753711431637E-2</v>
      </c>
    </row>
    <row r="134" spans="1:19" x14ac:dyDescent="0.2">
      <c r="A134" s="28" t="s">
        <v>36</v>
      </c>
      <c r="B134" s="41"/>
      <c r="C134" s="13">
        <f>C133/B133-1</f>
        <v>2.0624920216149922E-2</v>
      </c>
      <c r="D134" s="13">
        <f t="shared" ref="D134" si="575">D133/C133-1</f>
        <v>1.326398525889827E-2</v>
      </c>
      <c r="E134" s="13">
        <f t="shared" ref="E134" si="576">E133/D133-1</f>
        <v>-1.222591560343167E-2</v>
      </c>
      <c r="F134" s="13">
        <f t="shared" ref="F134" si="577">F133/E133-1</f>
        <v>5.813755532856657E-2</v>
      </c>
      <c r="G134" s="13">
        <f t="shared" ref="G134" si="578">G133/F133-1</f>
        <v>0.12026714427546636</v>
      </c>
      <c r="H134" s="13">
        <f t="shared" ref="H134" si="579">H133/G133-1</f>
        <v>6.6694045053738105E-2</v>
      </c>
      <c r="I134" s="13">
        <f t="shared" ref="I134" si="580">I133/H133-1</f>
        <v>0.19812885034460859</v>
      </c>
      <c r="J134" s="13">
        <f t="shared" ref="J134" si="581">J133/I133-1</f>
        <v>3.6746301990793429E-2</v>
      </c>
      <c r="K134" s="13">
        <f t="shared" ref="K134" si="582">K133/J133-1</f>
        <v>0.1414489168684685</v>
      </c>
      <c r="L134" s="13">
        <f t="shared" ref="L134" si="583">L133/K133-1</f>
        <v>0.10363385525421642</v>
      </c>
      <c r="M134" s="13">
        <f t="shared" ref="M134" si="584">M133/L133-1</f>
        <v>8.5913718427264474E-2</v>
      </c>
      <c r="N134" s="13">
        <f t="shared" ref="N134" si="585">N133/M133-1</f>
        <v>9.4618780246220391E-2</v>
      </c>
      <c r="O134" s="13">
        <f t="shared" ref="O134" si="586">O133/N133-1</f>
        <v>9.1255893383385134E-2</v>
      </c>
      <c r="P134" s="13">
        <f t="shared" ref="P134" si="587">P133/O133-1</f>
        <v>7.8608623293905389E-2</v>
      </c>
      <c r="R134" s="110"/>
      <c r="S134" s="110"/>
    </row>
    <row r="135" spans="1:19" x14ac:dyDescent="0.2">
      <c r="A135" s="27" t="s">
        <v>37</v>
      </c>
      <c r="B135" s="10">
        <v>55204.004852607701</v>
      </c>
      <c r="C135" s="10">
        <v>56406.004852607701</v>
      </c>
      <c r="D135" s="10">
        <v>57300.485260770896</v>
      </c>
      <c r="E135" s="10">
        <v>57768.623024830704</v>
      </c>
      <c r="F135" s="10">
        <v>61641.0835214447</v>
      </c>
      <c r="G135" s="10">
        <v>68777.530589543938</v>
      </c>
      <c r="H135" s="10">
        <v>73767.699115044248</v>
      </c>
      <c r="I135" s="10">
        <v>87703.947368421053</v>
      </c>
      <c r="J135" s="10">
        <v>92153.508771929803</v>
      </c>
      <c r="K135" s="10">
        <v>107237.8369058722</v>
      </c>
      <c r="L135" s="10">
        <v>119285.88559500582</v>
      </c>
      <c r="M135" s="10">
        <v>127092.7723613526</v>
      </c>
      <c r="N135" s="10">
        <v>139784.97299186411</v>
      </c>
      <c r="O135" s="10">
        <v>153300.25438766895</v>
      </c>
      <c r="P135" s="10">
        <v>165415.11860011317</v>
      </c>
      <c r="R135" s="36">
        <f>(J135/D135)^(1/6)-1</f>
        <v>8.241116328691489E-2</v>
      </c>
      <c r="S135" s="36">
        <f>(P135/J135)^(1/6)-1</f>
        <v>0.10241188704166082</v>
      </c>
    </row>
    <row r="136" spans="1:19" x14ac:dyDescent="0.2">
      <c r="A136" s="28" t="s">
        <v>36</v>
      </c>
      <c r="B136" s="41"/>
      <c r="C136" s="13">
        <f>C135/B135-1</f>
        <v>2.1773782594384006E-2</v>
      </c>
      <c r="D136" s="13">
        <f t="shared" ref="D136" si="588">D135/C135-1</f>
        <v>1.5857893330692763E-2</v>
      </c>
      <c r="E136" s="13">
        <f t="shared" ref="E136" si="589">E135/D135-1</f>
        <v>8.1698743375269167E-3</v>
      </c>
      <c r="F136" s="13">
        <f t="shared" ref="F136" si="590">F135/E135-1</f>
        <v>6.7033976124885264E-2</v>
      </c>
      <c r="G136" s="13">
        <f t="shared" ref="G136" si="591">G135/F135-1</f>
        <v>0.11577419896612451</v>
      </c>
      <c r="H136" s="13">
        <f t="shared" ref="H136" si="592">H135/G135-1</f>
        <v>7.2555215093153658E-2</v>
      </c>
      <c r="I136" s="13">
        <f t="shared" ref="I136" si="593">I135/H135-1</f>
        <v>0.18892073930139208</v>
      </c>
      <c r="J136" s="13">
        <f t="shared" ref="J136" si="594">J135/I135-1</f>
        <v>5.0733878428724788E-2</v>
      </c>
      <c r="K136" s="13">
        <f t="shared" ref="K136" si="595">K135/J135-1</f>
        <v>0.16368696466321775</v>
      </c>
      <c r="L136" s="13">
        <f t="shared" ref="L136" si="596">L135/K135-1</f>
        <v>0.11234885966329933</v>
      </c>
      <c r="M136" s="13">
        <f t="shared" ref="M136" si="597">M135/L135-1</f>
        <v>6.5446860937532714E-2</v>
      </c>
      <c r="N136" s="13">
        <f t="shared" ref="N136" si="598">N135/M135-1</f>
        <v>9.9865636689589143E-2</v>
      </c>
      <c r="O136" s="13">
        <f t="shared" ref="O136" si="599">O135/N135-1</f>
        <v>9.6686225325460784E-2</v>
      </c>
      <c r="P136" s="13">
        <f t="shared" ref="P136" si="600">P135/O135-1</f>
        <v>7.9027032674113595E-2</v>
      </c>
      <c r="R136" s="110"/>
      <c r="S136" s="110"/>
    </row>
    <row r="137" spans="1:19" x14ac:dyDescent="0.2">
      <c r="A137" s="27" t="s">
        <v>38</v>
      </c>
      <c r="B137" s="15">
        <v>230.94124015128958</v>
      </c>
      <c r="C137" s="15">
        <v>282.86939894071861</v>
      </c>
      <c r="D137" s="15">
        <v>347.20045429204941</v>
      </c>
      <c r="E137" s="15">
        <v>432.35070532294054</v>
      </c>
      <c r="F137" s="15">
        <v>516.13435687275012</v>
      </c>
      <c r="G137" s="15">
        <v>636.27125298485032</v>
      </c>
      <c r="H137" s="15">
        <v>782.47836966395903</v>
      </c>
      <c r="I137" s="15">
        <v>1026.4156531138058</v>
      </c>
      <c r="J137" s="15">
        <v>1315.0461734016865</v>
      </c>
      <c r="K137" s="15">
        <v>1659.9073061393262</v>
      </c>
      <c r="L137" s="15">
        <v>2044.1132277172633</v>
      </c>
      <c r="M137" s="15">
        <v>2419.0295245403563</v>
      </c>
      <c r="N137" s="15">
        <v>2812.939738959049</v>
      </c>
      <c r="O137" s="15">
        <v>3282.8621424483358</v>
      </c>
      <c r="P137" s="15">
        <v>3757.7199871119628</v>
      </c>
      <c r="R137" s="36">
        <f>(J137/D137)^(1/6)-1</f>
        <v>0.24851410421605391</v>
      </c>
      <c r="S137" s="36">
        <f>(P137/J137)^(1/6)-1</f>
        <v>0.19123442516025357</v>
      </c>
    </row>
    <row r="138" spans="1:19" x14ac:dyDescent="0.2">
      <c r="A138" s="28" t="s">
        <v>36</v>
      </c>
      <c r="B138" s="41"/>
      <c r="C138" s="13">
        <f>C137/B137-1</f>
        <v>0.22485442078431261</v>
      </c>
      <c r="D138" s="13">
        <f t="shared" ref="D138" si="601">D137/C137-1</f>
        <v>0.22742316981701083</v>
      </c>
      <c r="E138" s="13">
        <f t="shared" ref="E138" si="602">E137/D137-1</f>
        <v>0.24524809797416491</v>
      </c>
      <c r="F138" s="13">
        <f t="shared" ref="F138" si="603">F137/E137-1</f>
        <v>0.19378631864894991</v>
      </c>
      <c r="G138" s="13">
        <f t="shared" ref="G138" si="604">G137/F137-1</f>
        <v>0.23276283493315142</v>
      </c>
      <c r="H138" s="13">
        <f t="shared" ref="H138" si="605">H137/G137-1</f>
        <v>0.22978739962433892</v>
      </c>
      <c r="I138" s="13">
        <f t="shared" ref="I138" si="606">I137/H137-1</f>
        <v>0.31174955488495781</v>
      </c>
      <c r="J138" s="13">
        <f t="shared" ref="J138" si="607">J137/I137-1</f>
        <v>0.28120237587206609</v>
      </c>
      <c r="K138" s="13">
        <f t="shared" ref="K138" si="608">K137/J137-1</f>
        <v>0.26224260388178822</v>
      </c>
      <c r="L138" s="13">
        <f t="shared" ref="L138" si="609">L137/K137-1</f>
        <v>0.23146227512639683</v>
      </c>
      <c r="M138" s="13">
        <f t="shared" ref="M138" si="610">M137/L137-1</f>
        <v>0.18341268562787771</v>
      </c>
      <c r="N138" s="13">
        <f t="shared" ref="N138" si="611">N137/M137-1</f>
        <v>0.16283811769248246</v>
      </c>
      <c r="O138" s="13">
        <f t="shared" ref="O138" si="612">O137/N137-1</f>
        <v>0.1670574015436197</v>
      </c>
      <c r="P138" s="13">
        <f t="shared" ref="P138" si="613">P137/O137-1</f>
        <v>0.14464751307207835</v>
      </c>
      <c r="R138" s="110"/>
      <c r="S138" s="110"/>
    </row>
    <row r="139" spans="1:19" x14ac:dyDescent="0.2">
      <c r="A139" s="27" t="s">
        <v>60</v>
      </c>
      <c r="B139" s="39">
        <v>91.4645408595986</v>
      </c>
      <c r="C139" s="39">
        <v>99.930674487974386</v>
      </c>
      <c r="D139" s="39">
        <v>107.71817044788003</v>
      </c>
      <c r="E139" s="39">
        <v>120.06954990693258</v>
      </c>
      <c r="F139" s="39">
        <v>130.63762522498175</v>
      </c>
      <c r="G139" s="39">
        <v>143.79660859569881</v>
      </c>
      <c r="H139" s="39">
        <v>161.03904341888932</v>
      </c>
      <c r="I139" s="39">
        <v>199.59872852740122</v>
      </c>
      <c r="J139" s="39">
        <v>231.3934271084851</v>
      </c>
      <c r="K139" s="39">
        <v>280.80070352397519</v>
      </c>
      <c r="L139" s="39">
        <v>324.59227783262247</v>
      </c>
      <c r="M139" s="39">
        <v>362.75970451525427</v>
      </c>
      <c r="N139" s="39">
        <v>409.01413531245311</v>
      </c>
      <c r="O139" s="39">
        <v>459.44792888099391</v>
      </c>
      <c r="P139" s="39">
        <v>512.03659266689397</v>
      </c>
      <c r="R139" s="36">
        <f>(J139/D139)^(1/6)-1</f>
        <v>0.1359093516128862</v>
      </c>
      <c r="S139" s="36">
        <f>(P139/J139)^(1/6)-1</f>
        <v>0.14154139175838409</v>
      </c>
    </row>
    <row r="140" spans="1:19" x14ac:dyDescent="0.2">
      <c r="A140" s="28" t="s">
        <v>36</v>
      </c>
      <c r="B140" s="41"/>
      <c r="C140" s="13">
        <f>C139/B139-1</f>
        <v>9.2561921251773427E-2</v>
      </c>
      <c r="D140" s="13">
        <f t="shared" ref="D140" si="614">D139/C139-1</f>
        <v>7.792898426641548E-2</v>
      </c>
      <c r="E140" s="13">
        <f t="shared" ref="E140" si="615">E139/D139-1</f>
        <v>0.11466384369226579</v>
      </c>
      <c r="F140" s="13">
        <f t="shared" ref="F140" si="616">F139/E139-1</f>
        <v>8.8016281615452163E-2</v>
      </c>
      <c r="G140" s="13">
        <f t="shared" ref="G140" si="617">G139/F139-1</f>
        <v>0.10072889298205556</v>
      </c>
      <c r="H140" s="13">
        <f t="shared" ref="H140" si="618">H139/G139-1</f>
        <v>0.11990849430718953</v>
      </c>
      <c r="I140" s="13">
        <f t="shared" ref="I140" si="619">I139/H139-1</f>
        <v>0.23944308342798437</v>
      </c>
      <c r="J140" s="13">
        <f t="shared" ref="J140" si="620">J139/I139-1</f>
        <v>0.15929309177297224</v>
      </c>
      <c r="K140" s="13">
        <f t="shared" ref="K140" si="621">K139/J139-1</f>
        <v>0.21352065628176331</v>
      </c>
      <c r="L140" s="13">
        <f t="shared" ref="L140" si="622">L139/K139-1</f>
        <v>0.15595250923190185</v>
      </c>
      <c r="M140" s="13">
        <f t="shared" ref="M140" si="623">M139/L139-1</f>
        <v>0.11758575076857802</v>
      </c>
      <c r="N140" s="13">
        <f t="shared" ref="N140" si="624">N139/M139-1</f>
        <v>0.12750708036607139</v>
      </c>
      <c r="O140" s="13">
        <f t="shared" ref="O140" si="625">O139/N139-1</f>
        <v>0.12330574719627618</v>
      </c>
      <c r="P140" s="13">
        <f t="shared" ref="P140" si="626">P139/O139-1</f>
        <v>0.11446055250261344</v>
      </c>
      <c r="R140" s="110"/>
      <c r="S140" s="110"/>
    </row>
    <row r="141" spans="1:19" x14ac:dyDescent="0.2">
      <c r="A141" s="27" t="s">
        <v>39</v>
      </c>
      <c r="B141" s="39">
        <v>79.711696160000017</v>
      </c>
      <c r="C141" s="39">
        <v>81.338058380000021</v>
      </c>
      <c r="D141" s="39">
        <v>82.738814880000021</v>
      </c>
      <c r="E141" s="39">
        <v>84.057112440000012</v>
      </c>
      <c r="F141" s="39">
        <v>88.777273880000038</v>
      </c>
      <c r="G141" s="39">
        <v>107.37727389999999</v>
      </c>
      <c r="H141" s="39">
        <v>121.07727389999994</v>
      </c>
      <c r="I141" s="39">
        <v>172.87727389999998</v>
      </c>
      <c r="J141" s="39">
        <v>199.8</v>
      </c>
      <c r="K141" s="39">
        <v>255.89909783869911</v>
      </c>
      <c r="L141" s="39">
        <v>320.2235894541684</v>
      </c>
      <c r="M141" s="39">
        <v>381.5428325353144</v>
      </c>
      <c r="N141" s="39">
        <v>447.30985258536128</v>
      </c>
      <c r="O141" s="39">
        <v>529.38128117838096</v>
      </c>
      <c r="P141" s="39">
        <v>607.37877748089352</v>
      </c>
      <c r="R141" s="36">
        <f>(J141/D141)^(1/6)-1</f>
        <v>0.15828215285216962</v>
      </c>
      <c r="S141" s="36">
        <f>(P141/J141)^(1/6)-1</f>
        <v>0.20358663032597968</v>
      </c>
    </row>
    <row r="142" spans="1:19" x14ac:dyDescent="0.2">
      <c r="A142" s="28" t="s">
        <v>36</v>
      </c>
      <c r="B142" s="41"/>
      <c r="C142" s="13">
        <f>C141/B141-1</f>
        <v>2.0403056243283535E-2</v>
      </c>
      <c r="D142" s="13">
        <f t="shared" ref="D142" si="627">D141/C141-1</f>
        <v>1.7221415508295701E-2</v>
      </c>
      <c r="E142" s="13">
        <f t="shared" ref="E142" si="628">E141/D141-1</f>
        <v>1.5933241996661129E-2</v>
      </c>
      <c r="F142" s="13">
        <f t="shared" ref="F142" si="629">F141/E141-1</f>
        <v>5.6154218280687118E-2</v>
      </c>
      <c r="G142" s="13">
        <f t="shared" ref="G142" si="630">G141/F141-1</f>
        <v>0.20951307927230922</v>
      </c>
      <c r="H142" s="13">
        <f t="shared" ref="H142" si="631">H141/G141-1</f>
        <v>0.12758751924321254</v>
      </c>
      <c r="I142" s="13">
        <f t="shared" ref="I142" si="632">I141/H141-1</f>
        <v>0.4278259522326433</v>
      </c>
      <c r="J142" s="13">
        <f t="shared" ref="J142" si="633">J141/I141-1</f>
        <v>0.15573317124131281</v>
      </c>
      <c r="K142" s="13">
        <f t="shared" ref="K142" si="634">K141/J141-1</f>
        <v>0.28077626545895451</v>
      </c>
      <c r="L142" s="13">
        <f t="shared" ref="L142" si="635">L141/K141-1</f>
        <v>0.25136662129233045</v>
      </c>
      <c r="M142" s="13">
        <f t="shared" ref="M142" si="636">M141/L141-1</f>
        <v>0.19148883811360262</v>
      </c>
      <c r="N142" s="13">
        <f t="shared" ref="N142" si="637">N141/M141-1</f>
        <v>0.17237126330753361</v>
      </c>
      <c r="O142" s="13">
        <f t="shared" ref="O142" si="638">O141/N141-1</f>
        <v>0.18347780206195607</v>
      </c>
      <c r="P142" s="13">
        <f t="shared" ref="P142" si="639">P141/O141-1</f>
        <v>0.14733708779595189</v>
      </c>
      <c r="R142" s="110"/>
      <c r="S142" s="110"/>
    </row>
    <row r="143" spans="1:19" x14ac:dyDescent="0.2">
      <c r="C143" s="114"/>
      <c r="D143" s="114"/>
      <c r="E143" s="114"/>
      <c r="F143" s="114"/>
      <c r="G143" s="114"/>
      <c r="H143" s="114"/>
      <c r="I143" s="114"/>
      <c r="J143" s="141"/>
      <c r="R143" s="110"/>
      <c r="S143" s="110"/>
    </row>
    <row r="144" spans="1:19" x14ac:dyDescent="0.2">
      <c r="A144" s="21" t="s">
        <v>176</v>
      </c>
      <c r="C144" s="114"/>
      <c r="D144" s="114"/>
      <c r="E144" s="114"/>
      <c r="F144" s="114"/>
      <c r="G144" s="114"/>
      <c r="H144" s="114"/>
      <c r="I144" s="114"/>
      <c r="J144" s="141"/>
      <c r="R144" s="110"/>
      <c r="S144" s="110"/>
    </row>
    <row r="145" spans="1:19" x14ac:dyDescent="0.2">
      <c r="A145" s="24" t="s">
        <v>178</v>
      </c>
      <c r="B145" s="40">
        <f>B147+B153+B159+B165+B171</f>
        <v>230.94124015128958</v>
      </c>
      <c r="C145" s="40">
        <f t="shared" ref="C145:P145" si="640">C147+C153+C159+C165+C171</f>
        <v>282.86939894071861</v>
      </c>
      <c r="D145" s="40">
        <f t="shared" si="640"/>
        <v>347.20045429204941</v>
      </c>
      <c r="E145" s="40">
        <f t="shared" si="640"/>
        <v>432.35070532294054</v>
      </c>
      <c r="F145" s="40">
        <f t="shared" si="640"/>
        <v>516.13435687275012</v>
      </c>
      <c r="G145" s="40">
        <f t="shared" si="640"/>
        <v>636.27125298485032</v>
      </c>
      <c r="H145" s="40">
        <f t="shared" si="640"/>
        <v>782.47836966395903</v>
      </c>
      <c r="I145" s="40">
        <f t="shared" si="640"/>
        <v>1026.4156531138058</v>
      </c>
      <c r="J145" s="40">
        <f t="shared" si="640"/>
        <v>1315.0461734016865</v>
      </c>
      <c r="K145" s="40">
        <f t="shared" si="640"/>
        <v>1659.9073061393262</v>
      </c>
      <c r="L145" s="40">
        <f t="shared" si="640"/>
        <v>2044.1132277172633</v>
      </c>
      <c r="M145" s="40">
        <f t="shared" si="640"/>
        <v>2419.0295245403563</v>
      </c>
      <c r="N145" s="40">
        <f t="shared" si="640"/>
        <v>2812.939738959049</v>
      </c>
      <c r="O145" s="40">
        <f t="shared" si="640"/>
        <v>3282.8621424483358</v>
      </c>
      <c r="P145" s="40">
        <f t="shared" si="640"/>
        <v>3757.7199871119628</v>
      </c>
      <c r="R145" s="36">
        <f>(J145/D145)^(1/6)-1</f>
        <v>0.24851410421605391</v>
      </c>
      <c r="S145" s="36">
        <f>(P145/J145)^(1/6)-1</f>
        <v>0.19123442516025357</v>
      </c>
    </row>
    <row r="146" spans="1:19" x14ac:dyDescent="0.2">
      <c r="A146" s="7" t="s">
        <v>4</v>
      </c>
      <c r="B146" s="35"/>
      <c r="C146" s="8">
        <f>C145/B145-1</f>
        <v>0.22485442078431261</v>
      </c>
      <c r="D146" s="8">
        <f t="shared" ref="D146" si="641">D145/C145-1</f>
        <v>0.22742316981701083</v>
      </c>
      <c r="E146" s="8">
        <f t="shared" ref="E146" si="642">E145/D145-1</f>
        <v>0.24524809797416491</v>
      </c>
      <c r="F146" s="8">
        <f t="shared" ref="F146" si="643">F145/E145-1</f>
        <v>0.19378631864894991</v>
      </c>
      <c r="G146" s="8">
        <f t="shared" ref="G146" si="644">G145/F145-1</f>
        <v>0.23276283493315142</v>
      </c>
      <c r="H146" s="8">
        <f t="shared" ref="H146" si="645">H145/G145-1</f>
        <v>0.22978739962433892</v>
      </c>
      <c r="I146" s="8">
        <f t="shared" ref="I146" si="646">I145/H145-1</f>
        <v>0.31174955488495781</v>
      </c>
      <c r="J146" s="8">
        <f t="shared" ref="J146" si="647">J145/I145-1</f>
        <v>0.28120237587206609</v>
      </c>
      <c r="K146" s="8">
        <f t="shared" ref="K146" si="648">K145/J145-1</f>
        <v>0.26224260388178822</v>
      </c>
      <c r="L146" s="8">
        <f t="shared" ref="L146" si="649">L145/K145-1</f>
        <v>0.23146227512639683</v>
      </c>
      <c r="M146" s="8">
        <f t="shared" ref="M146" si="650">M145/L145-1</f>
        <v>0.18341268562787771</v>
      </c>
      <c r="N146" s="8">
        <f t="shared" ref="N146" si="651">N145/M145-1</f>
        <v>0.16283811769248246</v>
      </c>
      <c r="O146" s="8">
        <f t="shared" ref="O146" si="652">O145/N145-1</f>
        <v>0.1670574015436197</v>
      </c>
      <c r="P146" s="8">
        <f t="shared" ref="P146" si="653">P145/O145-1</f>
        <v>0.14464751307207835</v>
      </c>
      <c r="R146" s="110"/>
      <c r="S146" s="110"/>
    </row>
    <row r="147" spans="1:19" x14ac:dyDescent="0.2">
      <c r="A147" s="22" t="s">
        <v>26</v>
      </c>
      <c r="B147" s="39">
        <f>B149+B151</f>
        <v>53.578498613181239</v>
      </c>
      <c r="C147" s="39">
        <f t="shared" ref="C147:P147" si="654">C149+C151</f>
        <v>69.735520457535898</v>
      </c>
      <c r="D147" s="39">
        <f t="shared" si="654"/>
        <v>90.119047509562094</v>
      </c>
      <c r="E147" s="39">
        <f t="shared" si="654"/>
        <v>117.27475367613026</v>
      </c>
      <c r="F147" s="39">
        <f t="shared" si="654"/>
        <v>150.14410961123295</v>
      </c>
      <c r="G147" s="39">
        <f t="shared" si="654"/>
        <v>197.57827862679343</v>
      </c>
      <c r="H147" s="39">
        <f t="shared" si="654"/>
        <v>257.00709552156582</v>
      </c>
      <c r="I147" s="39">
        <f t="shared" si="654"/>
        <v>355.15889698438161</v>
      </c>
      <c r="J147" s="39">
        <f t="shared" si="654"/>
        <v>481.10247840424802</v>
      </c>
      <c r="K147" s="39">
        <f t="shared" si="654"/>
        <v>629.21461671602117</v>
      </c>
      <c r="L147" s="39">
        <f t="shared" si="654"/>
        <v>799.74812083886275</v>
      </c>
      <c r="M147" s="39">
        <f t="shared" si="654"/>
        <v>965.74315397511521</v>
      </c>
      <c r="N147" s="39">
        <f t="shared" si="654"/>
        <v>1141.0557625176586</v>
      </c>
      <c r="O147" s="39">
        <f t="shared" si="654"/>
        <v>1351.6446956319012</v>
      </c>
      <c r="P147" s="39">
        <f t="shared" si="654"/>
        <v>1565.7600653782315</v>
      </c>
      <c r="R147" s="36">
        <f>(J147/D147)^(1/6)-1</f>
        <v>0.32201637203106626</v>
      </c>
      <c r="S147" s="36">
        <f>(P147/J147)^(1/6)-1</f>
        <v>0.21734759756879196</v>
      </c>
    </row>
    <row r="148" spans="1:19" x14ac:dyDescent="0.2">
      <c r="A148" s="12" t="s">
        <v>4</v>
      </c>
      <c r="B148" s="41"/>
      <c r="C148" s="13">
        <f>C147/B147-1</f>
        <v>0.30155794325262697</v>
      </c>
      <c r="D148" s="13">
        <f t="shared" ref="D148" si="655">D147/C147-1</f>
        <v>0.2922976256330998</v>
      </c>
      <c r="E148" s="13">
        <f t="shared" ref="E148" si="656">E147/D147-1</f>
        <v>0.30133148226723994</v>
      </c>
      <c r="F148" s="13">
        <f t="shared" ref="F148" si="657">F147/E147-1</f>
        <v>0.28027648666716254</v>
      </c>
      <c r="G148" s="13">
        <f t="shared" ref="G148" si="658">G147/F147-1</f>
        <v>0.31592427527381139</v>
      </c>
      <c r="H148" s="13">
        <f t="shared" ref="H148" si="659">H147/G147-1</f>
        <v>0.30078618615271857</v>
      </c>
      <c r="I148" s="13">
        <f t="shared" ref="I148" si="660">I147/H147-1</f>
        <v>0.38190308039405751</v>
      </c>
      <c r="J148" s="13">
        <f t="shared" ref="J148" si="661">J147/I147-1</f>
        <v>0.35461192860221336</v>
      </c>
      <c r="K148" s="13">
        <f t="shared" ref="K148" si="662">K147/J147-1</f>
        <v>0.30785985306714925</v>
      </c>
      <c r="L148" s="13">
        <f t="shared" ref="L148" si="663">L147/K147-1</f>
        <v>0.27102597363819214</v>
      </c>
      <c r="M148" s="13">
        <f t="shared" ref="M148" si="664">M147/L147-1</f>
        <v>0.20755914119827978</v>
      </c>
      <c r="N148" s="13">
        <f t="shared" ref="N148" si="665">N147/M147-1</f>
        <v>0.18153129827629177</v>
      </c>
      <c r="O148" s="13">
        <f t="shared" ref="O148" si="666">O147/N147-1</f>
        <v>0.18455621542070211</v>
      </c>
      <c r="P148" s="13">
        <f t="shared" ref="P148" si="667">P147/O147-1</f>
        <v>0.1584109865841854</v>
      </c>
      <c r="R148" s="110"/>
      <c r="S148" s="110"/>
    </row>
    <row r="149" spans="1:19" x14ac:dyDescent="0.2">
      <c r="A149" s="29" t="s">
        <v>30</v>
      </c>
      <c r="B149" s="39">
        <f>B79</f>
        <v>38.254127672054118</v>
      </c>
      <c r="C149" s="39">
        <f t="shared" ref="C149:P149" si="668">C79</f>
        <v>48.405272905808779</v>
      </c>
      <c r="D149" s="39">
        <f t="shared" si="668"/>
        <v>61.755045001854121</v>
      </c>
      <c r="E149" s="39">
        <f t="shared" si="668"/>
        <v>74.887822592223642</v>
      </c>
      <c r="F149" s="39">
        <f t="shared" si="668"/>
        <v>90.85563543426575</v>
      </c>
      <c r="G149" s="39">
        <f t="shared" si="668"/>
        <v>116.56980078506481</v>
      </c>
      <c r="H149" s="39">
        <f t="shared" si="668"/>
        <v>148.57923294597595</v>
      </c>
      <c r="I149" s="39">
        <f t="shared" si="668"/>
        <v>201.46321620069273</v>
      </c>
      <c r="J149" s="39">
        <f t="shared" si="668"/>
        <v>261.60258625415167</v>
      </c>
      <c r="K149" s="39">
        <f t="shared" si="668"/>
        <v>334.05311990560608</v>
      </c>
      <c r="L149" s="39">
        <f t="shared" si="668"/>
        <v>415.96471960469847</v>
      </c>
      <c r="M149" s="39">
        <f t="shared" si="668"/>
        <v>493.88178609295903</v>
      </c>
      <c r="N149" s="39">
        <f t="shared" si="668"/>
        <v>575.94585228068343</v>
      </c>
      <c r="O149" s="39">
        <f t="shared" si="668"/>
        <v>676.04130771979146</v>
      </c>
      <c r="P149" s="39">
        <f t="shared" si="668"/>
        <v>779.18816205077212</v>
      </c>
      <c r="R149" s="36">
        <f>(J149/D149)^(1/6)-1</f>
        <v>0.27202290547350438</v>
      </c>
      <c r="S149" s="36">
        <f>(P149/J149)^(1/6)-1</f>
        <v>0.19949944706270784</v>
      </c>
    </row>
    <row r="150" spans="1:19" x14ac:dyDescent="0.2">
      <c r="A150" s="30" t="s">
        <v>4</v>
      </c>
      <c r="B150" s="41"/>
      <c r="C150" s="13">
        <f>C149/B149-1</f>
        <v>0.26536078199922986</v>
      </c>
      <c r="D150" s="13">
        <f t="shared" ref="D150" si="669">D149/C149-1</f>
        <v>0.27579169157919003</v>
      </c>
      <c r="E150" s="13">
        <f t="shared" ref="E150" si="670">E149/D149-1</f>
        <v>0.21265918581996379</v>
      </c>
      <c r="F150" s="13">
        <f t="shared" ref="F150" si="671">F149/E149-1</f>
        <v>0.21322308873886531</v>
      </c>
      <c r="G150" s="13">
        <f t="shared" ref="G150" si="672">G149/F149-1</f>
        <v>0.28302223882857902</v>
      </c>
      <c r="H150" s="13">
        <f t="shared" ref="H150" si="673">H149/G149-1</f>
        <v>0.27459455146475853</v>
      </c>
      <c r="I150" s="13">
        <f t="shared" ref="I150" si="674">I149/H149-1</f>
        <v>0.35593119042380317</v>
      </c>
      <c r="J150" s="13">
        <f t="shared" ref="J150" si="675">J149/I149-1</f>
        <v>0.29851290566884225</v>
      </c>
      <c r="K150" s="13">
        <f t="shared" ref="K150" si="676">K149/J149-1</f>
        <v>0.27694884323913915</v>
      </c>
      <c r="L150" s="13">
        <f t="shared" ref="L150" si="677">L149/K149-1</f>
        <v>0.2452053126228495</v>
      </c>
      <c r="M150" s="13">
        <f t="shared" ref="M150" si="678">M149/L149-1</f>
        <v>0.1873165266571335</v>
      </c>
      <c r="N150" s="13">
        <f t="shared" ref="N150" si="679">N149/M149-1</f>
        <v>0.16616135378654806</v>
      </c>
      <c r="O150" s="13">
        <f t="shared" ref="O150" si="680">O149/N149-1</f>
        <v>0.17379317003975436</v>
      </c>
      <c r="P150" s="13">
        <f t="shared" ref="P150" si="681">P149/O149-1</f>
        <v>0.15257478079095943</v>
      </c>
      <c r="R150" s="110"/>
      <c r="S150" s="110"/>
    </row>
    <row r="151" spans="1:19" x14ac:dyDescent="0.2">
      <c r="A151" s="29" t="s">
        <v>31</v>
      </c>
      <c r="B151" s="39">
        <f>B81</f>
        <v>15.324370941127121</v>
      </c>
      <c r="C151" s="39">
        <f t="shared" ref="C151:P151" si="682">C81</f>
        <v>21.330247551727119</v>
      </c>
      <c r="D151" s="39">
        <f t="shared" si="682"/>
        <v>28.364002507707973</v>
      </c>
      <c r="E151" s="39">
        <f t="shared" si="682"/>
        <v>42.386931083906617</v>
      </c>
      <c r="F151" s="39">
        <f t="shared" si="682"/>
        <v>59.288474176967199</v>
      </c>
      <c r="G151" s="39">
        <f t="shared" si="682"/>
        <v>81.00847784172862</v>
      </c>
      <c r="H151" s="39">
        <f t="shared" si="682"/>
        <v>108.42786257558987</v>
      </c>
      <c r="I151" s="39">
        <f t="shared" si="682"/>
        <v>153.69568078368889</v>
      </c>
      <c r="J151" s="39">
        <f t="shared" si="682"/>
        <v>219.49989215009634</v>
      </c>
      <c r="K151" s="39">
        <f t="shared" si="682"/>
        <v>295.16149681041509</v>
      </c>
      <c r="L151" s="39">
        <f t="shared" si="682"/>
        <v>383.78340123416427</v>
      </c>
      <c r="M151" s="39">
        <f t="shared" si="682"/>
        <v>471.86136788215617</v>
      </c>
      <c r="N151" s="39">
        <f t="shared" si="682"/>
        <v>565.10991023697522</v>
      </c>
      <c r="O151" s="39">
        <f t="shared" si="682"/>
        <v>675.60338791210972</v>
      </c>
      <c r="P151" s="39">
        <f t="shared" si="682"/>
        <v>786.57190332745938</v>
      </c>
      <c r="R151" s="36">
        <f>(J151/D151)^(1/6)-1</f>
        <v>0.40640736712352066</v>
      </c>
      <c r="S151" s="36">
        <f>(P151/J151)^(1/6)-1</f>
        <v>0.23704078839506826</v>
      </c>
    </row>
    <row r="152" spans="1:19" x14ac:dyDescent="0.2">
      <c r="A152" s="30" t="s">
        <v>4</v>
      </c>
      <c r="B152" s="41"/>
      <c r="C152" s="13">
        <f>C151/B151-1</f>
        <v>0.39191668184444639</v>
      </c>
      <c r="D152" s="13">
        <f t="shared" ref="D152" si="683">D151/C151-1</f>
        <v>0.32975496130195303</v>
      </c>
      <c r="E152" s="13">
        <f t="shared" ref="E152" si="684">E151/D151-1</f>
        <v>0.49439174081259818</v>
      </c>
      <c r="F152" s="13">
        <f t="shared" ref="F152" si="685">F151/E151-1</f>
        <v>0.39874420395294252</v>
      </c>
      <c r="G152" s="13">
        <f t="shared" ref="G152" si="686">G151/F151-1</f>
        <v>0.36634445339123545</v>
      </c>
      <c r="H152" s="13">
        <f t="shared" ref="H152" si="687">H151/G151-1</f>
        <v>0.33847549619969697</v>
      </c>
      <c r="I152" s="13">
        <f t="shared" ref="I152" si="688">I151/H151-1</f>
        <v>0.41749248885673462</v>
      </c>
      <c r="J152" s="13">
        <f t="shared" ref="J152" si="689">J151/I151-1</f>
        <v>0.42814613287031933</v>
      </c>
      <c r="K152" s="13">
        <f t="shared" ref="K152" si="690">K151/J151-1</f>
        <v>0.34469996280718229</v>
      </c>
      <c r="L152" s="13">
        <f t="shared" ref="L152" si="691">L151/K151-1</f>
        <v>0.30024886504987425</v>
      </c>
      <c r="M152" s="13">
        <f t="shared" ref="M152" si="692">M151/L151-1</f>
        <v>0.22949915594252457</v>
      </c>
      <c r="N152" s="13">
        <f t="shared" ref="N152" si="693">N151/M151-1</f>
        <v>0.19761851404225816</v>
      </c>
      <c r="O152" s="13">
        <f t="shared" ref="O152" si="694">O151/N151-1</f>
        <v>0.19552564142575335</v>
      </c>
      <c r="P152" s="13">
        <f t="shared" ref="P152" si="695">P151/O151-1</f>
        <v>0.16425097535151156</v>
      </c>
      <c r="R152" s="110"/>
      <c r="S152" s="110"/>
    </row>
    <row r="153" spans="1:19" x14ac:dyDescent="0.2">
      <c r="A153" s="22" t="s">
        <v>55</v>
      </c>
      <c r="B153" s="39">
        <f>B155+B157</f>
        <v>15.255611815701862</v>
      </c>
      <c r="C153" s="39">
        <f t="shared" ref="C153:P153" si="696">C155+C157</f>
        <v>21.025248535400014</v>
      </c>
      <c r="D153" s="39">
        <f t="shared" si="696"/>
        <v>29.91151671616586</v>
      </c>
      <c r="E153" s="39">
        <f t="shared" si="696"/>
        <v>41.854563028923508</v>
      </c>
      <c r="F153" s="39">
        <f t="shared" si="696"/>
        <v>57.075499776337139</v>
      </c>
      <c r="G153" s="39">
        <f t="shared" si="696"/>
        <v>79.55525148595467</v>
      </c>
      <c r="H153" s="39">
        <f t="shared" si="696"/>
        <v>104.4831276015268</v>
      </c>
      <c r="I153" s="39">
        <f t="shared" si="696"/>
        <v>141.27261915131004</v>
      </c>
      <c r="J153" s="39">
        <f t="shared" si="696"/>
        <v>191.78919153381696</v>
      </c>
      <c r="K153" s="39">
        <f t="shared" si="696"/>
        <v>251.93044819815094</v>
      </c>
      <c r="L153" s="39">
        <f t="shared" si="696"/>
        <v>325.63798508110415</v>
      </c>
      <c r="M153" s="39">
        <f t="shared" si="696"/>
        <v>408.0467095291491</v>
      </c>
      <c r="N153" s="39">
        <f t="shared" si="696"/>
        <v>498.18788212829099</v>
      </c>
      <c r="O153" s="39">
        <f t="shared" si="696"/>
        <v>611.165264060494</v>
      </c>
      <c r="P153" s="39">
        <f t="shared" si="696"/>
        <v>733.48295098443907</v>
      </c>
      <c r="R153" s="36">
        <f>(J153/D153)^(1/6)-1</f>
        <v>0.36300552268043118</v>
      </c>
      <c r="S153" s="36">
        <f>(P153/J153)^(1/6)-1</f>
        <v>0.25053057882093333</v>
      </c>
    </row>
    <row r="154" spans="1:19" x14ac:dyDescent="0.2">
      <c r="A154" s="12" t="s">
        <v>4</v>
      </c>
      <c r="B154" s="41"/>
      <c r="C154" s="13">
        <f>C153/B153-1</f>
        <v>0.37819766190955018</v>
      </c>
      <c r="D154" s="13">
        <f t="shared" ref="D154" si="697">D153/C153-1</f>
        <v>0.42264747386001744</v>
      </c>
      <c r="E154" s="13">
        <f t="shared" ref="E154" si="698">E153/D153-1</f>
        <v>0.39927919490297725</v>
      </c>
      <c r="F154" s="13">
        <f t="shared" ref="F154" si="699">F153/E153-1</f>
        <v>0.36366254109247853</v>
      </c>
      <c r="G154" s="13">
        <f t="shared" ref="G154" si="700">G153/F153-1</f>
        <v>0.39385991883924576</v>
      </c>
      <c r="H154" s="13">
        <f t="shared" ref="H154" si="701">H153/G153-1</f>
        <v>0.3133404225360672</v>
      </c>
      <c r="I154" s="13">
        <f t="shared" ref="I154" si="702">I153/H153-1</f>
        <v>0.35210940172167704</v>
      </c>
      <c r="J154" s="13">
        <f t="shared" ref="J154" si="703">J153/I153-1</f>
        <v>0.35758218886280546</v>
      </c>
      <c r="K154" s="13">
        <f t="shared" ref="K154" si="704">K153/J153-1</f>
        <v>0.31358001034030991</v>
      </c>
      <c r="L154" s="13">
        <f t="shared" ref="L154" si="705">L153/K153-1</f>
        <v>0.29257097508507579</v>
      </c>
      <c r="M154" s="13">
        <f t="shared" ref="M154" si="706">M153/L153-1</f>
        <v>0.25306852463025797</v>
      </c>
      <c r="N154" s="13">
        <f t="shared" ref="N154" si="707">N153/M153-1</f>
        <v>0.22090895599466309</v>
      </c>
      <c r="O154" s="13">
        <f t="shared" ref="O154" si="708">O153/N153-1</f>
        <v>0.22677665592658802</v>
      </c>
      <c r="P154" s="13">
        <f t="shared" ref="P154" si="709">P153/O153-1</f>
        <v>0.2001384799117738</v>
      </c>
      <c r="R154" s="110"/>
      <c r="S154" s="110"/>
    </row>
    <row r="155" spans="1:19" x14ac:dyDescent="0.2">
      <c r="A155" s="29" t="s">
        <v>28</v>
      </c>
      <c r="B155" s="39">
        <f>B95</f>
        <v>2.574563821203447</v>
      </c>
      <c r="C155" s="39">
        <f t="shared" ref="C155:P155" si="710">C95</f>
        <v>3.5862668048196147</v>
      </c>
      <c r="D155" s="39">
        <f t="shared" si="710"/>
        <v>4.9792512601761452</v>
      </c>
      <c r="E155" s="39">
        <f t="shared" si="710"/>
        <v>6.9568205708287696</v>
      </c>
      <c r="F155" s="39">
        <f t="shared" si="710"/>
        <v>9.5259276173770893</v>
      </c>
      <c r="G155" s="39">
        <f t="shared" si="710"/>
        <v>13.567300086625</v>
      </c>
      <c r="H155" s="39">
        <f t="shared" si="710"/>
        <v>17.812348862318863</v>
      </c>
      <c r="I155" s="39">
        <f t="shared" si="710"/>
        <v>25.768320395639037</v>
      </c>
      <c r="J155" s="39">
        <f t="shared" si="710"/>
        <v>38.841582689003999</v>
      </c>
      <c r="K155" s="39">
        <f t="shared" si="710"/>
        <v>57.944689629087428</v>
      </c>
      <c r="L155" s="39">
        <f t="shared" si="710"/>
        <v>83.373421894254008</v>
      </c>
      <c r="M155" s="39">
        <f t="shared" si="710"/>
        <v>113.26721022754795</v>
      </c>
      <c r="N155" s="39">
        <f t="shared" si="710"/>
        <v>148.2304506204859</v>
      </c>
      <c r="O155" s="39">
        <f t="shared" si="710"/>
        <v>195.18685078463781</v>
      </c>
      <c r="P155" s="39">
        <f t="shared" si="710"/>
        <v>246.18581604649992</v>
      </c>
      <c r="R155" s="36">
        <f>(J155/D155)^(1/6)-1</f>
        <v>0.40827935490413636</v>
      </c>
      <c r="S155" s="36">
        <f>(P155/J155)^(1/6)-1</f>
        <v>0.3603824428224105</v>
      </c>
    </row>
    <row r="156" spans="1:19" x14ac:dyDescent="0.2">
      <c r="A156" s="30" t="s">
        <v>4</v>
      </c>
      <c r="B156" s="41"/>
      <c r="C156" s="13">
        <f>C155/B155-1</f>
        <v>0.39296092615146749</v>
      </c>
      <c r="D156" s="13">
        <f t="shared" ref="D156" si="711">D155/C155-1</f>
        <v>0.38842186908249188</v>
      </c>
      <c r="E156" s="13">
        <f t="shared" ref="E156" si="712">E155/D155-1</f>
        <v>0.39716198426641891</v>
      </c>
      <c r="F156" s="13">
        <f t="shared" ref="F156" si="713">F155/E155-1</f>
        <v>0.36929327418922653</v>
      </c>
      <c r="G156" s="13">
        <f t="shared" ref="G156" si="714">G155/F155-1</f>
        <v>0.42424975619966765</v>
      </c>
      <c r="H156" s="13">
        <f t="shared" ref="H156" si="715">H155/G155-1</f>
        <v>0.31288824958465722</v>
      </c>
      <c r="I156" s="13">
        <f t="shared" ref="I156" si="716">I155/H155-1</f>
        <v>0.44665482328109096</v>
      </c>
      <c r="J156" s="13">
        <f t="shared" ref="J156" si="717">J155/I155-1</f>
        <v>0.50733854953066504</v>
      </c>
      <c r="K156" s="13">
        <f t="shared" ref="K156" si="718">K155/J155-1</f>
        <v>0.49182102318120768</v>
      </c>
      <c r="L156" s="13">
        <f t="shared" ref="L156" si="719">L155/K155-1</f>
        <v>0.43884491275973136</v>
      </c>
      <c r="M156" s="13">
        <f t="shared" ref="M156" si="720">M155/L155-1</f>
        <v>0.35855297352685711</v>
      </c>
      <c r="N156" s="13">
        <f t="shared" ref="N156" si="721">N155/M155-1</f>
        <v>0.30867927551758889</v>
      </c>
      <c r="O156" s="13">
        <f t="shared" ref="O156" si="722">O155/N155-1</f>
        <v>0.31677971676935868</v>
      </c>
      <c r="P156" s="13">
        <f t="shared" ref="P156" si="723">P155/O155-1</f>
        <v>0.26128279162684254</v>
      </c>
      <c r="R156" s="110"/>
      <c r="S156" s="110"/>
    </row>
    <row r="157" spans="1:19" x14ac:dyDescent="0.2">
      <c r="A157" s="29" t="s">
        <v>27</v>
      </c>
      <c r="B157" s="39">
        <f>B87</f>
        <v>12.681047994498414</v>
      </c>
      <c r="C157" s="39">
        <f t="shared" ref="C157:P157" si="724">C87</f>
        <v>17.438981730580398</v>
      </c>
      <c r="D157" s="39">
        <f t="shared" si="724"/>
        <v>24.932265455989715</v>
      </c>
      <c r="E157" s="39">
        <f t="shared" si="724"/>
        <v>34.89774245809474</v>
      </c>
      <c r="F157" s="39">
        <f t="shared" si="724"/>
        <v>47.549572158960054</v>
      </c>
      <c r="G157" s="39">
        <f t="shared" si="724"/>
        <v>65.987951399329674</v>
      </c>
      <c r="H157" s="39">
        <f t="shared" si="724"/>
        <v>86.670778739207947</v>
      </c>
      <c r="I157" s="39">
        <f t="shared" si="724"/>
        <v>115.50429875567102</v>
      </c>
      <c r="J157" s="39">
        <f t="shared" si="724"/>
        <v>152.94760884481298</v>
      </c>
      <c r="K157" s="39">
        <f t="shared" si="724"/>
        <v>193.98575856906351</v>
      </c>
      <c r="L157" s="39">
        <f t="shared" si="724"/>
        <v>242.26456318685015</v>
      </c>
      <c r="M157" s="39">
        <f t="shared" si="724"/>
        <v>294.77949930160116</v>
      </c>
      <c r="N157" s="39">
        <f t="shared" si="724"/>
        <v>349.9574315078051</v>
      </c>
      <c r="O157" s="39">
        <f t="shared" si="724"/>
        <v>415.97841327585616</v>
      </c>
      <c r="P157" s="39">
        <f t="shared" si="724"/>
        <v>487.29713493793912</v>
      </c>
      <c r="R157" s="36">
        <f>(J157/D157)^(1/6)-1</f>
        <v>0.35299697281891507</v>
      </c>
      <c r="S157" s="36">
        <f>(P157/J157)^(1/6)-1</f>
        <v>0.21304020225543385</v>
      </c>
    </row>
    <row r="158" spans="1:19" x14ac:dyDescent="0.2">
      <c r="A158" s="30" t="s">
        <v>4</v>
      </c>
      <c r="B158" s="41"/>
      <c r="C158" s="13">
        <f>C157/B157-1</f>
        <v>0.37520035711135091</v>
      </c>
      <c r="D158" s="13">
        <f t="shared" ref="D158" si="725">D157/C157-1</f>
        <v>0.42968585214292365</v>
      </c>
      <c r="E158" s="13">
        <f t="shared" ref="E158" si="726">E157/D157-1</f>
        <v>0.39970202546158617</v>
      </c>
      <c r="F158" s="13">
        <f t="shared" ref="F158" si="727">F157/E157-1</f>
        <v>0.36254006161165431</v>
      </c>
      <c r="G158" s="13">
        <f t="shared" ref="G158" si="728">G157/F157-1</f>
        <v>0.38777171703521129</v>
      </c>
      <c r="H158" s="13">
        <f t="shared" ref="H158" si="729">H157/G157-1</f>
        <v>0.31343339050965557</v>
      </c>
      <c r="I158" s="13">
        <f t="shared" ref="I158" si="730">I157/H157-1</f>
        <v>0.33267867712626686</v>
      </c>
      <c r="J158" s="13">
        <f t="shared" ref="J158" si="731">J157/I157-1</f>
        <v>0.32417243767131709</v>
      </c>
      <c r="K158" s="13">
        <f t="shared" ref="K158" si="732">K157/J157-1</f>
        <v>0.26831507883127181</v>
      </c>
      <c r="L158" s="13">
        <f t="shared" ref="L158" si="733">L157/K157-1</f>
        <v>0.24887808761795394</v>
      </c>
      <c r="M158" s="13">
        <f t="shared" ref="M158" si="734">M157/L157-1</f>
        <v>0.21676689080708877</v>
      </c>
      <c r="N158" s="13">
        <f t="shared" ref="N158" si="735">N157/M157-1</f>
        <v>0.18718375035215429</v>
      </c>
      <c r="O158" s="13">
        <f t="shared" ref="O158" si="736">O157/N157-1</f>
        <v>0.18865432142302874</v>
      </c>
      <c r="P158" s="13">
        <f t="shared" ref="P158" si="737">P157/O157-1</f>
        <v>0.17144813140769388</v>
      </c>
      <c r="R158" s="110"/>
      <c r="S158" s="110"/>
    </row>
    <row r="159" spans="1:19" x14ac:dyDescent="0.2">
      <c r="A159" s="22" t="s">
        <v>56</v>
      </c>
      <c r="B159" s="39">
        <f>B161+B163</f>
        <v>19.228299301776303</v>
      </c>
      <c r="C159" s="39">
        <f t="shared" ref="C159:P159" si="738">C161+C163</f>
        <v>24.539462447312776</v>
      </c>
      <c r="D159" s="39">
        <f t="shared" si="738"/>
        <v>32.347407932497092</v>
      </c>
      <c r="E159" s="39">
        <f t="shared" si="738"/>
        <v>41.723634218632306</v>
      </c>
      <c r="F159" s="39">
        <f t="shared" si="738"/>
        <v>52.244136661746346</v>
      </c>
      <c r="G159" s="39">
        <f t="shared" si="738"/>
        <v>66.507039237431783</v>
      </c>
      <c r="H159" s="39">
        <f t="shared" si="738"/>
        <v>79.57828774763658</v>
      </c>
      <c r="I159" s="39">
        <f t="shared" si="738"/>
        <v>96.94271463693488</v>
      </c>
      <c r="J159" s="39">
        <f t="shared" si="738"/>
        <v>117.41521513996929</v>
      </c>
      <c r="K159" s="39">
        <f t="shared" si="738"/>
        <v>136.19442164934847</v>
      </c>
      <c r="L159" s="39">
        <f t="shared" si="738"/>
        <v>154.34460387619708</v>
      </c>
      <c r="M159" s="39">
        <f t="shared" si="738"/>
        <v>168.31273088863639</v>
      </c>
      <c r="N159" s="39">
        <f t="shared" si="738"/>
        <v>176.83494723513002</v>
      </c>
      <c r="O159" s="39">
        <f t="shared" si="738"/>
        <v>183.69089051389992</v>
      </c>
      <c r="P159" s="39">
        <f t="shared" si="738"/>
        <v>183.39777940260959</v>
      </c>
      <c r="R159" s="36">
        <f>(J159/D159)^(1/6)-1</f>
        <v>0.23969299957309387</v>
      </c>
      <c r="S159" s="36">
        <f>(P159/J159)^(1/6)-1</f>
        <v>7.7155200223590237E-2</v>
      </c>
    </row>
    <row r="160" spans="1:19" x14ac:dyDescent="0.2">
      <c r="A160" s="12" t="s">
        <v>4</v>
      </c>
      <c r="B160" s="41"/>
      <c r="C160" s="13">
        <f>C159/B159-1</f>
        <v>0.27621595972587287</v>
      </c>
      <c r="D160" s="13">
        <f t="shared" ref="D160" si="739">D159/C159-1</f>
        <v>0.31817915742646319</v>
      </c>
      <c r="E160" s="13">
        <f t="shared" ref="E160" si="740">E159/D159-1</f>
        <v>0.2898602047404113</v>
      </c>
      <c r="F160" s="13">
        <f t="shared" ref="F160" si="741">F159/E159-1</f>
        <v>0.25214731746488073</v>
      </c>
      <c r="G160" s="13">
        <f t="shared" ref="G160" si="742">G159/F159-1</f>
        <v>0.273004847759861</v>
      </c>
      <c r="H160" s="13">
        <f t="shared" ref="H160" si="743">H159/G159-1</f>
        <v>0.19653932365775773</v>
      </c>
      <c r="I160" s="13">
        <f t="shared" ref="I160" si="744">I159/H159-1</f>
        <v>0.21820558572918047</v>
      </c>
      <c r="J160" s="13">
        <f t="shared" ref="J160" si="745">J159/I159-1</f>
        <v>0.21118142378936899</v>
      </c>
      <c r="K160" s="13">
        <f t="shared" ref="K160" si="746">K159/J159-1</f>
        <v>0.15993844142765234</v>
      </c>
      <c r="L160" s="13">
        <f t="shared" ref="L160" si="747">L159/K159-1</f>
        <v>0.13326670804167584</v>
      </c>
      <c r="M160" s="13">
        <f t="shared" ref="M160" si="748">M159/L159-1</f>
        <v>9.0499613602581297E-2</v>
      </c>
      <c r="N160" s="13">
        <f t="shared" ref="N160" si="749">N159/M159-1</f>
        <v>5.0633224839850666E-2</v>
      </c>
      <c r="O160" s="13">
        <f t="shared" ref="O160" si="750">O159/N159-1</f>
        <v>3.8770296177111696E-2</v>
      </c>
      <c r="P160" s="13">
        <f t="shared" ref="P160" si="751">P159/O159-1</f>
        <v>-1.5956758142459115E-3</v>
      </c>
      <c r="R160" s="110"/>
      <c r="S160" s="110"/>
    </row>
    <row r="161" spans="1:19" x14ac:dyDescent="0.2">
      <c r="A161" s="29" t="s">
        <v>28</v>
      </c>
      <c r="B161" s="39">
        <f>B97</f>
        <v>1.7163758808022982</v>
      </c>
      <c r="C161" s="39">
        <f t="shared" ref="C161:P161" si="752">C97</f>
        <v>2.2450613330984592</v>
      </c>
      <c r="D161" s="39">
        <f t="shared" si="752"/>
        <v>2.9196204593180397</v>
      </c>
      <c r="E161" s="39">
        <f t="shared" si="752"/>
        <v>3.8100119024145442</v>
      </c>
      <c r="F161" s="39">
        <f t="shared" si="752"/>
        <v>4.8574394947538613</v>
      </c>
      <c r="G161" s="39">
        <f t="shared" si="752"/>
        <v>6.4185605014557909</v>
      </c>
      <c r="H161" s="39">
        <f t="shared" si="752"/>
        <v>7.786872136635675</v>
      </c>
      <c r="I161" s="39">
        <f t="shared" si="752"/>
        <v>10.361666463264548</v>
      </c>
      <c r="J161" s="39">
        <f t="shared" si="752"/>
        <v>14.290243639251338</v>
      </c>
      <c r="K161" s="39">
        <f t="shared" si="752"/>
        <v>19.385237704087317</v>
      </c>
      <c r="L161" s="39">
        <f t="shared" si="752"/>
        <v>25.178551322739342</v>
      </c>
      <c r="M161" s="39">
        <f t="shared" si="752"/>
        <v>30.609478549187724</v>
      </c>
      <c r="N161" s="39">
        <f t="shared" si="752"/>
        <v>35.46558921581466</v>
      </c>
      <c r="O161" s="39">
        <f t="shared" si="752"/>
        <v>40.80068024687116</v>
      </c>
      <c r="P161" s="39">
        <f t="shared" si="752"/>
        <v>44.201512664278397</v>
      </c>
      <c r="R161" s="36">
        <f>(J161/D161)^(1/6)-1</f>
        <v>0.30302337264755308</v>
      </c>
      <c r="S161" s="36">
        <f>(P161/J161)^(1/6)-1</f>
        <v>0.20707127898512478</v>
      </c>
    </row>
    <row r="162" spans="1:19" x14ac:dyDescent="0.2">
      <c r="A162" s="30" t="s">
        <v>4</v>
      </c>
      <c r="B162" s="41"/>
      <c r="C162" s="13">
        <f>C161/B161-1</f>
        <v>0.30802428431296391</v>
      </c>
      <c r="D162" s="13">
        <f t="shared" ref="D162" si="753">D161/C161-1</f>
        <v>0.3004635625204084</v>
      </c>
      <c r="E162" s="13">
        <f t="shared" ref="E162" si="754">E161/D161-1</f>
        <v>0.30496821607575697</v>
      </c>
      <c r="F162" s="13">
        <f t="shared" ref="F162" si="755">F161/E161-1</f>
        <v>0.27491451973562708</v>
      </c>
      <c r="G162" s="13">
        <f t="shared" ref="G162" si="756">G161/F161-1</f>
        <v>0.32138763815544658</v>
      </c>
      <c r="H162" s="13">
        <f t="shared" ref="H162" si="757">H161/G161-1</f>
        <v>0.21318045298000032</v>
      </c>
      <c r="I162" s="13">
        <f t="shared" ref="I162" si="758">I161/H161-1</f>
        <v>0.3306583544007331</v>
      </c>
      <c r="J162" s="13">
        <f t="shared" ref="J162" si="759">J161/I161-1</f>
        <v>0.37914530350063513</v>
      </c>
      <c r="K162" s="13">
        <f t="shared" ref="K162" si="760">K161/J161-1</f>
        <v>0.35653654293489034</v>
      </c>
      <c r="L162" s="13">
        <f t="shared" ref="L162" si="761">L161/K161-1</f>
        <v>0.29885182256137743</v>
      </c>
      <c r="M162" s="13">
        <f t="shared" ref="M162" si="762">M161/L161-1</f>
        <v>0.21569657272313303</v>
      </c>
      <c r="N162" s="13">
        <f t="shared" ref="N162" si="763">N161/M161-1</f>
        <v>0.15864728498472913</v>
      </c>
      <c r="O162" s="13">
        <f t="shared" ref="O162" si="764">O161/N161-1</f>
        <v>0.15043006894912936</v>
      </c>
      <c r="P162" s="13">
        <f t="shared" ref="P162" si="765">P161/O161-1</f>
        <v>8.3352346010653333E-2</v>
      </c>
      <c r="R162" s="110"/>
      <c r="S162" s="110"/>
    </row>
    <row r="163" spans="1:19" x14ac:dyDescent="0.2">
      <c r="A163" s="29" t="s">
        <v>27</v>
      </c>
      <c r="B163" s="39">
        <f>B89</f>
        <v>17.511923420974004</v>
      </c>
      <c r="C163" s="39">
        <f t="shared" ref="C163:P163" si="766">C89</f>
        <v>22.294401114214317</v>
      </c>
      <c r="D163" s="39">
        <f t="shared" si="766"/>
        <v>29.427787473179052</v>
      </c>
      <c r="E163" s="39">
        <f t="shared" si="766"/>
        <v>37.913622316217761</v>
      </c>
      <c r="F163" s="39">
        <f t="shared" si="766"/>
        <v>47.386697166992484</v>
      </c>
      <c r="G163" s="39">
        <f t="shared" si="766"/>
        <v>60.08847873597599</v>
      </c>
      <c r="H163" s="39">
        <f t="shared" si="766"/>
        <v>71.7914156110009</v>
      </c>
      <c r="I163" s="39">
        <f t="shared" si="766"/>
        <v>86.581048173670339</v>
      </c>
      <c r="J163" s="39">
        <f t="shared" si="766"/>
        <v>103.12497150071795</v>
      </c>
      <c r="K163" s="39">
        <f t="shared" si="766"/>
        <v>116.80918394526115</v>
      </c>
      <c r="L163" s="39">
        <f t="shared" si="766"/>
        <v>129.16605255345775</v>
      </c>
      <c r="M163" s="39">
        <f t="shared" si="766"/>
        <v>137.70325233944868</v>
      </c>
      <c r="N163" s="39">
        <f t="shared" si="766"/>
        <v>141.36935801931534</v>
      </c>
      <c r="O163" s="39">
        <f t="shared" si="766"/>
        <v>142.89021026702875</v>
      </c>
      <c r="P163" s="39">
        <f t="shared" si="766"/>
        <v>139.19626673833119</v>
      </c>
      <c r="R163" s="36">
        <f>(J163/D163)^(1/6)-1</f>
        <v>0.23244544799883782</v>
      </c>
      <c r="S163" s="36">
        <f>(P163/J163)^(1/6)-1</f>
        <v>5.126117239463035E-2</v>
      </c>
    </row>
    <row r="164" spans="1:19" x14ac:dyDescent="0.2">
      <c r="A164" s="30" t="s">
        <v>4</v>
      </c>
      <c r="B164" s="41"/>
      <c r="C164" s="13">
        <f>C163/B163-1</f>
        <v>0.27309836722517566</v>
      </c>
      <c r="D164" s="13">
        <f t="shared" ref="D164" si="767">D163/C163-1</f>
        <v>0.31996312986477471</v>
      </c>
      <c r="E164" s="13">
        <f t="shared" ref="E164" si="768">E163/D163-1</f>
        <v>0.28836129290293511</v>
      </c>
      <c r="F164" s="13">
        <f t="shared" ref="F164" si="769">F163/E163-1</f>
        <v>0.24985939807504387</v>
      </c>
      <c r="G164" s="13">
        <f t="shared" ref="G164" si="770">G163/F163-1</f>
        <v>0.26804530233921886</v>
      </c>
      <c r="H164" s="13">
        <f t="shared" ref="H164" si="771">H163/G163-1</f>
        <v>0.19476174336925189</v>
      </c>
      <c r="I164" s="13">
        <f t="shared" ref="I164" si="772">I163/H163-1</f>
        <v>0.20600837073343858</v>
      </c>
      <c r="J164" s="13">
        <f t="shared" ref="J164" si="773">J163/I163-1</f>
        <v>0.19108019221322725</v>
      </c>
      <c r="K164" s="13">
        <f t="shared" ref="K164" si="774">K163/J163-1</f>
        <v>0.13269543007289886</v>
      </c>
      <c r="L164" s="13">
        <f t="shared" ref="L164" si="775">L163/K163-1</f>
        <v>0.10578678996667956</v>
      </c>
      <c r="M164" s="13">
        <f t="shared" ref="M164" si="776">M163/L163-1</f>
        <v>6.6094764198647793E-2</v>
      </c>
      <c r="N164" s="13">
        <f t="shared" ref="N164" si="777">N163/M163-1</f>
        <v>2.662323233172037E-2</v>
      </c>
      <c r="O164" s="13">
        <f t="shared" ref="O164" si="778">O163/N163-1</f>
        <v>1.0758004910127683E-2</v>
      </c>
      <c r="P164" s="13">
        <f t="shared" ref="P164" si="779">P163/O163-1</f>
        <v>-2.5851620777899598E-2</v>
      </c>
      <c r="R164" s="110"/>
      <c r="S164" s="110"/>
    </row>
    <row r="165" spans="1:19" x14ac:dyDescent="0.2">
      <c r="A165" s="22" t="s">
        <v>57</v>
      </c>
      <c r="B165" s="39">
        <f>B167+B169</f>
        <v>51.41428956103158</v>
      </c>
      <c r="C165" s="39">
        <f t="shared" ref="C165:P165" si="780">C167+C169</f>
        <v>67.638493012495516</v>
      </c>
      <c r="D165" s="39">
        <f t="shared" si="780"/>
        <v>87.104311685944339</v>
      </c>
      <c r="E165" s="39">
        <f t="shared" si="780"/>
        <v>111.42820449232187</v>
      </c>
      <c r="F165" s="39">
        <f t="shared" si="780"/>
        <v>126.03298559845192</v>
      </c>
      <c r="G165" s="39">
        <f t="shared" si="780"/>
        <v>148.83407503897163</v>
      </c>
      <c r="H165" s="39">
        <f t="shared" si="780"/>
        <v>180.37081537434054</v>
      </c>
      <c r="I165" s="39">
        <f t="shared" si="780"/>
        <v>233.44269381377796</v>
      </c>
      <c r="J165" s="39">
        <f t="shared" si="780"/>
        <v>293.34586121516702</v>
      </c>
      <c r="K165" s="39">
        <f t="shared" si="780"/>
        <v>361.76711605183056</v>
      </c>
      <c r="L165" s="39">
        <f t="shared" si="780"/>
        <v>439.79024008847688</v>
      </c>
      <c r="M165" s="39">
        <f t="shared" si="780"/>
        <v>514.16722563220139</v>
      </c>
      <c r="N165" s="39">
        <f t="shared" si="780"/>
        <v>587.8470117655163</v>
      </c>
      <c r="O165" s="39">
        <f t="shared" si="780"/>
        <v>676.91336336104678</v>
      </c>
      <c r="P165" s="39">
        <f t="shared" si="780"/>
        <v>763.04259867978874</v>
      </c>
      <c r="R165" s="36">
        <f>(J165/D165)^(1/6)-1</f>
        <v>0.22430620898212306</v>
      </c>
      <c r="S165" s="36">
        <f>(P165/J165)^(1/6)-1</f>
        <v>0.17272127272610893</v>
      </c>
    </row>
    <row r="166" spans="1:19" x14ac:dyDescent="0.2">
      <c r="A166" s="12" t="s">
        <v>4</v>
      </c>
      <c r="B166" s="41"/>
      <c r="C166" s="13">
        <f>C165/B165-1</f>
        <v>0.31555825413487271</v>
      </c>
      <c r="D166" s="13">
        <f t="shared" ref="D166" si="781">D165/C165-1</f>
        <v>0.28779202206431043</v>
      </c>
      <c r="E166" s="13">
        <f t="shared" ref="E166" si="782">E165/D165-1</f>
        <v>0.27925015806424858</v>
      </c>
      <c r="F166" s="13">
        <f t="shared" ref="F166" si="783">F165/E165-1</f>
        <v>0.1310689800008078</v>
      </c>
      <c r="G166" s="13">
        <f t="shared" ref="G166" si="784">G165/F165-1</f>
        <v>0.18091366583320689</v>
      </c>
      <c r="H166" s="13">
        <f t="shared" ref="H166" si="785">H165/G165-1</f>
        <v>0.21189193621898172</v>
      </c>
      <c r="I166" s="13">
        <f t="shared" ref="I166" si="786">I165/H165-1</f>
        <v>0.2942376144904173</v>
      </c>
      <c r="J166" s="13">
        <f t="shared" ref="J166" si="787">J165/I165-1</f>
        <v>0.25660759145100953</v>
      </c>
      <c r="K166" s="13">
        <f t="shared" ref="K166" si="788">K165/J165-1</f>
        <v>0.23324431629351361</v>
      </c>
      <c r="L166" s="13">
        <f t="shared" ref="L166" si="789">L165/K165-1</f>
        <v>0.2156722393349535</v>
      </c>
      <c r="M166" s="13">
        <f t="shared" ref="M166" si="790">M165/L165-1</f>
        <v>0.16911922722241712</v>
      </c>
      <c r="N166" s="13">
        <f t="shared" ref="N166" si="791">N165/M165-1</f>
        <v>0.14329926619247457</v>
      </c>
      <c r="O166" s="13">
        <f t="shared" ref="O166" si="792">O165/N165-1</f>
        <v>0.15151280828668701</v>
      </c>
      <c r="P166" s="13">
        <f t="shared" ref="P166" si="793">P165/O165-1</f>
        <v>0.12723819617194199</v>
      </c>
      <c r="R166" s="110"/>
      <c r="S166" s="110"/>
    </row>
    <row r="167" spans="1:19" x14ac:dyDescent="0.2">
      <c r="A167" s="29" t="s">
        <v>58</v>
      </c>
      <c r="B167" s="39">
        <f>B125</f>
        <v>20.179130072493763</v>
      </c>
      <c r="C167" s="39">
        <f t="shared" ref="C167:P167" si="794">C125</f>
        <v>27.702626944313614</v>
      </c>
      <c r="D167" s="39">
        <f t="shared" si="794"/>
        <v>37.228463649028342</v>
      </c>
      <c r="E167" s="39">
        <f t="shared" si="794"/>
        <v>49.698012782657912</v>
      </c>
      <c r="F167" s="39">
        <f t="shared" si="794"/>
        <v>58.659255332622841</v>
      </c>
      <c r="G167" s="39">
        <f t="shared" si="794"/>
        <v>72.287486448021028</v>
      </c>
      <c r="H167" s="39">
        <f t="shared" si="794"/>
        <v>91.418785994005489</v>
      </c>
      <c r="I167" s="39">
        <f t="shared" si="794"/>
        <v>123.46899053124169</v>
      </c>
      <c r="J167" s="39">
        <f t="shared" si="794"/>
        <v>161.90714197197698</v>
      </c>
      <c r="K167" s="39">
        <f t="shared" si="794"/>
        <v>208.36441893373592</v>
      </c>
      <c r="L167" s="39">
        <f t="shared" si="794"/>
        <v>264.33123725127132</v>
      </c>
      <c r="M167" s="39">
        <f t="shared" si="794"/>
        <v>322.48960609218034</v>
      </c>
      <c r="N167" s="39">
        <f t="shared" si="794"/>
        <v>384.75482663863903</v>
      </c>
      <c r="O167" s="39">
        <f t="shared" si="794"/>
        <v>462.33979885346218</v>
      </c>
      <c r="P167" s="39">
        <f t="shared" si="794"/>
        <v>543.85785580644529</v>
      </c>
      <c r="R167" s="36">
        <f>(J167/D167)^(1/6)-1</f>
        <v>0.27761052855774593</v>
      </c>
      <c r="S167" s="36">
        <f>(P167/J167)^(1/6)-1</f>
        <v>0.22377966729759025</v>
      </c>
    </row>
    <row r="168" spans="1:19" x14ac:dyDescent="0.2">
      <c r="A168" s="30" t="s">
        <v>4</v>
      </c>
      <c r="B168" s="41"/>
      <c r="C168" s="13">
        <f>C167/B167-1</f>
        <v>0.37283554071912905</v>
      </c>
      <c r="D168" s="13">
        <f t="shared" ref="D168" si="795">D167/C167-1</f>
        <v>0.34386041164482606</v>
      </c>
      <c r="E168" s="13">
        <f t="shared" ref="E168" si="796">E167/D167-1</f>
        <v>0.33494664864997792</v>
      </c>
      <c r="F168" s="13">
        <f t="shared" ref="F168" si="797">F167/E167-1</f>
        <v>0.18031390086269106</v>
      </c>
      <c r="G168" s="13">
        <f t="shared" ref="G168" si="798">G167/F167-1</f>
        <v>0.23232874399990822</v>
      </c>
      <c r="H168" s="13">
        <f t="shared" ref="H168" si="799">H167/G167-1</f>
        <v>0.26465575836200905</v>
      </c>
      <c r="I168" s="13">
        <f t="shared" ref="I168" si="800">I167/H167-1</f>
        <v>0.35058663477917751</v>
      </c>
      <c r="J168" s="13">
        <f t="shared" ref="J168" si="801">J167/I167-1</f>
        <v>0.31131826117108474</v>
      </c>
      <c r="K168" s="13">
        <f t="shared" ref="K168" si="802">K167/J167-1</f>
        <v>0.28693778665921843</v>
      </c>
      <c r="L168" s="13">
        <f t="shared" ref="L168" si="803">L167/K167-1</f>
        <v>0.26860064978432807</v>
      </c>
      <c r="M168" s="13">
        <f t="shared" ref="M168" si="804">M167/L167-1</f>
        <v>0.22002079453675805</v>
      </c>
      <c r="N168" s="13">
        <f t="shared" ref="N168" si="805">N167/M167-1</f>
        <v>0.19307667400809447</v>
      </c>
      <c r="O168" s="13">
        <f t="shared" ref="O168" si="806">O167/N167-1</f>
        <v>0.2016478204903478</v>
      </c>
      <c r="P168" s="13">
        <f t="shared" ref="P168" si="807">P167/O167-1</f>
        <v>0.17631633087857979</v>
      </c>
      <c r="R168" s="110"/>
      <c r="S168" s="110"/>
    </row>
    <row r="169" spans="1:19" x14ac:dyDescent="0.2">
      <c r="A169" s="29" t="s">
        <v>53</v>
      </c>
      <c r="B169" s="39">
        <f>B127</f>
        <v>31.235159488537818</v>
      </c>
      <c r="C169" s="39">
        <f t="shared" ref="C169:P169" si="808">C127</f>
        <v>39.935866068181902</v>
      </c>
      <c r="D169" s="39">
        <f t="shared" si="808"/>
        <v>49.875848036915997</v>
      </c>
      <c r="E169" s="39">
        <f t="shared" si="808"/>
        <v>61.730191709663956</v>
      </c>
      <c r="F169" s="39">
        <f t="shared" si="808"/>
        <v>67.373730265829067</v>
      </c>
      <c r="G169" s="39">
        <f t="shared" si="808"/>
        <v>76.546588590950606</v>
      </c>
      <c r="H169" s="39">
        <f t="shared" si="808"/>
        <v>88.952029380335048</v>
      </c>
      <c r="I169" s="39">
        <f t="shared" si="808"/>
        <v>109.97370328253628</v>
      </c>
      <c r="J169" s="39">
        <f t="shared" si="808"/>
        <v>131.43871924319004</v>
      </c>
      <c r="K169" s="39">
        <f t="shared" si="808"/>
        <v>153.40269711809464</v>
      </c>
      <c r="L169" s="39">
        <f t="shared" si="808"/>
        <v>175.45900283720556</v>
      </c>
      <c r="M169" s="39">
        <f t="shared" si="808"/>
        <v>191.67761954002106</v>
      </c>
      <c r="N169" s="39">
        <f t="shared" si="808"/>
        <v>203.09218512687727</v>
      </c>
      <c r="O169" s="39">
        <f t="shared" si="808"/>
        <v>214.57356450758459</v>
      </c>
      <c r="P169" s="39">
        <f t="shared" si="808"/>
        <v>219.18474287334345</v>
      </c>
      <c r="R169" s="36">
        <f>(J169/D169)^(1/6)-1</f>
        <v>0.1752732125519374</v>
      </c>
      <c r="S169" s="36">
        <f>(P169/J169)^(1/6)-1</f>
        <v>8.8966451262967539E-2</v>
      </c>
    </row>
    <row r="170" spans="1:19" x14ac:dyDescent="0.2">
      <c r="A170" s="30" t="s">
        <v>4</v>
      </c>
      <c r="B170" s="41"/>
      <c r="C170" s="13">
        <f>C169/B169-1</f>
        <v>0.27855489525631949</v>
      </c>
      <c r="D170" s="13">
        <f t="shared" ref="D170" si="809">D169/C169-1</f>
        <v>0.24889862039710664</v>
      </c>
      <c r="E170" s="13">
        <f t="shared" ref="E170" si="810">E169/D169-1</f>
        <v>0.23767703486412661</v>
      </c>
      <c r="F170" s="13">
        <f t="shared" ref="F170" si="811">F169/E169-1</f>
        <v>9.1422663689567196E-2</v>
      </c>
      <c r="G170" s="13">
        <f t="shared" ref="G170" si="812">G169/F169-1</f>
        <v>0.13614888605587372</v>
      </c>
      <c r="H170" s="13">
        <f t="shared" ref="H170" si="813">H169/G169-1</f>
        <v>0.16206392757326649</v>
      </c>
      <c r="I170" s="13">
        <f t="shared" ref="I170" si="814">I169/H169-1</f>
        <v>0.23632596185431787</v>
      </c>
      <c r="J170" s="13">
        <f t="shared" ref="J170" si="815">J169/I169-1</f>
        <v>0.1951831694301267</v>
      </c>
      <c r="K170" s="13">
        <f t="shared" ref="K170" si="816">K169/J169-1</f>
        <v>0.1671043205637639</v>
      </c>
      <c r="L170" s="13">
        <f t="shared" ref="L170" si="817">L169/K169-1</f>
        <v>0.14378042976735417</v>
      </c>
      <c r="M170" s="13">
        <f t="shared" ref="M170" si="818">M169/L169-1</f>
        <v>9.2435363478404531E-2</v>
      </c>
      <c r="N170" s="13">
        <f t="shared" ref="N170" si="819">N169/M169-1</f>
        <v>5.9550852176943447E-2</v>
      </c>
      <c r="O170" s="13">
        <f t="shared" ref="O170" si="820">O169/N169-1</f>
        <v>5.6532846763821087E-2</v>
      </c>
      <c r="P170" s="13">
        <f t="shared" ref="P170" si="821">P169/O169-1</f>
        <v>2.1489964881465484E-2</v>
      </c>
      <c r="R170" s="110"/>
      <c r="S170" s="110"/>
    </row>
    <row r="171" spans="1:19" x14ac:dyDescent="0.2">
      <c r="A171" s="22" t="s">
        <v>59</v>
      </c>
      <c r="B171" s="39">
        <f>B139</f>
        <v>91.4645408595986</v>
      </c>
      <c r="C171" s="39">
        <f t="shared" ref="C171:P171" si="822">C139</f>
        <v>99.930674487974386</v>
      </c>
      <c r="D171" s="39">
        <f t="shared" si="822"/>
        <v>107.71817044788003</v>
      </c>
      <c r="E171" s="39">
        <f t="shared" si="822"/>
        <v>120.06954990693258</v>
      </c>
      <c r="F171" s="39">
        <f t="shared" si="822"/>
        <v>130.63762522498175</v>
      </c>
      <c r="G171" s="39">
        <f t="shared" si="822"/>
        <v>143.79660859569881</v>
      </c>
      <c r="H171" s="39">
        <f t="shared" si="822"/>
        <v>161.03904341888932</v>
      </c>
      <c r="I171" s="39">
        <f t="shared" si="822"/>
        <v>199.59872852740122</v>
      </c>
      <c r="J171" s="39">
        <f t="shared" si="822"/>
        <v>231.3934271084851</v>
      </c>
      <c r="K171" s="39">
        <f t="shared" si="822"/>
        <v>280.80070352397519</v>
      </c>
      <c r="L171" s="39">
        <f t="shared" si="822"/>
        <v>324.59227783262247</v>
      </c>
      <c r="M171" s="39">
        <f t="shared" si="822"/>
        <v>362.75970451525427</v>
      </c>
      <c r="N171" s="39">
        <f t="shared" si="822"/>
        <v>409.01413531245311</v>
      </c>
      <c r="O171" s="39">
        <f t="shared" si="822"/>
        <v>459.44792888099391</v>
      </c>
      <c r="P171" s="39">
        <f t="shared" si="822"/>
        <v>512.03659266689397</v>
      </c>
      <c r="R171" s="36">
        <f>(J171/D171)^(1/6)-1</f>
        <v>0.1359093516128862</v>
      </c>
      <c r="S171" s="36">
        <f>(P171/J171)^(1/6)-1</f>
        <v>0.14154139175838409</v>
      </c>
    </row>
    <row r="172" spans="1:19" x14ac:dyDescent="0.2">
      <c r="A172" s="12" t="s">
        <v>4</v>
      </c>
      <c r="B172" s="41"/>
      <c r="C172" s="13">
        <f>C171/B171-1</f>
        <v>9.2561921251773427E-2</v>
      </c>
      <c r="D172" s="13">
        <f t="shared" ref="D172" si="823">D171/C171-1</f>
        <v>7.792898426641548E-2</v>
      </c>
      <c r="E172" s="13">
        <f t="shared" ref="E172" si="824">E171/D171-1</f>
        <v>0.11466384369226579</v>
      </c>
      <c r="F172" s="13">
        <f t="shared" ref="F172" si="825">F171/E171-1</f>
        <v>8.8016281615452163E-2</v>
      </c>
      <c r="G172" s="13">
        <f t="shared" ref="G172" si="826">G171/F171-1</f>
        <v>0.10072889298205556</v>
      </c>
      <c r="H172" s="13">
        <f t="shared" ref="H172" si="827">H171/G171-1</f>
        <v>0.11990849430718953</v>
      </c>
      <c r="I172" s="13">
        <f t="shared" ref="I172" si="828">I171/H171-1</f>
        <v>0.23944308342798437</v>
      </c>
      <c r="J172" s="13">
        <f t="shared" ref="J172" si="829">J171/I171-1</f>
        <v>0.15929309177297224</v>
      </c>
      <c r="K172" s="13">
        <f t="shared" ref="K172" si="830">K171/J171-1</f>
        <v>0.21352065628176331</v>
      </c>
      <c r="L172" s="13">
        <f t="shared" ref="L172" si="831">L171/K171-1</f>
        <v>0.15595250923190185</v>
      </c>
      <c r="M172" s="13">
        <f t="shared" ref="M172" si="832">M171/L171-1</f>
        <v>0.11758575076857802</v>
      </c>
      <c r="N172" s="13">
        <f t="shared" ref="N172" si="833">N171/M171-1</f>
        <v>0.12750708036607139</v>
      </c>
      <c r="O172" s="13">
        <f t="shared" ref="O172" si="834">O171/N171-1</f>
        <v>0.12330574719627618</v>
      </c>
      <c r="P172" s="13">
        <f t="shared" ref="P172" si="835">P171/O171-1</f>
        <v>0.11446055250261344</v>
      </c>
      <c r="R172" s="110"/>
      <c r="S172" s="110"/>
    </row>
    <row r="173" spans="1:19" x14ac:dyDescent="0.2">
      <c r="R173" s="110"/>
      <c r="S173" s="110"/>
    </row>
    <row r="174" spans="1:19" x14ac:dyDescent="0.2">
      <c r="A174" s="21" t="s">
        <v>61</v>
      </c>
      <c r="R174" s="110"/>
      <c r="S174" s="110"/>
    </row>
    <row r="175" spans="1:19" x14ac:dyDescent="0.2">
      <c r="A175" s="5" t="s">
        <v>62</v>
      </c>
      <c r="B175" s="40"/>
      <c r="C175" s="40"/>
      <c r="D175" s="40"/>
      <c r="E175" s="40">
        <v>71.787425546765931</v>
      </c>
      <c r="F175" s="40">
        <v>82.060263903887645</v>
      </c>
      <c r="G175" s="40">
        <v>108.13348075491517</v>
      </c>
      <c r="H175" s="40">
        <v>158.71660585888338</v>
      </c>
      <c r="I175" s="40">
        <v>281.91447149460663</v>
      </c>
      <c r="J175" s="40">
        <v>415.42996289419693</v>
      </c>
      <c r="K175" s="40">
        <v>619.32094757542632</v>
      </c>
      <c r="L175" s="40">
        <v>857.34469583932503</v>
      </c>
      <c r="M175" s="40">
        <v>1117.095696138291</v>
      </c>
      <c r="N175" s="40">
        <v>1478.9734646853638</v>
      </c>
      <c r="O175" s="40">
        <v>1878.8160257635186</v>
      </c>
      <c r="P175" s="40">
        <v>2296.9935145992472</v>
      </c>
      <c r="R175" s="36"/>
      <c r="S175" s="36">
        <f>(P175/J175)^(1/6)-1</f>
        <v>0.32977141188633774</v>
      </c>
    </row>
    <row r="176" spans="1:19" x14ac:dyDescent="0.2">
      <c r="A176" s="7" t="s">
        <v>4</v>
      </c>
      <c r="B176" s="35"/>
      <c r="C176" s="8"/>
      <c r="D176" s="8"/>
      <c r="E176" s="8"/>
      <c r="F176" s="8">
        <f t="shared" ref="F176" si="836">F175/E175-1</f>
        <v>0.14310080461695174</v>
      </c>
      <c r="G176" s="8">
        <f t="shared" ref="G176" si="837">G175/F175-1</f>
        <v>0.31773254935623352</v>
      </c>
      <c r="H176" s="8">
        <f t="shared" ref="H176" si="838">H175/G175-1</f>
        <v>0.46778411969013556</v>
      </c>
      <c r="I176" s="8">
        <f t="shared" ref="I176" si="839">I175/H175-1</f>
        <v>0.77621282895414101</v>
      </c>
      <c r="J176" s="8">
        <f t="shared" ref="J176" si="840">J175/I175-1</f>
        <v>0.47360282958068933</v>
      </c>
      <c r="K176" s="8">
        <f t="shared" ref="K176" si="841">K175/J175-1</f>
        <v>0.49079508675968331</v>
      </c>
      <c r="L176" s="8">
        <f t="shared" ref="L176" si="842">L175/K175-1</f>
        <v>0.38433020745662749</v>
      </c>
      <c r="M176" s="8">
        <f t="shared" ref="M176" si="843">M175/L175-1</f>
        <v>0.30297149041631899</v>
      </c>
      <c r="N176" s="8">
        <f t="shared" ref="N176" si="844">N175/M175-1</f>
        <v>0.32394518195536404</v>
      </c>
      <c r="O176" s="8">
        <f t="shared" ref="O176" si="845">O175/N175-1</f>
        <v>0.27035140969430249</v>
      </c>
      <c r="P176" s="8">
        <f t="shared" ref="P176" si="846">P175/O175-1</f>
        <v>0.22257500633452842</v>
      </c>
      <c r="R176" s="110"/>
      <c r="S176" s="110"/>
    </row>
    <row r="177" spans="1:19" x14ac:dyDescent="0.2">
      <c r="A177" s="21"/>
      <c r="R177" s="110"/>
      <c r="S177" s="110"/>
    </row>
    <row r="178" spans="1:19" x14ac:dyDescent="0.2">
      <c r="A178" s="21" t="s">
        <v>64</v>
      </c>
      <c r="R178" s="110"/>
      <c r="S178" s="110"/>
    </row>
    <row r="179" spans="1:19" x14ac:dyDescent="0.2">
      <c r="A179" s="129" t="s">
        <v>75</v>
      </c>
      <c r="E179" s="15">
        <v>9.9106309024010528</v>
      </c>
      <c r="F179" s="15">
        <v>11.318538409767912</v>
      </c>
      <c r="G179" s="15">
        <v>14.614216373194655</v>
      </c>
      <c r="H179" s="15">
        <v>21.14856109836045</v>
      </c>
      <c r="I179" s="15">
        <v>38.855411623155234</v>
      </c>
      <c r="J179" s="15">
        <v>56.89886437823273</v>
      </c>
      <c r="K179" s="15">
        <v>84.320165690933948</v>
      </c>
      <c r="L179" s="15">
        <v>116.31950767320336</v>
      </c>
      <c r="M179" s="15">
        <v>150.72205735551211</v>
      </c>
      <c r="N179" s="15">
        <v>199.16036860521805</v>
      </c>
      <c r="O179" s="15">
        <v>252.69509241133835</v>
      </c>
      <c r="P179" s="15">
        <v>308.35100069702224</v>
      </c>
      <c r="R179" s="36"/>
      <c r="S179" s="36">
        <f>(P179/J179)^(1/6)-1</f>
        <v>0.32532877491759327</v>
      </c>
    </row>
    <row r="180" spans="1:19" x14ac:dyDescent="0.2">
      <c r="A180" s="12" t="s">
        <v>4</v>
      </c>
      <c r="E180" s="15"/>
      <c r="F180" s="13">
        <f t="shared" ref="F180" si="847">F179/E179-1</f>
        <v>0.14206033109615301</v>
      </c>
      <c r="G180" s="13">
        <f t="shared" ref="G180" si="848">G179/F179-1</f>
        <v>0.2911752245839947</v>
      </c>
      <c r="H180" s="13">
        <f t="shared" ref="H180" si="849">H179/G179-1</f>
        <v>0.44712248390896048</v>
      </c>
      <c r="I180" s="13">
        <f t="shared" ref="I180" si="850">I179/H179-1</f>
        <v>0.83726029598143747</v>
      </c>
      <c r="J180" s="13">
        <f t="shared" ref="J180" si="851">J179/I179-1</f>
        <v>0.46437425319475456</v>
      </c>
      <c r="K180" s="13">
        <f t="shared" ref="K180" si="852">K179/J179-1</f>
        <v>0.48193055542232455</v>
      </c>
      <c r="L180" s="13">
        <f t="shared" ref="L180" si="853">L179/K179-1</f>
        <v>0.37949809182727878</v>
      </c>
      <c r="M180" s="13">
        <f t="shared" ref="M180" si="854">M179/L179-1</f>
        <v>0.2957590723214012</v>
      </c>
      <c r="N180" s="13">
        <f t="shared" ref="N180" si="855">N179/M179-1</f>
        <v>0.32137506679233563</v>
      </c>
      <c r="O180" s="13">
        <f t="shared" ref="O180" si="856">O179/N179-1</f>
        <v>0.26880209240945185</v>
      </c>
      <c r="P180" s="13">
        <f t="shared" ref="P180" si="857">P179/O179-1</f>
        <v>0.22024926465563066</v>
      </c>
      <c r="R180" s="110"/>
      <c r="S180" s="110"/>
    </row>
    <row r="181" spans="1:19" x14ac:dyDescent="0.2">
      <c r="A181" s="129" t="s">
        <v>69</v>
      </c>
      <c r="E181" s="15">
        <v>9.802454231076533</v>
      </c>
      <c r="F181" s="15">
        <v>11.3818608361982</v>
      </c>
      <c r="G181" s="15">
        <v>15.516980552515948</v>
      </c>
      <c r="H181" s="15">
        <v>23.502528699865778</v>
      </c>
      <c r="I181" s="15">
        <v>40.995099941859273</v>
      </c>
      <c r="J181" s="15">
        <v>62.083618790453983</v>
      </c>
      <c r="K181" s="15">
        <v>90.168671712368578</v>
      </c>
      <c r="L181" s="15">
        <v>124.34486427517885</v>
      </c>
      <c r="M181" s="15">
        <v>165.76641019563431</v>
      </c>
      <c r="N181" s="15">
        <v>219.91835630451425</v>
      </c>
      <c r="O181" s="15">
        <v>280.90266254092455</v>
      </c>
      <c r="P181" s="15">
        <v>343.98574203217254</v>
      </c>
      <c r="R181" s="36"/>
      <c r="S181" s="36">
        <f>(P181/J181)^(1/6)-1</f>
        <v>0.33023152637439579</v>
      </c>
    </row>
    <row r="182" spans="1:19" x14ac:dyDescent="0.2">
      <c r="A182" s="12" t="s">
        <v>4</v>
      </c>
      <c r="E182" s="15"/>
      <c r="F182" s="13">
        <f t="shared" ref="F182" si="858">F181/E181-1</f>
        <v>0.16112358883701838</v>
      </c>
      <c r="G182" s="13">
        <f t="shared" ref="G182" si="859">G181/F181-1</f>
        <v>0.36330787872284076</v>
      </c>
      <c r="H182" s="13">
        <f t="shared" ref="H182" si="860">H181/G181-1</f>
        <v>0.51463286432069677</v>
      </c>
      <c r="I182" s="13">
        <f t="shared" ref="I182" si="861">I181/H181-1</f>
        <v>0.74428464551107631</v>
      </c>
      <c r="J182" s="13">
        <f t="shared" ref="J182" si="862">J181/I181-1</f>
        <v>0.51441559792519609</v>
      </c>
      <c r="K182" s="13">
        <f t="shared" ref="K182" si="863">K181/J181-1</f>
        <v>0.45237461135614354</v>
      </c>
      <c r="L182" s="13">
        <f t="shared" ref="L182" si="864">L181/K181-1</f>
        <v>0.37902513050020081</v>
      </c>
      <c r="M182" s="13">
        <f t="shared" ref="M182" si="865">M181/L181-1</f>
        <v>0.33311826879145046</v>
      </c>
      <c r="N182" s="13">
        <f t="shared" ref="N182" si="866">N181/M181-1</f>
        <v>0.32667623099861332</v>
      </c>
      <c r="O182" s="13">
        <f t="shared" ref="O182" si="867">O181/N181-1</f>
        <v>0.27730430174717746</v>
      </c>
      <c r="P182" s="13">
        <f t="shared" ref="P182" si="868">P181/O181-1</f>
        <v>0.22457273605250161</v>
      </c>
      <c r="R182" s="110"/>
      <c r="S182" s="110"/>
    </row>
    <row r="183" spans="1:19" x14ac:dyDescent="0.2">
      <c r="A183" s="129" t="s">
        <v>72</v>
      </c>
      <c r="E183" s="15">
        <v>7.1084558965423783</v>
      </c>
      <c r="F183" s="15">
        <v>8.5461411386265471</v>
      </c>
      <c r="G183" s="15">
        <v>12.369050847607632</v>
      </c>
      <c r="H183" s="15">
        <v>17.199874081347264</v>
      </c>
      <c r="I183" s="15">
        <v>29.161907838458884</v>
      </c>
      <c r="J183" s="15">
        <v>43.934102267425601</v>
      </c>
      <c r="K183" s="15">
        <v>66.122641022682785</v>
      </c>
      <c r="L183" s="15">
        <v>93.274261501447597</v>
      </c>
      <c r="M183" s="15">
        <v>125.52339781121069</v>
      </c>
      <c r="N183" s="15">
        <v>167.92458243438247</v>
      </c>
      <c r="O183" s="15">
        <v>214.96810570269344</v>
      </c>
      <c r="P183" s="15">
        <v>266.36223707596235</v>
      </c>
      <c r="R183" s="36"/>
      <c r="S183" s="36">
        <f>(P183/J183)^(1/6)-1</f>
        <v>0.35034627117422179</v>
      </c>
    </row>
    <row r="184" spans="1:19" x14ac:dyDescent="0.2">
      <c r="A184" s="12" t="s">
        <v>4</v>
      </c>
      <c r="E184" s="15"/>
      <c r="F184" s="13">
        <f t="shared" ref="F184" si="869">F183/E183-1</f>
        <v>0.20225000520626035</v>
      </c>
      <c r="G184" s="13">
        <f t="shared" ref="G184" si="870">G183/F183-1</f>
        <v>0.44732583360956113</v>
      </c>
      <c r="H184" s="13">
        <f t="shared" ref="H184" si="871">H183/G183-1</f>
        <v>0.39055731060188736</v>
      </c>
      <c r="I184" s="13">
        <f t="shared" ref="I184" si="872">I183/H183-1</f>
        <v>0.69547217035060038</v>
      </c>
      <c r="J184" s="13">
        <f t="shared" ref="J184" si="873">J183/I183-1</f>
        <v>0.50655788746047214</v>
      </c>
      <c r="K184" s="13">
        <f t="shared" ref="K184" si="874">K183/J183-1</f>
        <v>0.50504135990297905</v>
      </c>
      <c r="L184" s="13">
        <f t="shared" ref="L184" si="875">L183/K183-1</f>
        <v>0.4106251664910161</v>
      </c>
      <c r="M184" s="13">
        <f t="shared" ref="M184" si="876">M183/L183-1</f>
        <v>0.34574528697032458</v>
      </c>
      <c r="N184" s="13">
        <f t="shared" ref="N184" si="877">N183/M183-1</f>
        <v>0.33779506739407972</v>
      </c>
      <c r="O184" s="13">
        <f t="shared" ref="O184" si="878">O183/N183-1</f>
        <v>0.28014673364868115</v>
      </c>
      <c r="P184" s="13">
        <f t="shared" ref="P184" si="879">P183/O183-1</f>
        <v>0.23907793765624175</v>
      </c>
      <c r="R184" s="110"/>
      <c r="S184" s="110"/>
    </row>
    <row r="185" spans="1:19" x14ac:dyDescent="0.2">
      <c r="A185" s="129" t="s">
        <v>74</v>
      </c>
      <c r="E185" s="15">
        <v>7.8248952653626</v>
      </c>
      <c r="F185" s="15">
        <v>8.9653718158011735</v>
      </c>
      <c r="G185" s="15">
        <v>12.36701032457759</v>
      </c>
      <c r="H185" s="15">
        <v>17.953370956230927</v>
      </c>
      <c r="I185" s="15">
        <v>35.01794184924583</v>
      </c>
      <c r="J185" s="15">
        <v>50.169862865659894</v>
      </c>
      <c r="K185" s="15">
        <v>80.306993497325337</v>
      </c>
      <c r="L185" s="15">
        <v>112.93403950089666</v>
      </c>
      <c r="M185" s="15">
        <v>142.49970905732241</v>
      </c>
      <c r="N185" s="15">
        <v>188.846638113816</v>
      </c>
      <c r="O185" s="15">
        <v>240.33508081730054</v>
      </c>
      <c r="P185" s="15">
        <v>293.91528152684549</v>
      </c>
      <c r="R185" s="36"/>
      <c r="S185" s="36">
        <f>(P185/J185)^(1/6)-1</f>
        <v>0.34265121389590258</v>
      </c>
    </row>
    <row r="186" spans="1:19" x14ac:dyDescent="0.2">
      <c r="A186" s="12" t="s">
        <v>4</v>
      </c>
      <c r="E186" s="15"/>
      <c r="F186" s="13">
        <f t="shared" ref="F186" si="880">F185/E185-1</f>
        <v>0.14574975277777402</v>
      </c>
      <c r="G186" s="13">
        <f t="shared" ref="G186" si="881">G185/F185-1</f>
        <v>0.37941968037300366</v>
      </c>
      <c r="H186" s="13">
        <f t="shared" ref="H186" si="882">H185/G185-1</f>
        <v>0.45171472207403895</v>
      </c>
      <c r="I186" s="13">
        <f t="shared" ref="I186" si="883">I185/H185-1</f>
        <v>0.95049397322748708</v>
      </c>
      <c r="J186" s="13">
        <f t="shared" ref="J186" si="884">J185/I185-1</f>
        <v>0.43269022153397585</v>
      </c>
      <c r="K186" s="13">
        <f t="shared" ref="K186" si="885">K185/J185-1</f>
        <v>0.6007018737994918</v>
      </c>
      <c r="L186" s="13">
        <f t="shared" ref="L186" si="886">L185/K185-1</f>
        <v>0.40627901235846897</v>
      </c>
      <c r="M186" s="13">
        <f t="shared" ref="M186" si="887">M185/L185-1</f>
        <v>0.26179590925011587</v>
      </c>
      <c r="N186" s="13">
        <f t="shared" ref="N186" si="888">N185/M185-1</f>
        <v>0.32524227146211171</v>
      </c>
      <c r="O186" s="13">
        <f t="shared" ref="O186" si="889">O185/N185-1</f>
        <v>0.27264685894197904</v>
      </c>
      <c r="P186" s="13">
        <f t="shared" ref="P186" si="890">P185/O185-1</f>
        <v>0.22293957472765236</v>
      </c>
      <c r="R186" s="110"/>
      <c r="S186" s="110"/>
    </row>
    <row r="187" spans="1:19" x14ac:dyDescent="0.2">
      <c r="A187" s="129" t="s">
        <v>66</v>
      </c>
      <c r="E187" s="15">
        <v>7.3861349255068056</v>
      </c>
      <c r="F187" s="15">
        <v>8.102022645076751</v>
      </c>
      <c r="G187" s="15">
        <v>9.5955369811653242</v>
      </c>
      <c r="H187" s="15">
        <v>13.892092424731352</v>
      </c>
      <c r="I187" s="15">
        <v>25.582569426467039</v>
      </c>
      <c r="J187" s="15">
        <v>37.462863843372816</v>
      </c>
      <c r="K187" s="15">
        <v>54.854833237323419</v>
      </c>
      <c r="L187" s="15">
        <v>75.046369950569215</v>
      </c>
      <c r="M187" s="15">
        <v>98.677653131367308</v>
      </c>
      <c r="N187" s="15">
        <v>130.59570007523223</v>
      </c>
      <c r="O187" s="15">
        <v>164.34537044284187</v>
      </c>
      <c r="P187" s="15">
        <v>200.78939190763421</v>
      </c>
      <c r="R187" s="36"/>
      <c r="S187" s="36">
        <f>(P187/J187)^(1/6)-1</f>
        <v>0.32288867460497883</v>
      </c>
    </row>
    <row r="188" spans="1:19" x14ac:dyDescent="0.2">
      <c r="A188" s="12" t="s">
        <v>4</v>
      </c>
      <c r="E188" s="15"/>
      <c r="F188" s="13">
        <f t="shared" ref="F188" si="891">F187/E187-1</f>
        <v>9.6923184695387077E-2</v>
      </c>
      <c r="G188" s="13">
        <f t="shared" ref="G188" si="892">G187/F187-1</f>
        <v>0.18433845491608403</v>
      </c>
      <c r="H188" s="13">
        <f t="shared" ref="H188" si="893">H187/G187-1</f>
        <v>0.447766024142219</v>
      </c>
      <c r="I188" s="13">
        <f t="shared" ref="I188" si="894">I187/H187-1</f>
        <v>0.84152024362606115</v>
      </c>
      <c r="J188" s="13">
        <f t="shared" ref="J188" si="895">J187/I187-1</f>
        <v>0.46439019548266103</v>
      </c>
      <c r="K188" s="13">
        <f t="shared" ref="K188" si="896">K187/J187-1</f>
        <v>0.46424559175892388</v>
      </c>
      <c r="L188" s="13">
        <f t="shared" ref="L188" si="897">L187/K187-1</f>
        <v>0.36809038550694928</v>
      </c>
      <c r="M188" s="13">
        <f t="shared" ref="M188" si="898">M187/L187-1</f>
        <v>0.3148890905231434</v>
      </c>
      <c r="N188" s="13">
        <f t="shared" ref="N188" si="899">N187/M187-1</f>
        <v>0.32345770223551185</v>
      </c>
      <c r="O188" s="13">
        <f t="shared" ref="O188" si="900">O187/N187-1</f>
        <v>0.25842864924471076</v>
      </c>
      <c r="P188" s="13">
        <f t="shared" ref="P188" si="901">P187/O187-1</f>
        <v>0.2217526503277274</v>
      </c>
      <c r="R188" s="110"/>
      <c r="S188" s="110"/>
    </row>
    <row r="189" spans="1:19" x14ac:dyDescent="0.2">
      <c r="A189" s="129" t="s">
        <v>67</v>
      </c>
      <c r="E189" s="15">
        <v>6.9356829326972465</v>
      </c>
      <c r="F189" s="15">
        <v>8.1400765245505102</v>
      </c>
      <c r="G189" s="15">
        <v>10.88681685910284</v>
      </c>
      <c r="H189" s="15">
        <v>16.652501153278731</v>
      </c>
      <c r="I189" s="15">
        <v>28.141560367975625</v>
      </c>
      <c r="J189" s="15">
        <v>41.294159177944671</v>
      </c>
      <c r="K189" s="15">
        <v>59.830956025827973</v>
      </c>
      <c r="L189" s="15">
        <v>82.035124689425444</v>
      </c>
      <c r="M189" s="15">
        <v>105.79952450675862</v>
      </c>
      <c r="N189" s="15">
        <v>138.28211564357034</v>
      </c>
      <c r="O189" s="15">
        <v>175.02008831317943</v>
      </c>
      <c r="P189" s="15">
        <v>212.91033712274645</v>
      </c>
      <c r="R189" s="36"/>
      <c r="S189" s="36">
        <f>(P189/J189)^(1/6)-1</f>
        <v>0.3143711563474676</v>
      </c>
    </row>
    <row r="190" spans="1:19" x14ac:dyDescent="0.2">
      <c r="A190" s="12" t="s">
        <v>4</v>
      </c>
      <c r="E190" s="15"/>
      <c r="F190" s="13">
        <f t="shared" ref="F190" si="902">F189/E189-1</f>
        <v>0.17365176631349866</v>
      </c>
      <c r="G190" s="13">
        <f t="shared" ref="G190" si="903">G189/F189-1</f>
        <v>0.33743421530106588</v>
      </c>
      <c r="H190" s="13">
        <f t="shared" ref="H190" si="904">H189/G189-1</f>
        <v>0.52960239607181459</v>
      </c>
      <c r="I190" s="13">
        <f t="shared" ref="I190" si="905">I189/H189-1</f>
        <v>0.68992994559467724</v>
      </c>
      <c r="J190" s="13">
        <f t="shared" ref="J190" si="906">J189/I189-1</f>
        <v>0.46737276249032611</v>
      </c>
      <c r="K190" s="13">
        <f t="shared" ref="K190" si="907">K189/J189-1</f>
        <v>0.44889633829337927</v>
      </c>
      <c r="L190" s="13">
        <f t="shared" ref="L190" si="908">L189/K189-1</f>
        <v>0.37111505712882686</v>
      </c>
      <c r="M190" s="13">
        <f t="shared" ref="M190" si="909">M189/L189-1</f>
        <v>0.28968566705179244</v>
      </c>
      <c r="N190" s="13">
        <f t="shared" ref="N190" si="910">N189/M189-1</f>
        <v>0.30702019964878668</v>
      </c>
      <c r="O190" s="13">
        <f t="shared" ref="O190" si="911">O189/N189-1</f>
        <v>0.26567407143453914</v>
      </c>
      <c r="P190" s="13">
        <f t="shared" ref="P190" si="912">P189/O189-1</f>
        <v>0.21649085641967303</v>
      </c>
      <c r="R190" s="110"/>
      <c r="S190" s="110"/>
    </row>
    <row r="191" spans="1:19" x14ac:dyDescent="0.2">
      <c r="A191" s="129" t="s">
        <v>70</v>
      </c>
      <c r="E191" s="15">
        <v>4.2370222042400449</v>
      </c>
      <c r="F191" s="15">
        <v>4.9064470730092493</v>
      </c>
      <c r="G191" s="15">
        <v>6.3027686440557176</v>
      </c>
      <c r="H191" s="15">
        <v>9.9550602299969526</v>
      </c>
      <c r="I191" s="15">
        <v>17.233813583562398</v>
      </c>
      <c r="J191" s="15">
        <v>25.722263530425284</v>
      </c>
      <c r="K191" s="15">
        <v>37.5315678154465</v>
      </c>
      <c r="L191" s="15">
        <v>51.301661202205146</v>
      </c>
      <c r="M191" s="15">
        <v>65.250206193867271</v>
      </c>
      <c r="N191" s="15">
        <v>84.15237583300889</v>
      </c>
      <c r="O191" s="15">
        <v>105.59506700399602</v>
      </c>
      <c r="P191" s="15">
        <v>128.04908093755745</v>
      </c>
      <c r="R191" s="36"/>
      <c r="S191" s="36">
        <f>(P191/J191)^(1/6)-1</f>
        <v>0.30670598536331228</v>
      </c>
    </row>
    <row r="192" spans="1:19" x14ac:dyDescent="0.2">
      <c r="A192" s="12" t="s">
        <v>4</v>
      </c>
      <c r="E192" s="15"/>
      <c r="F192" s="13">
        <f t="shared" ref="F192" si="913">F191/E191-1</f>
        <v>0.15799418471286319</v>
      </c>
      <c r="G192" s="13">
        <f t="shared" ref="G192" si="914">G191/F191-1</f>
        <v>0.28458914368560961</v>
      </c>
      <c r="H192" s="13">
        <f t="shared" ref="H192" si="915">H191/G191-1</f>
        <v>0.57947416321330358</v>
      </c>
      <c r="I192" s="13">
        <f t="shared" ref="I192" si="916">I191/H191-1</f>
        <v>0.73116115677862381</v>
      </c>
      <c r="J192" s="13">
        <f t="shared" ref="J192" si="917">J191/I191-1</f>
        <v>0.49254623219083471</v>
      </c>
      <c r="K192" s="13">
        <f t="shared" ref="K192" si="918">K191/J191-1</f>
        <v>0.45910828458205932</v>
      </c>
      <c r="L192" s="13">
        <f t="shared" ref="L192" si="919">L191/K191-1</f>
        <v>0.36689363616436577</v>
      </c>
      <c r="M192" s="13">
        <f t="shared" ref="M192" si="920">M191/L191-1</f>
        <v>0.27189265736803403</v>
      </c>
      <c r="N192" s="13">
        <f t="shared" ref="N192" si="921">N191/M191-1</f>
        <v>0.28968750815868227</v>
      </c>
      <c r="O192" s="13">
        <f t="shared" ref="O192" si="922">O191/N191-1</f>
        <v>0.25480791194223418</v>
      </c>
      <c r="P192" s="13">
        <f t="shared" ref="P192" si="923">P191/O191-1</f>
        <v>0.21264264108769115</v>
      </c>
      <c r="R192" s="110"/>
      <c r="S192" s="110"/>
    </row>
    <row r="193" spans="1:19" x14ac:dyDescent="0.2">
      <c r="A193" s="129" t="s">
        <v>68</v>
      </c>
      <c r="E193" s="15">
        <v>3.2630308350137924</v>
      </c>
      <c r="F193" s="15">
        <v>3.7775493913895191</v>
      </c>
      <c r="G193" s="15">
        <v>4.6184026743772417</v>
      </c>
      <c r="H193" s="15">
        <v>6.7582216261050023</v>
      </c>
      <c r="I193" s="15">
        <v>12.283600360736092</v>
      </c>
      <c r="J193" s="15">
        <v>17.439400327326233</v>
      </c>
      <c r="K193" s="15">
        <v>26.385512812023997</v>
      </c>
      <c r="L193" s="15">
        <v>36.610733242320308</v>
      </c>
      <c r="M193" s="15">
        <v>46.620714433468883</v>
      </c>
      <c r="N193" s="15">
        <v>61.321518738539339</v>
      </c>
      <c r="O193" s="15">
        <v>77.490160801034747</v>
      </c>
      <c r="P193" s="15">
        <v>94.468072202273305</v>
      </c>
      <c r="R193" s="36"/>
      <c r="S193" s="36">
        <f>(P193/J193)^(1/6)-1</f>
        <v>0.32523302781201746</v>
      </c>
    </row>
    <row r="194" spans="1:19" x14ac:dyDescent="0.2">
      <c r="A194" s="12" t="s">
        <v>4</v>
      </c>
      <c r="E194" s="15"/>
      <c r="F194" s="13">
        <f t="shared" ref="F194" si="924">F193/E193-1</f>
        <v>0.15768118120573993</v>
      </c>
      <c r="G194" s="13">
        <f t="shared" ref="G194" si="925">G193/F193-1</f>
        <v>0.22259226706720203</v>
      </c>
      <c r="H194" s="13">
        <f t="shared" ref="H194" si="926">H193/G193-1</f>
        <v>0.46332446575076958</v>
      </c>
      <c r="I194" s="13">
        <f t="shared" ref="I194" si="927">I193/H193-1</f>
        <v>0.81757880109882652</v>
      </c>
      <c r="J194" s="13">
        <f t="shared" ref="J194" si="928">J193/I193-1</f>
        <v>0.41973035715736851</v>
      </c>
      <c r="K194" s="13">
        <f t="shared" ref="K194" si="929">K193/J193-1</f>
        <v>0.51298280426993093</v>
      </c>
      <c r="L194" s="13">
        <f t="shared" ref="L194" si="930">L193/K193-1</f>
        <v>0.38753161642689893</v>
      </c>
      <c r="M194" s="13">
        <f t="shared" ref="M194" si="931">M193/L193-1</f>
        <v>0.27341657226295335</v>
      </c>
      <c r="N194" s="13">
        <f t="shared" ref="N194" si="932">N193/M193-1</f>
        <v>0.31532773540074266</v>
      </c>
      <c r="O194" s="13">
        <f t="shared" ref="O194" si="933">O193/N193-1</f>
        <v>0.26366995461144271</v>
      </c>
      <c r="P194" s="13">
        <f t="shared" ref="P194" si="934">P193/O193-1</f>
        <v>0.21909764060022252</v>
      </c>
      <c r="R194" s="110"/>
      <c r="S194" s="110"/>
    </row>
    <row r="195" spans="1:19" x14ac:dyDescent="0.2">
      <c r="A195" s="129" t="s">
        <v>73</v>
      </c>
      <c r="E195" s="15">
        <v>5.0713850315703004</v>
      </c>
      <c r="F195" s="15">
        <v>5.7258810315949606</v>
      </c>
      <c r="G195" s="15">
        <v>7.6141284246768981</v>
      </c>
      <c r="H195" s="15">
        <v>10.165142033866672</v>
      </c>
      <c r="I195" s="15">
        <v>16.627008207673789</v>
      </c>
      <c r="J195" s="15">
        <v>24.604281210973323</v>
      </c>
      <c r="K195" s="15">
        <v>34.36286702126754</v>
      </c>
      <c r="L195" s="15">
        <v>46.318904712780068</v>
      </c>
      <c r="M195" s="15">
        <v>59.516068888217703</v>
      </c>
      <c r="N195" s="15">
        <v>76.166457800646825</v>
      </c>
      <c r="O195" s="15">
        <v>93.19483138975157</v>
      </c>
      <c r="P195" s="15">
        <v>110.47045675252207</v>
      </c>
      <c r="R195" s="36"/>
      <c r="S195" s="36">
        <f>(P195/J195)^(1/6)-1</f>
        <v>0.28441660426176885</v>
      </c>
    </row>
    <row r="196" spans="1:19" x14ac:dyDescent="0.2">
      <c r="A196" s="12" t="s">
        <v>4</v>
      </c>
      <c r="E196" s="15"/>
      <c r="F196" s="13">
        <f t="shared" ref="F196" si="935">F195/E195-1</f>
        <v>0.12905665729387583</v>
      </c>
      <c r="G196" s="13">
        <f t="shared" ref="G196" si="936">G195/F195-1</f>
        <v>0.3297741225608315</v>
      </c>
      <c r="H196" s="13">
        <f t="shared" ref="H196" si="937">H195/G195-1</f>
        <v>0.33503685082616985</v>
      </c>
      <c r="I196" s="13">
        <f t="shared" ref="I196" si="938">I195/H195-1</f>
        <v>0.63568872449380986</v>
      </c>
      <c r="J196" s="13">
        <f t="shared" ref="J196" si="939">J195/I195-1</f>
        <v>0.47977801560342148</v>
      </c>
      <c r="K196" s="13">
        <f t="shared" ref="K196" si="940">K195/J195-1</f>
        <v>0.39662145488493117</v>
      </c>
      <c r="L196" s="13">
        <f t="shared" ref="L196" si="941">L195/K195-1</f>
        <v>0.34793481242740332</v>
      </c>
      <c r="M196" s="13">
        <f t="shared" ref="M196" si="942">M195/L195-1</f>
        <v>0.28491960803633476</v>
      </c>
      <c r="N196" s="13">
        <f t="shared" ref="N196" si="943">N195/M195-1</f>
        <v>0.27976291484744498</v>
      </c>
      <c r="O196" s="13">
        <f t="shared" ref="O196" si="944">O195/N195-1</f>
        <v>0.22356788120137749</v>
      </c>
      <c r="P196" s="13">
        <f t="shared" ref="P196" si="945">P195/O195-1</f>
        <v>0.1853710673129696</v>
      </c>
      <c r="R196" s="110"/>
      <c r="S196" s="110"/>
    </row>
    <row r="197" spans="1:19" x14ac:dyDescent="0.2">
      <c r="A197" s="129" t="s">
        <v>65</v>
      </c>
      <c r="E197" s="15">
        <v>1.8041347138203812</v>
      </c>
      <c r="F197" s="15">
        <v>1.9258751747054901</v>
      </c>
      <c r="G197" s="15">
        <v>2.5454326364101485</v>
      </c>
      <c r="H197" s="15">
        <v>3.767053921298614</v>
      </c>
      <c r="I197" s="15">
        <v>6.920143077261705</v>
      </c>
      <c r="J197" s="15">
        <v>10.518522442387813</v>
      </c>
      <c r="K197" s="15">
        <v>18.761767706341566</v>
      </c>
      <c r="L197" s="15">
        <v>27.249294529239421</v>
      </c>
      <c r="M197" s="15">
        <v>37.333165909269589</v>
      </c>
      <c r="N197" s="15">
        <v>54.781139822732285</v>
      </c>
      <c r="O197" s="15">
        <v>73.662431693444049</v>
      </c>
      <c r="P197" s="15">
        <v>92.473690978682455</v>
      </c>
      <c r="R197" s="36"/>
      <c r="S197" s="36">
        <f>(P197/J197)^(1/6)-1</f>
        <v>0.43662661878261089</v>
      </c>
    </row>
    <row r="198" spans="1:19" x14ac:dyDescent="0.2">
      <c r="A198" s="12" t="s">
        <v>4</v>
      </c>
      <c r="E198" s="15"/>
      <c r="F198" s="13">
        <f t="shared" ref="F198" si="946">F197/E197-1</f>
        <v>6.7478586799826656E-2</v>
      </c>
      <c r="G198" s="13">
        <f t="shared" ref="G198" si="947">G197/F197-1</f>
        <v>0.32170177477852513</v>
      </c>
      <c r="H198" s="13">
        <f t="shared" ref="H198" si="948">H197/G197-1</f>
        <v>0.47992677842432774</v>
      </c>
      <c r="I198" s="13">
        <f t="shared" ref="I198" si="949">I197/H197-1</f>
        <v>0.83701726119071007</v>
      </c>
      <c r="J198" s="13">
        <f t="shared" ref="J198" si="950">J197/I197-1</f>
        <v>0.5199862668952191</v>
      </c>
      <c r="K198" s="13">
        <f t="shared" ref="K198" si="951">K197/J197-1</f>
        <v>0.7836885179552322</v>
      </c>
      <c r="L198" s="13">
        <f t="shared" ref="L198" si="952">L197/K197-1</f>
        <v>0.45238417593396774</v>
      </c>
      <c r="M198" s="13">
        <f t="shared" ref="M198" si="953">M197/L197-1</f>
        <v>0.37005990629261354</v>
      </c>
      <c r="N198" s="13">
        <f t="shared" ref="N198" si="954">N197/M197-1</f>
        <v>0.46735854001416133</v>
      </c>
      <c r="O198" s="13">
        <f t="shared" ref="O198" si="955">O197/N197-1</f>
        <v>0.34466774389525723</v>
      </c>
      <c r="P198" s="13">
        <f t="shared" ref="P198" si="956">P197/O197-1</f>
        <v>0.25537114174459985</v>
      </c>
      <c r="R198" s="110"/>
      <c r="S198" s="110"/>
    </row>
    <row r="199" spans="1:19" x14ac:dyDescent="0.2">
      <c r="A199" s="129" t="s">
        <v>71</v>
      </c>
      <c r="E199" s="15">
        <v>0.32743339608510263</v>
      </c>
      <c r="F199" s="15">
        <v>0.38331905136996347</v>
      </c>
      <c r="G199" s="15">
        <v>0.52492696233960257</v>
      </c>
      <c r="H199" s="15">
        <v>0.82275307118848195</v>
      </c>
      <c r="I199" s="15">
        <v>1.6336692134237114</v>
      </c>
      <c r="J199" s="15">
        <v>2.5102227940656445</v>
      </c>
      <c r="K199" s="15">
        <v>3.9266244343681875</v>
      </c>
      <c r="L199" s="15">
        <v>5.6306803242107586</v>
      </c>
      <c r="M199" s="15">
        <v>7.6050445676808405</v>
      </c>
      <c r="N199" s="15">
        <v>10.404543613652365</v>
      </c>
      <c r="O199" s="15">
        <v>13.595230213154316</v>
      </c>
      <c r="P199" s="15">
        <v>16.834326173569664</v>
      </c>
      <c r="R199" s="36"/>
      <c r="S199" s="36">
        <f>(P199/J199)^(1/6)-1</f>
        <v>0.37324252845499495</v>
      </c>
    </row>
    <row r="200" spans="1:19" x14ac:dyDescent="0.2">
      <c r="A200" s="12" t="s">
        <v>4</v>
      </c>
      <c r="E200" s="15"/>
      <c r="F200" s="13">
        <f t="shared" ref="F200" si="957">F199/E199-1</f>
        <v>0.17067793314013602</v>
      </c>
      <c r="G200" s="13">
        <f t="shared" ref="G200" si="958">G199/F199-1</f>
        <v>0.36942570546269327</v>
      </c>
      <c r="H200" s="13">
        <f t="shared" ref="H200" si="959">H199/G199-1</f>
        <v>0.56736675807519332</v>
      </c>
      <c r="I200" s="13">
        <f t="shared" ref="I200" si="960">I199/H199-1</f>
        <v>0.98561302367895887</v>
      </c>
      <c r="J200" s="13">
        <f t="shared" ref="J200" si="961">J199/I199-1</f>
        <v>0.53655511987333293</v>
      </c>
      <c r="K200" s="13">
        <f t="shared" ref="K200" si="962">K199/J199-1</f>
        <v>0.56425335777008434</v>
      </c>
      <c r="L200" s="13">
        <f t="shared" ref="L200" si="963">L199/K199-1</f>
        <v>0.43397475830070364</v>
      </c>
      <c r="M200" s="13">
        <f t="shared" ref="M200" si="964">M199/L199-1</f>
        <v>0.35064399500371657</v>
      </c>
      <c r="N200" s="13">
        <f t="shared" ref="N200" si="965">N199/M199-1</f>
        <v>0.36811080080563308</v>
      </c>
      <c r="O200" s="13">
        <f t="shared" ref="O200" si="966">O199/N199-1</f>
        <v>0.30666281174652177</v>
      </c>
      <c r="P200" s="13">
        <f t="shared" ref="P200" si="967">P199/O199-1</f>
        <v>0.23825238040333452</v>
      </c>
      <c r="R200" s="110"/>
      <c r="S200" s="110"/>
    </row>
    <row r="201" spans="1:19" x14ac:dyDescent="0.2">
      <c r="A201" s="129" t="s">
        <v>80</v>
      </c>
      <c r="E201" s="15">
        <v>1.320325965565379</v>
      </c>
      <c r="F201" s="15">
        <v>1.4911620279491649</v>
      </c>
      <c r="G201" s="15">
        <v>1.8039900198543994</v>
      </c>
      <c r="H201" s="15">
        <v>2.5075437956429405</v>
      </c>
      <c r="I201" s="15">
        <v>4.1939577371780805</v>
      </c>
      <c r="J201" s="15">
        <v>6.0720970127390519</v>
      </c>
      <c r="K201" s="15">
        <v>8.2779483329270498</v>
      </c>
      <c r="L201" s="15">
        <v>11.187854656745399</v>
      </c>
      <c r="M201" s="15">
        <v>14.452747272248137</v>
      </c>
      <c r="N201" s="15">
        <v>18.570215350894941</v>
      </c>
      <c r="O201" s="15">
        <v>23.199991921721519</v>
      </c>
      <c r="P201" s="15">
        <v>28.069067567846499</v>
      </c>
      <c r="R201" s="36"/>
      <c r="S201" s="36">
        <f>(P201/J201)^(1/6)-1</f>
        <v>0.29066900497192782</v>
      </c>
    </row>
    <row r="202" spans="1:19" x14ac:dyDescent="0.2">
      <c r="A202" s="12" t="s">
        <v>4</v>
      </c>
      <c r="E202" s="15"/>
      <c r="F202" s="13">
        <f t="shared" ref="F202" si="968">F201/E201-1</f>
        <v>0.12938930751894429</v>
      </c>
      <c r="G202" s="13">
        <f t="shared" ref="G202" si="969">G201/F201-1</f>
        <v>0.20978806195559807</v>
      </c>
      <c r="H202" s="13">
        <f t="shared" ref="H202" si="970">H201/G201-1</f>
        <v>0.38999870733504682</v>
      </c>
      <c r="I202" s="13">
        <f t="shared" ref="I202" si="971">I201/H201-1</f>
        <v>0.6725361863930035</v>
      </c>
      <c r="J202" s="13">
        <f t="shared" ref="J202" si="972">J201/I201-1</f>
        <v>0.44782026745569548</v>
      </c>
      <c r="K202" s="13">
        <f t="shared" ref="K202" si="973">K201/J201-1</f>
        <v>0.36327669264180029</v>
      </c>
      <c r="L202" s="13">
        <f t="shared" ref="L202" si="974">L201/K201-1</f>
        <v>0.35152506476075307</v>
      </c>
      <c r="M202" s="13">
        <f t="shared" ref="M202" si="975">M201/L201-1</f>
        <v>0.29182472562192818</v>
      </c>
      <c r="N202" s="13">
        <f t="shared" ref="N202" si="976">N201/M201-1</f>
        <v>0.28489172342708025</v>
      </c>
      <c r="O202" s="13">
        <f t="shared" ref="O202" si="977">O201/N201-1</f>
        <v>0.24931194837239512</v>
      </c>
      <c r="P202" s="13">
        <f t="shared" ref="P202" si="978">P201/O201-1</f>
        <v>0.20987402334249072</v>
      </c>
      <c r="R202" s="110"/>
      <c r="S202" s="110"/>
    </row>
    <row r="203" spans="1:19" x14ac:dyDescent="0.2">
      <c r="A203" s="129" t="s">
        <v>76</v>
      </c>
      <c r="E203" s="15">
        <v>6.7958392468843343</v>
      </c>
      <c r="F203" s="15">
        <v>7.3960187838481906</v>
      </c>
      <c r="G203" s="15">
        <v>9.3742194550371636</v>
      </c>
      <c r="H203" s="15">
        <v>14.391902766970247</v>
      </c>
      <c r="I203" s="15">
        <v>25.267788267608932</v>
      </c>
      <c r="J203" s="15">
        <v>36.719704253189938</v>
      </c>
      <c r="K203" s="15">
        <v>54.470398266589491</v>
      </c>
      <c r="L203" s="15">
        <v>75.091399581102891</v>
      </c>
      <c r="M203" s="15">
        <v>97.328996815733333</v>
      </c>
      <c r="N203" s="15">
        <v>128.84945234915583</v>
      </c>
      <c r="O203" s="15">
        <v>163.81191251213835</v>
      </c>
      <c r="P203" s="15">
        <v>200.31482962441245</v>
      </c>
      <c r="R203" s="110"/>
      <c r="S203" s="110"/>
    </row>
    <row r="204" spans="1:19" x14ac:dyDescent="0.2">
      <c r="A204" s="12" t="s">
        <v>4</v>
      </c>
      <c r="E204" s="15"/>
      <c r="F204" s="13">
        <f t="shared" ref="F204" si="979">F203/E203-1</f>
        <v>8.8315734843053884E-2</v>
      </c>
      <c r="G204" s="13">
        <f t="shared" ref="G204" si="980">G203/F203-1</f>
        <v>0.26746831356203016</v>
      </c>
      <c r="H204" s="13">
        <f t="shared" ref="H204" si="981">H203/G203-1</f>
        <v>0.53526411836207566</v>
      </c>
      <c r="I204" s="13">
        <f t="shared" ref="I204" si="982">I203/H203-1</f>
        <v>0.75569475952819087</v>
      </c>
      <c r="J204" s="13">
        <f t="shared" ref="J204" si="983">J203/I203-1</f>
        <v>0.4532219387108507</v>
      </c>
      <c r="K204" s="13">
        <f t="shared" ref="K204" si="984">K203/J203-1</f>
        <v>0.48341059315197232</v>
      </c>
      <c r="L204" s="13">
        <f t="shared" ref="L204" si="985">L203/K203-1</f>
        <v>0.37857261872017012</v>
      </c>
      <c r="M204" s="13">
        <f t="shared" ref="M204" si="986">M203/L203-1</f>
        <v>0.29614040167959055</v>
      </c>
      <c r="N204" s="13">
        <f t="shared" ref="N204" si="987">N203/M203-1</f>
        <v>0.32385472536101578</v>
      </c>
      <c r="O204" s="13">
        <f t="shared" ref="O204" si="988">O203/N203-1</f>
        <v>0.27134349060515484</v>
      </c>
      <c r="P204" s="13">
        <f t="shared" ref="P204" si="989">P203/O203-1</f>
        <v>0.22283432598083652</v>
      </c>
      <c r="R204" s="110"/>
      <c r="S204" s="110"/>
    </row>
    <row r="205" spans="1:19" x14ac:dyDescent="0.2">
      <c r="A205" s="23" t="s">
        <v>23</v>
      </c>
      <c r="E205" s="40">
        <f t="shared" ref="E205:P205" si="990">E203+E201+E199+E197+E195+E193+E191+E189+E187+E185+E183+E181+E179</f>
        <v>71.787425546765945</v>
      </c>
      <c r="F205" s="40">
        <f t="shared" si="990"/>
        <v>82.06026390388763</v>
      </c>
      <c r="G205" s="40">
        <f t="shared" si="990"/>
        <v>108.13348075491517</v>
      </c>
      <c r="H205" s="40">
        <f t="shared" si="990"/>
        <v>158.71660585888344</v>
      </c>
      <c r="I205" s="40">
        <f t="shared" si="990"/>
        <v>281.91447149460663</v>
      </c>
      <c r="J205" s="40">
        <f t="shared" si="990"/>
        <v>415.42996289419693</v>
      </c>
      <c r="K205" s="40">
        <f t="shared" si="990"/>
        <v>619.32094757542632</v>
      </c>
      <c r="L205" s="40">
        <f t="shared" si="990"/>
        <v>857.34469583932514</v>
      </c>
      <c r="M205" s="40">
        <f t="shared" si="990"/>
        <v>1117.0956961382913</v>
      </c>
      <c r="N205" s="40">
        <f t="shared" si="990"/>
        <v>1478.9734646853638</v>
      </c>
      <c r="O205" s="40">
        <f t="shared" si="990"/>
        <v>1878.8160257635186</v>
      </c>
      <c r="P205" s="40">
        <f t="shared" si="990"/>
        <v>2296.9935145992472</v>
      </c>
      <c r="R205" s="36"/>
      <c r="S205" s="36">
        <f>(P205/J205)^(1/6)-1</f>
        <v>0.32977141188633774</v>
      </c>
    </row>
    <row r="206" spans="1:19" x14ac:dyDescent="0.2">
      <c r="A206" s="19" t="s">
        <v>4</v>
      </c>
      <c r="E206" s="8"/>
      <c r="F206" s="8">
        <f t="shared" ref="F206:P206" si="991">F205/E205-1</f>
        <v>0.14310080461695129</v>
      </c>
      <c r="G206" s="8">
        <f t="shared" si="991"/>
        <v>0.31773254935623374</v>
      </c>
      <c r="H206" s="8">
        <f t="shared" si="991"/>
        <v>0.46778411969013622</v>
      </c>
      <c r="I206" s="8">
        <f t="shared" si="991"/>
        <v>0.77621282895414034</v>
      </c>
      <c r="J206" s="8">
        <f t="shared" si="991"/>
        <v>0.47360282958068933</v>
      </c>
      <c r="K206" s="8">
        <f t="shared" si="991"/>
        <v>0.49079508675968331</v>
      </c>
      <c r="L206" s="8">
        <f t="shared" si="991"/>
        <v>0.38433020745662771</v>
      </c>
      <c r="M206" s="8">
        <f t="shared" si="991"/>
        <v>0.30297149041631921</v>
      </c>
      <c r="N206" s="8">
        <f t="shared" si="991"/>
        <v>0.32394518195536381</v>
      </c>
      <c r="O206" s="8">
        <f t="shared" si="991"/>
        <v>0.27035140969430249</v>
      </c>
      <c r="P206" s="8">
        <f t="shared" si="991"/>
        <v>0.22257500633452842</v>
      </c>
      <c r="R206" s="110"/>
      <c r="S206" s="110"/>
    </row>
    <row r="207" spans="1:19" x14ac:dyDescent="0.2">
      <c r="R207" s="110"/>
      <c r="S207" s="110"/>
    </row>
    <row r="208" spans="1:19" x14ac:dyDescent="0.2">
      <c r="A208" s="21" t="s">
        <v>63</v>
      </c>
      <c r="R208" s="110"/>
      <c r="S208" s="110"/>
    </row>
    <row r="209" spans="1:19" x14ac:dyDescent="0.2">
      <c r="A209" s="22" t="s">
        <v>82</v>
      </c>
      <c r="E209" s="39">
        <v>1.320325965565379</v>
      </c>
      <c r="F209" s="39">
        <v>1.4911620279491649</v>
      </c>
      <c r="G209" s="39">
        <v>1.8039900198543994</v>
      </c>
      <c r="H209" s="39">
        <v>2.5075437956429405</v>
      </c>
      <c r="I209" s="39">
        <v>4.1939577371780805</v>
      </c>
      <c r="J209" s="39">
        <v>6.0720970127390519</v>
      </c>
      <c r="K209" s="39">
        <v>8.2779483329270498</v>
      </c>
      <c r="L209" s="39">
        <v>11.187854656745399</v>
      </c>
      <c r="M209" s="39">
        <v>14.452747272248137</v>
      </c>
      <c r="N209" s="39">
        <v>18.570215350894941</v>
      </c>
      <c r="O209" s="39">
        <v>23.199991921721519</v>
      </c>
      <c r="P209" s="39">
        <v>28.069067567846499</v>
      </c>
      <c r="R209" s="36"/>
      <c r="S209" s="36">
        <f>(P209/J209)^(1/6)-1</f>
        <v>0.29066900497192782</v>
      </c>
    </row>
    <row r="210" spans="1:19" x14ac:dyDescent="0.2">
      <c r="A210" s="12" t="s">
        <v>4</v>
      </c>
      <c r="F210" s="13">
        <f t="shared" ref="F210" si="992">F209/E209-1</f>
        <v>0.12938930751894429</v>
      </c>
      <c r="G210" s="13">
        <f t="shared" ref="G210" si="993">G209/F209-1</f>
        <v>0.20978806195559807</v>
      </c>
      <c r="H210" s="13">
        <f t="shared" ref="H210" si="994">H209/G209-1</f>
        <v>0.38999870733504682</v>
      </c>
      <c r="I210" s="13">
        <f t="shared" ref="I210" si="995">I209/H209-1</f>
        <v>0.6725361863930035</v>
      </c>
      <c r="J210" s="13">
        <f t="shared" ref="J210" si="996">J209/I209-1</f>
        <v>0.44782026745569548</v>
      </c>
      <c r="K210" s="13">
        <f t="shared" ref="K210" si="997">K209/J209-1</f>
        <v>0.36327669264180029</v>
      </c>
      <c r="L210" s="13">
        <f t="shared" ref="L210" si="998">L209/K209-1</f>
        <v>0.35152506476075307</v>
      </c>
      <c r="M210" s="13">
        <f t="shared" ref="M210" si="999">M209/L209-1</f>
        <v>0.29182472562192818</v>
      </c>
      <c r="N210" s="13">
        <f t="shared" ref="N210" si="1000">N209/M209-1</f>
        <v>0.28489172342708025</v>
      </c>
      <c r="O210" s="13">
        <f t="shared" ref="O210" si="1001">O209/N209-1</f>
        <v>0.24931194837239512</v>
      </c>
      <c r="P210" s="13">
        <f t="shared" ref="P210" si="1002">P209/O209-1</f>
        <v>0.20987402334249072</v>
      </c>
      <c r="R210" s="110"/>
      <c r="S210" s="110"/>
    </row>
    <row r="211" spans="1:19" x14ac:dyDescent="0.2">
      <c r="A211" s="22" t="s">
        <v>10</v>
      </c>
      <c r="E211" s="39">
        <v>19.174835504885987</v>
      </c>
      <c r="F211" s="39">
        <v>21.14272379912509</v>
      </c>
      <c r="G211" s="39">
        <v>27.826429972705228</v>
      </c>
      <c r="H211" s="39">
        <v>37.966171721011214</v>
      </c>
      <c r="I211" s="39">
        <v>63.754758529605901</v>
      </c>
      <c r="J211" s="39">
        <v>92.270484904016442</v>
      </c>
      <c r="K211" s="39">
        <v>130.49739415570488</v>
      </c>
      <c r="L211" s="39">
        <v>176.92094270867432</v>
      </c>
      <c r="M211" s="39">
        <v>230.24923554972722</v>
      </c>
      <c r="N211" s="39">
        <v>299.86260080186275</v>
      </c>
      <c r="O211" s="39">
        <v>374.78994598298067</v>
      </c>
      <c r="P211" s="39">
        <v>455.13725145440173</v>
      </c>
      <c r="R211" s="36"/>
      <c r="S211" s="36">
        <f>(P211/J211)^(1/6)-1</f>
        <v>0.3047078135291279</v>
      </c>
    </row>
    <row r="212" spans="1:19" x14ac:dyDescent="0.2">
      <c r="A212" s="12" t="s">
        <v>4</v>
      </c>
      <c r="F212" s="13">
        <f t="shared" ref="F212" si="1003">F211/E211-1</f>
        <v>0.10262869236806016</v>
      </c>
      <c r="G212" s="13">
        <f t="shared" ref="G212" si="1004">G211/F211-1</f>
        <v>0.31612323166500977</v>
      </c>
      <c r="H212" s="13">
        <f t="shared" ref="H212" si="1005">H211/G211-1</f>
        <v>0.36439247716117373</v>
      </c>
      <c r="I212" s="13">
        <f t="shared" ref="I212" si="1006">I211/H211-1</f>
        <v>0.67925170328202422</v>
      </c>
      <c r="J212" s="13">
        <f t="shared" ref="J212" si="1007">J211/I211-1</f>
        <v>0.44727212575307052</v>
      </c>
      <c r="K212" s="13">
        <f t="shared" ref="K212" si="1008">K211/J211-1</f>
        <v>0.41429184306827516</v>
      </c>
      <c r="L212" s="13">
        <f t="shared" ref="L212" si="1009">L211/K211-1</f>
        <v>0.35574310777101426</v>
      </c>
      <c r="M212" s="13">
        <f t="shared" ref="M212" si="1010">M211/L211-1</f>
        <v>0.30142442169136285</v>
      </c>
      <c r="N212" s="13">
        <f t="shared" ref="N212" si="1011">N211/M211-1</f>
        <v>0.30233918078351696</v>
      </c>
      <c r="O212" s="13">
        <f t="shared" ref="O212" si="1012">O211/N211-1</f>
        <v>0.24987225809672386</v>
      </c>
      <c r="P212" s="13">
        <f t="shared" ref="P212" si="1013">P211/O211-1</f>
        <v>0.21437956469373831</v>
      </c>
      <c r="R212" s="110"/>
      <c r="S212" s="110"/>
    </row>
    <row r="213" spans="1:19" x14ac:dyDescent="0.2">
      <c r="A213" s="22" t="s">
        <v>11</v>
      </c>
      <c r="E213" s="39">
        <v>49.48812936249417</v>
      </c>
      <c r="F213" s="39">
        <v>57.500502902107904</v>
      </c>
      <c r="G213" s="39">
        <v>75.957628125945391</v>
      </c>
      <c r="H213" s="39">
        <v>114.47583642093061</v>
      </c>
      <c r="I213" s="39">
        <v>207.04561215056094</v>
      </c>
      <c r="J213" s="39">
        <v>306.56885853505361</v>
      </c>
      <c r="K213" s="39">
        <v>461.78383738045272</v>
      </c>
      <c r="L213" s="39">
        <v>641.98660394466583</v>
      </c>
      <c r="M213" s="39">
        <v>835.0605474070461</v>
      </c>
      <c r="N213" s="39">
        <v>1105.7595087098737</v>
      </c>
      <c r="O213" s="39">
        <v>1407.1636561653722</v>
      </c>
      <c r="P213" s="39">
        <v>1721.313504598317</v>
      </c>
      <c r="R213" s="36"/>
      <c r="S213" s="36">
        <f>(P213/J213)^(1/6)-1</f>
        <v>0.33317959068081993</v>
      </c>
    </row>
    <row r="214" spans="1:19" x14ac:dyDescent="0.2">
      <c r="A214" s="12" t="s">
        <v>4</v>
      </c>
      <c r="F214" s="13">
        <f t="shared" ref="F214" si="1014">F213/E213-1</f>
        <v>0.1619049586805783</v>
      </c>
      <c r="G214" s="13">
        <f t="shared" ref="G214" si="1015">G213/F213-1</f>
        <v>0.32099067472957477</v>
      </c>
      <c r="H214" s="13">
        <f t="shared" ref="H214" si="1016">H213/G213-1</f>
        <v>0.50710125164938202</v>
      </c>
      <c r="I214" s="13">
        <f t="shared" ref="I214" si="1017">I213/H213-1</f>
        <v>0.8086403089403853</v>
      </c>
      <c r="J214" s="13">
        <f t="shared" ref="J214" si="1018">J213/I213-1</f>
        <v>0.48068271213649583</v>
      </c>
      <c r="K214" s="13">
        <f t="shared" ref="K214" si="1019">K213/J213-1</f>
        <v>0.50629727881395881</v>
      </c>
      <c r="L214" s="13">
        <f t="shared" ref="L214" si="1020">L213/K213-1</f>
        <v>0.39023186170058244</v>
      </c>
      <c r="M214" s="13">
        <f t="shared" ref="M214" si="1021">M213/L213-1</f>
        <v>0.30074450506606176</v>
      </c>
      <c r="N214" s="13">
        <f t="shared" ref="N214" si="1022">N213/M213-1</f>
        <v>0.32416686687375829</v>
      </c>
      <c r="O214" s="13">
        <f t="shared" ref="O214" si="1023">O213/N213-1</f>
        <v>0.27257658205187552</v>
      </c>
      <c r="P214" s="13">
        <f t="shared" ref="P214" si="1024">P213/O213-1</f>
        <v>0.22325039952284365</v>
      </c>
      <c r="R214" s="110"/>
      <c r="S214" s="110"/>
    </row>
    <row r="215" spans="1:19" x14ac:dyDescent="0.2">
      <c r="A215" s="22" t="s">
        <v>22</v>
      </c>
      <c r="E215" s="15">
        <v>1.8041347138203812</v>
      </c>
      <c r="F215" s="15">
        <v>1.9258751747054901</v>
      </c>
      <c r="G215" s="15">
        <v>2.5454326364101485</v>
      </c>
      <c r="H215" s="15">
        <v>3.767053921298614</v>
      </c>
      <c r="I215" s="15">
        <v>6.920143077261705</v>
      </c>
      <c r="J215" s="15">
        <v>10.518522442387813</v>
      </c>
      <c r="K215" s="15">
        <v>18.761767706341566</v>
      </c>
      <c r="L215" s="15">
        <v>27.249294529239421</v>
      </c>
      <c r="M215" s="15">
        <v>37.333165909269589</v>
      </c>
      <c r="N215" s="15">
        <v>54.781139822732285</v>
      </c>
      <c r="O215" s="15">
        <v>73.662431693444049</v>
      </c>
      <c r="P215" s="15">
        <v>92.473690978682455</v>
      </c>
      <c r="R215" s="36"/>
      <c r="S215" s="36">
        <f>(P215/J215)^(1/6)-1</f>
        <v>0.43662661878261089</v>
      </c>
    </row>
    <row r="216" spans="1:19" x14ac:dyDescent="0.2">
      <c r="A216" s="12" t="s">
        <v>4</v>
      </c>
      <c r="F216" s="13">
        <f t="shared" ref="F216" si="1025">F215/E215-1</f>
        <v>6.7478586799826656E-2</v>
      </c>
      <c r="G216" s="13">
        <f t="shared" ref="G216" si="1026">G215/F215-1</f>
        <v>0.32170177477852513</v>
      </c>
      <c r="H216" s="13">
        <f t="shared" ref="H216" si="1027">H215/G215-1</f>
        <v>0.47992677842432774</v>
      </c>
      <c r="I216" s="13">
        <f t="shared" ref="I216" si="1028">I215/H215-1</f>
        <v>0.83701726119071007</v>
      </c>
      <c r="J216" s="13">
        <f t="shared" ref="J216" si="1029">J215/I215-1</f>
        <v>0.5199862668952191</v>
      </c>
      <c r="K216" s="13">
        <f t="shared" ref="K216" si="1030">K215/J215-1</f>
        <v>0.7836885179552322</v>
      </c>
      <c r="L216" s="13">
        <f t="shared" ref="L216" si="1031">L215/K215-1</f>
        <v>0.45238417593396774</v>
      </c>
      <c r="M216" s="13">
        <f t="shared" ref="M216" si="1032">M215/L215-1</f>
        <v>0.37005990629261354</v>
      </c>
      <c r="N216" s="13">
        <f t="shared" ref="N216" si="1033">N215/M215-1</f>
        <v>0.46735854001416133</v>
      </c>
      <c r="O216" s="13">
        <f t="shared" ref="O216" si="1034">O215/N215-1</f>
        <v>0.34466774389525723</v>
      </c>
      <c r="P216" s="13">
        <f t="shared" ref="P216" si="1035">P215/O215-1</f>
        <v>0.25537114174459985</v>
      </c>
      <c r="R216" s="110"/>
      <c r="S216" s="110"/>
    </row>
    <row r="217" spans="1:19" x14ac:dyDescent="0.2">
      <c r="A217" s="23" t="s">
        <v>23</v>
      </c>
      <c r="E217" s="40">
        <f>E215+E213+E211+E209</f>
        <v>71.787425546765917</v>
      </c>
      <c r="F217" s="40">
        <f t="shared" ref="F217:P217" si="1036">F215+F213+F211+F209</f>
        <v>82.060263903887645</v>
      </c>
      <c r="G217" s="40">
        <f t="shared" si="1036"/>
        <v>108.13348075491517</v>
      </c>
      <c r="H217" s="40">
        <f t="shared" si="1036"/>
        <v>158.71660585888336</v>
      </c>
      <c r="I217" s="40">
        <f t="shared" si="1036"/>
        <v>281.91447149460663</v>
      </c>
      <c r="J217" s="40">
        <f t="shared" si="1036"/>
        <v>415.42996289419688</v>
      </c>
      <c r="K217" s="40">
        <f t="shared" si="1036"/>
        <v>619.3209475754262</v>
      </c>
      <c r="L217" s="40">
        <f t="shared" si="1036"/>
        <v>857.34469583932503</v>
      </c>
      <c r="M217" s="40">
        <f t="shared" si="1036"/>
        <v>1117.095696138291</v>
      </c>
      <c r="N217" s="40">
        <f t="shared" si="1036"/>
        <v>1478.9734646853635</v>
      </c>
      <c r="O217" s="40">
        <f t="shared" si="1036"/>
        <v>1878.8160257635184</v>
      </c>
      <c r="P217" s="40">
        <f t="shared" si="1036"/>
        <v>2296.9935145992476</v>
      </c>
      <c r="R217" s="36"/>
      <c r="S217" s="36">
        <f>(P217/J217)^(1/6)-1</f>
        <v>0.32977141188633774</v>
      </c>
    </row>
    <row r="218" spans="1:19" x14ac:dyDescent="0.2">
      <c r="A218" s="19" t="s">
        <v>4</v>
      </c>
      <c r="E218" s="8"/>
      <c r="F218" s="8">
        <f t="shared" ref="F218" si="1037">F217/E217-1</f>
        <v>0.14310080461695196</v>
      </c>
      <c r="G218" s="8">
        <f t="shared" ref="G218" si="1038">G217/F217-1</f>
        <v>0.31773254935623352</v>
      </c>
      <c r="H218" s="8">
        <f t="shared" ref="H218" si="1039">H217/G217-1</f>
        <v>0.46778411969013534</v>
      </c>
      <c r="I218" s="8">
        <f t="shared" ref="I218" si="1040">I217/H217-1</f>
        <v>0.77621282895414123</v>
      </c>
      <c r="J218" s="8">
        <f t="shared" ref="J218" si="1041">J217/I217-1</f>
        <v>0.47360282958068911</v>
      </c>
      <c r="K218" s="8">
        <f t="shared" ref="K218" si="1042">K217/J217-1</f>
        <v>0.49079508675968309</v>
      </c>
      <c r="L218" s="8">
        <f t="shared" ref="L218" si="1043">L217/K217-1</f>
        <v>0.38433020745662771</v>
      </c>
      <c r="M218" s="8">
        <f t="shared" ref="M218" si="1044">M217/L217-1</f>
        <v>0.30297149041631899</v>
      </c>
      <c r="N218" s="8">
        <f t="shared" ref="N218" si="1045">N217/M217-1</f>
        <v>0.32394518195536381</v>
      </c>
      <c r="O218" s="8">
        <f t="shared" ref="O218" si="1046">O217/N217-1</f>
        <v>0.27035140969430249</v>
      </c>
      <c r="P218" s="8">
        <f t="shared" ref="P218" si="1047">P217/O217-1</f>
        <v>0.22257500633452887</v>
      </c>
      <c r="R218" s="110"/>
      <c r="S218" s="110"/>
    </row>
    <row r="219" spans="1:19" x14ac:dyDescent="0.2">
      <c r="R219" s="110"/>
      <c r="S219" s="110"/>
    </row>
    <row r="220" spans="1:19" x14ac:dyDescent="0.2">
      <c r="A220" s="21" t="s">
        <v>175</v>
      </c>
      <c r="B220" s="27"/>
      <c r="R220" s="110"/>
      <c r="S220" s="110"/>
    </row>
    <row r="221" spans="1:19" x14ac:dyDescent="0.2">
      <c r="A221" s="31" t="s">
        <v>40</v>
      </c>
      <c r="B221" s="2">
        <v>2016</v>
      </c>
      <c r="C221" s="2">
        <v>2017</v>
      </c>
      <c r="D221" s="2">
        <v>2018</v>
      </c>
      <c r="E221" s="2">
        <v>2019</v>
      </c>
      <c r="F221" s="2">
        <v>2020</v>
      </c>
      <c r="G221" s="2">
        <v>2021</v>
      </c>
      <c r="H221" s="2">
        <v>2022</v>
      </c>
      <c r="I221" s="2">
        <v>2023</v>
      </c>
      <c r="J221" s="2">
        <v>2024</v>
      </c>
      <c r="K221" s="2" t="s">
        <v>42</v>
      </c>
      <c r="L221" s="2" t="s">
        <v>1</v>
      </c>
      <c r="M221" s="2" t="s">
        <v>2</v>
      </c>
      <c r="N221" s="2" t="s">
        <v>43</v>
      </c>
      <c r="O221" s="2" t="s">
        <v>44</v>
      </c>
      <c r="P221" s="2" t="s">
        <v>45</v>
      </c>
      <c r="R221" s="110"/>
      <c r="S221" s="110"/>
    </row>
    <row r="222" spans="1:19" x14ac:dyDescent="0.2">
      <c r="A222" s="32" t="s">
        <v>105</v>
      </c>
      <c r="B222" s="43">
        <v>427.72722063037253</v>
      </c>
      <c r="C222" s="43">
        <v>469.00507328072155</v>
      </c>
      <c r="D222" s="43">
        <v>503.85636862726699</v>
      </c>
      <c r="E222" s="43">
        <v>538.37342950209404</v>
      </c>
      <c r="F222" s="43">
        <v>531.61199604031685</v>
      </c>
      <c r="G222" s="43">
        <v>582.72058501554488</v>
      </c>
      <c r="H222" s="43">
        <v>661.59935138364381</v>
      </c>
      <c r="I222" s="43">
        <v>748.75852960598729</v>
      </c>
      <c r="J222" s="43">
        <v>840.01442039754795</v>
      </c>
      <c r="K222" s="43">
        <v>914.77742246097705</v>
      </c>
      <c r="L222" s="43">
        <v>979.57813862233877</v>
      </c>
      <c r="M222" s="43">
        <v>1038.8051612779673</v>
      </c>
      <c r="N222" s="43">
        <v>1107.6112602575058</v>
      </c>
      <c r="O222" s="43">
        <v>1178.2257077634197</v>
      </c>
      <c r="P222" s="43">
        <v>1248.572962192037</v>
      </c>
      <c r="R222" s="110"/>
      <c r="S222" s="110"/>
    </row>
    <row r="223" spans="1:19" x14ac:dyDescent="0.2">
      <c r="A223" s="32" t="s">
        <v>91</v>
      </c>
      <c r="B223" s="44">
        <v>0.03</v>
      </c>
      <c r="C223" s="44">
        <v>5.2000000000000025E-2</v>
      </c>
      <c r="D223" s="44">
        <v>6.2000000000000027E-2</v>
      </c>
      <c r="E223" s="44">
        <v>4.5999999999999944E-2</v>
      </c>
      <c r="F223" s="44">
        <v>-0.02</v>
      </c>
      <c r="G223" s="44">
        <v>6.9000000000000061E-2</v>
      </c>
      <c r="H223" s="44">
        <v>5.2999999999999971E-2</v>
      </c>
      <c r="I223" s="44">
        <v>2E-3</v>
      </c>
      <c r="J223" s="44">
        <v>2.8999999999999998E-2</v>
      </c>
      <c r="K223" s="44">
        <v>3.548708273534612E-2</v>
      </c>
      <c r="L223" s="44">
        <v>3.4874184304148216E-2</v>
      </c>
      <c r="M223" s="44">
        <v>2.8102499999999999E-2</v>
      </c>
      <c r="N223" s="44">
        <v>3.0786666666666671E-2</v>
      </c>
      <c r="O223" s="44">
        <v>2.9416666666666664E-2</v>
      </c>
      <c r="P223" s="44">
        <v>2.6333333333333334E-2</v>
      </c>
      <c r="R223" s="110"/>
      <c r="S223" s="110"/>
    </row>
    <row r="224" spans="1:19" x14ac:dyDescent="0.2">
      <c r="A224" s="32" t="s">
        <v>92</v>
      </c>
      <c r="B224" s="43">
        <v>11129.167893833835</v>
      </c>
      <c r="C224" s="43">
        <v>12203.009497083816</v>
      </c>
      <c r="D224" s="43">
        <v>13117.451439547369</v>
      </c>
      <c r="E224" s="43">
        <v>14026.505920345058</v>
      </c>
      <c r="F224" s="43">
        <v>13957.260138248243</v>
      </c>
      <c r="G224" s="43">
        <v>15372.088613321057</v>
      </c>
      <c r="H224" s="43">
        <v>17518.233938493515</v>
      </c>
      <c r="I224" s="43">
        <v>19894.473993336134</v>
      </c>
      <c r="J224" s="43">
        <v>22406.89748213609</v>
      </c>
      <c r="K224" s="43">
        <v>24520.858391995993</v>
      </c>
      <c r="L224" s="43">
        <v>26392.450254928186</v>
      </c>
      <c r="M224" s="43">
        <v>28134.053631215553</v>
      </c>
      <c r="N224" s="43">
        <v>30152.867824623128</v>
      </c>
      <c r="O224" s="43">
        <v>32241.07274768838</v>
      </c>
      <c r="P224" s="43">
        <v>34342.526613570692</v>
      </c>
      <c r="R224" s="110"/>
      <c r="S224" s="110"/>
    </row>
    <row r="225" spans="1:19" x14ac:dyDescent="0.2">
      <c r="A225" s="32" t="s">
        <v>93</v>
      </c>
      <c r="B225" s="44">
        <v>3.7000000000000026E-2</v>
      </c>
      <c r="C225" s="44">
        <v>6.0999999999999943E-2</v>
      </c>
      <c r="D225" s="44">
        <v>4.5999999999999944E-2</v>
      </c>
      <c r="E225" s="44">
        <v>3.2999999999999974E-2</v>
      </c>
      <c r="F225" s="44">
        <v>-3.4000000000000058E-2</v>
      </c>
      <c r="G225" s="44">
        <v>6.2000000000000027E-2</v>
      </c>
      <c r="H225" s="44">
        <v>0.05</v>
      </c>
      <c r="I225" s="44">
        <v>-2.9999999999999714E-3</v>
      </c>
      <c r="J225" s="44">
        <v>3.1E-2</v>
      </c>
      <c r="K225" s="44">
        <v>3.6470444778606566E-2</v>
      </c>
      <c r="L225" s="44">
        <v>3.2898566127916508E-2</v>
      </c>
      <c r="M225" s="44">
        <v>3.3000000000000002E-2</v>
      </c>
      <c r="N225" s="44">
        <v>3.2500000000000001E-2</v>
      </c>
      <c r="O225" s="44">
        <v>0.03</v>
      </c>
      <c r="P225" s="44">
        <v>2.9666666666666668E-2</v>
      </c>
      <c r="R225" s="110"/>
      <c r="S225" s="110"/>
    </row>
    <row r="226" spans="1:19" x14ac:dyDescent="0.2">
      <c r="A226" s="32" t="s">
        <v>94</v>
      </c>
      <c r="B226" s="44">
        <v>-7.4000000000000107E-2</v>
      </c>
      <c r="C226" s="44">
        <v>1.7999999999999971E-2</v>
      </c>
      <c r="D226" s="44">
        <v>0.13700000000000004</v>
      </c>
      <c r="E226" s="44">
        <v>7.4999999999999997E-2</v>
      </c>
      <c r="F226" s="44">
        <v>-0.03</v>
      </c>
      <c r="G226" s="44">
        <v>1.4999999999999999E-2</v>
      </c>
      <c r="H226" s="44">
        <v>1.7000000000000029E-2</v>
      </c>
      <c r="I226" s="44">
        <v>0.127</v>
      </c>
      <c r="J226" s="44">
        <v>-2.2000000000000002E-2</v>
      </c>
      <c r="K226" s="44">
        <v>5.2678581959770501E-2</v>
      </c>
      <c r="L226" s="44">
        <v>9.2764683226627079E-2</v>
      </c>
      <c r="M226" s="44">
        <v>4.0000000000000018E-3</v>
      </c>
      <c r="N226" s="44">
        <v>7.1999999999999995E-2</v>
      </c>
      <c r="O226" s="44">
        <v>4.9000000000000002E-2</v>
      </c>
      <c r="P226" s="44">
        <v>3.0333333333333337E-2</v>
      </c>
      <c r="R226" s="110"/>
      <c r="S226" s="110"/>
    </row>
    <row r="227" spans="1:19" x14ac:dyDescent="0.2">
      <c r="A227" s="32" t="s">
        <v>95</v>
      </c>
      <c r="B227" s="44">
        <v>-2.4E-2</v>
      </c>
      <c r="C227" s="44">
        <v>-1.4999999999999999E-2</v>
      </c>
      <c r="D227" s="44">
        <v>-1.9999999999999996E-3</v>
      </c>
      <c r="E227" s="44">
        <v>-7.0000000000000019E-3</v>
      </c>
      <c r="F227" s="44">
        <v>-6.9000000000000006E-2</v>
      </c>
      <c r="G227" s="44">
        <v>-1.7000000000000001E-2</v>
      </c>
      <c r="H227" s="44">
        <v>-3.4000000000000009E-2</v>
      </c>
      <c r="I227" s="44">
        <v>-5.1780000000000007E-2</v>
      </c>
      <c r="J227" s="44">
        <v>-6.316200000000001E-2</v>
      </c>
      <c r="K227" s="44">
        <v>-6.5518000000000007E-2</v>
      </c>
      <c r="L227" s="44">
        <v>-6.0998000000000011E-2</v>
      </c>
      <c r="M227" s="44">
        <v>-5.5380000000000013E-2</v>
      </c>
      <c r="N227" s="44">
        <v>-5.0640000000000011E-2</v>
      </c>
      <c r="O227" s="44">
        <v>-4.6419999999999996E-2</v>
      </c>
      <c r="P227" s="44">
        <v>-3.5174999999999991E-2</v>
      </c>
      <c r="R227" s="110"/>
      <c r="S227" s="110"/>
    </row>
    <row r="228" spans="1:19" x14ac:dyDescent="0.2">
      <c r="A228" s="32" t="s">
        <v>96</v>
      </c>
      <c r="B228" s="44">
        <v>0.54100000000000004</v>
      </c>
      <c r="C228" s="44">
        <v>0.50400000000000011</v>
      </c>
      <c r="D228" s="44">
        <v>0.48200000000000004</v>
      </c>
      <c r="E228" s="44">
        <v>0.45200000000000001</v>
      </c>
      <c r="F228" s="44">
        <v>0.56600000000000006</v>
      </c>
      <c r="G228" s="44">
        <v>0.53</v>
      </c>
      <c r="H228" s="44">
        <v>0.48799999999999999</v>
      </c>
      <c r="I228" s="44">
        <v>0.49457999999999996</v>
      </c>
      <c r="J228" s="44">
        <v>0.54949000000000003</v>
      </c>
      <c r="K228" s="44">
        <v>0.60132000000000008</v>
      </c>
      <c r="L228" s="44">
        <v>0.65028499999999989</v>
      </c>
      <c r="M228" s="44">
        <v>0.65819500000000009</v>
      </c>
      <c r="N228" s="44">
        <v>0.665215</v>
      </c>
      <c r="O228" s="44">
        <v>0.66801500000000003</v>
      </c>
      <c r="P228" s="44">
        <v>0.66301500000000002</v>
      </c>
      <c r="R228" s="110"/>
      <c r="S228" s="110"/>
    </row>
    <row r="229" spans="1:19" x14ac:dyDescent="0.2">
      <c r="A229" s="32" t="s">
        <v>97</v>
      </c>
      <c r="B229" s="44">
        <v>-1.7000000000000001E-2</v>
      </c>
      <c r="C229" s="44">
        <v>-1.6E-2</v>
      </c>
      <c r="D229" s="44">
        <v>-1.3999999999999999E-2</v>
      </c>
      <c r="E229" s="44">
        <v>-2.2000000000000002E-2</v>
      </c>
      <c r="F229" s="44">
        <v>-5.8000000000000017E-2</v>
      </c>
      <c r="G229" s="44">
        <v>-2.3E-2</v>
      </c>
      <c r="H229" s="44">
        <v>-4.4999999999999998E-2</v>
      </c>
      <c r="I229" s="44">
        <v>-4.9980000000000004E-2</v>
      </c>
      <c r="J229" s="44">
        <v>-6.1705000000000003E-2</v>
      </c>
      <c r="K229" s="44">
        <v>-6.2465E-2</v>
      </c>
      <c r="L229" s="44">
        <v>-5.812500000000001E-2</v>
      </c>
      <c r="M229" s="44">
        <v>-5.2665000000000003E-2</v>
      </c>
      <c r="N229" s="44">
        <v>-4.7545000000000004E-2</v>
      </c>
      <c r="O229" s="44">
        <v>-4.3745000000000006E-2</v>
      </c>
      <c r="P229" s="44">
        <v>-3.6000000000000004E-2</v>
      </c>
    </row>
    <row r="230" spans="1:19" x14ac:dyDescent="0.2">
      <c r="A230" s="32" t="s">
        <v>98</v>
      </c>
      <c r="B230" s="44">
        <v>-6.0000000000000001E-3</v>
      </c>
      <c r="C230" s="44">
        <v>0.02</v>
      </c>
      <c r="D230" s="44">
        <v>1.6E-2</v>
      </c>
      <c r="E230" s="44">
        <v>2.3E-2</v>
      </c>
      <c r="F230" s="44">
        <v>3.4000000000000002E-2</v>
      </c>
      <c r="G230" s="44">
        <v>5.0999999999999997E-2</v>
      </c>
      <c r="H230" s="44">
        <v>0.14400000000000002</v>
      </c>
      <c r="I230" s="44">
        <v>0.114</v>
      </c>
      <c r="J230" s="44">
        <v>3.6000000000000004E-2</v>
      </c>
      <c r="K230" s="44">
        <v>3.7807041981022929E-2</v>
      </c>
      <c r="L230" s="44">
        <v>3.0548571428571428E-2</v>
      </c>
      <c r="M230" s="44">
        <v>2.6192000000000003E-2</v>
      </c>
      <c r="N230" s="44">
        <v>2.6000000000000002E-2</v>
      </c>
      <c r="O230" s="44">
        <v>2.6000000000000002E-2</v>
      </c>
      <c r="P230" s="44">
        <v>2.6000000000000002E-2</v>
      </c>
    </row>
    <row r="231" spans="1:19" x14ac:dyDescent="0.2">
      <c r="A231" s="32" t="s">
        <v>99</v>
      </c>
      <c r="B231" s="43">
        <v>927.7272206303727</v>
      </c>
      <c r="C231" s="43">
        <v>1003.2670988350246</v>
      </c>
      <c r="D231" s="43">
        <v>1075.7173357107667</v>
      </c>
      <c r="E231" s="43">
        <v>1144.2926942764079</v>
      </c>
      <c r="F231" s="43">
        <v>1162.5877429805619</v>
      </c>
      <c r="G231" s="43">
        <v>1239.7709856811316</v>
      </c>
      <c r="H231" s="43">
        <v>1354.0186477202417</v>
      </c>
      <c r="I231" s="43">
        <v>1575.056130310368</v>
      </c>
      <c r="J231" s="43">
        <v>1899.8978264908048</v>
      </c>
      <c r="K231" s="43">
        <v>2088.6506807771038</v>
      </c>
      <c r="L231" s="43">
        <v>2231.1346300157902</v>
      </c>
      <c r="M231" s="43">
        <v>2369.1324672867372</v>
      </c>
      <c r="N231" s="43">
        <v>2507.755903874061</v>
      </c>
      <c r="O231" s="43">
        <v>2644.7348778184951</v>
      </c>
      <c r="P231" s="43">
        <v>2784.0591346398464</v>
      </c>
    </row>
    <row r="232" spans="1:19" x14ac:dyDescent="0.2">
      <c r="A232" s="32" t="s">
        <v>100</v>
      </c>
      <c r="B232" s="44">
        <v>-4.682849187539917E-3</v>
      </c>
      <c r="C232" s="44">
        <v>8.1424665057606038E-2</v>
      </c>
      <c r="D232" s="44">
        <v>7.2214305602037676E-2</v>
      </c>
      <c r="E232" s="44">
        <v>6.3748492553883374E-2</v>
      </c>
      <c r="F232" s="44">
        <v>1.5988084862957885E-2</v>
      </c>
      <c r="G232" s="44">
        <v>6.6389176358158331E-2</v>
      </c>
      <c r="H232" s="44">
        <v>9.2152230822164505E-2</v>
      </c>
      <c r="I232" s="44">
        <v>0.16324552321512464</v>
      </c>
      <c r="J232" s="44">
        <v>0.20624134589821019</v>
      </c>
      <c r="K232" s="44">
        <v>9.9348950061663999E-2</v>
      </c>
      <c r="L232" s="44">
        <v>6.8218180545956075E-2</v>
      </c>
      <c r="M232" s="44">
        <v>6.1850968298569509E-2</v>
      </c>
      <c r="N232" s="44">
        <v>5.8512319805436253E-2</v>
      </c>
      <c r="O232" s="44">
        <v>5.4622131975773591E-2</v>
      </c>
      <c r="P232" s="44">
        <v>5.2679857625756776E-2</v>
      </c>
    </row>
    <row r="233" spans="1:19" x14ac:dyDescent="0.2">
      <c r="A233" s="32" t="s">
        <v>101</v>
      </c>
      <c r="B233" s="44">
        <v>4.4069111343256528E-2</v>
      </c>
      <c r="C233" s="44">
        <v>3.47263675373366E-2</v>
      </c>
      <c r="D233" s="44">
        <v>5.6494027439852879E-2</v>
      </c>
      <c r="E233" s="44">
        <v>4.8541734278268578E-2</v>
      </c>
      <c r="F233" s="44">
        <v>1.6140798607889195E-2</v>
      </c>
      <c r="G233" s="44">
        <v>4.2629085317424709E-2</v>
      </c>
      <c r="H233" s="44">
        <v>-2.0343571498267488E-2</v>
      </c>
      <c r="I233" s="44">
        <v>1.214619853700305E-2</v>
      </c>
      <c r="J233" s="44">
        <v>0.10368740146197419</v>
      </c>
      <c r="K233" s="44">
        <v>4.3955156451753075E-2</v>
      </c>
      <c r="L233" s="44">
        <v>3.4586606091595806E-2</v>
      </c>
      <c r="M233" s="44">
        <v>2.8800338206166565E-2</v>
      </c>
      <c r="N233" s="44">
        <v>2.5756946698124894E-2</v>
      </c>
      <c r="O233" s="44">
        <v>2.1986562134867826E-2</v>
      </c>
      <c r="P233" s="44">
        <v>2.0103814665523467E-2</v>
      </c>
    </row>
    <row r="234" spans="1:19" x14ac:dyDescent="0.2">
      <c r="A234" s="32" t="s">
        <v>102</v>
      </c>
      <c r="B234" s="44">
        <v>7.2045195773350335E-2</v>
      </c>
      <c r="C234" s="44">
        <v>6.4077782692411933E-2</v>
      </c>
      <c r="D234" s="44">
        <v>4.4338361069865107E-2</v>
      </c>
      <c r="E234" s="44">
        <v>5.1312744528041687E-2</v>
      </c>
      <c r="F234" s="44">
        <v>1.9367077431682533E-2</v>
      </c>
      <c r="G234" s="44">
        <v>1.7447012101664772E-2</v>
      </c>
      <c r="H234" s="44">
        <v>-1.8394059186229939E-2</v>
      </c>
      <c r="I234" s="44">
        <v>3.877100918426879E-2</v>
      </c>
      <c r="J234" s="44">
        <v>0.14413045876634212</v>
      </c>
      <c r="K234" s="44">
        <v>4.3940121220006345E-2</v>
      </c>
      <c r="L234" s="44">
        <v>3.4635550566728401E-2</v>
      </c>
      <c r="M234" s="44">
        <v>2.9668156780623844E-2</v>
      </c>
      <c r="N234" s="44">
        <v>2.5589959862300615E-2</v>
      </c>
      <c r="O234" s="44">
        <v>2.2567014029270194E-2</v>
      </c>
      <c r="P234" s="44">
        <v>2.0774893746336787E-2</v>
      </c>
    </row>
    <row r="235" spans="1:19" x14ac:dyDescent="0.2">
      <c r="A235" s="32" t="s">
        <v>103</v>
      </c>
      <c r="B235" s="44">
        <v>6.25E-2</v>
      </c>
      <c r="C235" s="44">
        <v>4.9000000000000002E-2</v>
      </c>
      <c r="D235" s="44">
        <v>3.9000000000000007E-2</v>
      </c>
      <c r="E235" s="44">
        <v>3.3000000000000002E-2</v>
      </c>
      <c r="F235" s="44">
        <v>3.2249999999999994E-2</v>
      </c>
      <c r="G235" s="44">
        <v>3.4000000000000002E-2</v>
      </c>
      <c r="H235" s="44">
        <v>2.8999999999999998E-2</v>
      </c>
      <c r="I235" s="44">
        <v>2.8300000000000002E-2</v>
      </c>
      <c r="J235" s="44">
        <v>2.8799999999999999E-2</v>
      </c>
      <c r="K235" s="44">
        <v>3.0714968917499998E-2</v>
      </c>
      <c r="L235" s="44">
        <v>3.0699536822533995E-2</v>
      </c>
      <c r="M235" s="44">
        <v>3.0088562519402215E-2</v>
      </c>
      <c r="N235" s="44">
        <v>2.9931222386108944E-2</v>
      </c>
      <c r="O235" s="44">
        <v>2.9050653381107006E-2</v>
      </c>
      <c r="P235" s="44">
        <v>2.844354403219659E-2</v>
      </c>
    </row>
    <row r="236" spans="1:19" x14ac:dyDescent="0.2">
      <c r="A236" s="32" t="s">
        <v>104</v>
      </c>
      <c r="B236" s="43">
        <v>37413.107170852571</v>
      </c>
      <c r="C236" s="43">
        <v>37418.216195978144</v>
      </c>
      <c r="D236" s="43">
        <v>37410.552658289751</v>
      </c>
      <c r="E236" s="43">
        <v>37372.234969847792</v>
      </c>
      <c r="F236" s="43">
        <v>37073.357000000018</v>
      </c>
      <c r="G236" s="43">
        <v>36889.761000000013</v>
      </c>
      <c r="H236" s="43">
        <v>36753.736000000012</v>
      </c>
      <c r="I236" s="43">
        <v>36620.970000000016</v>
      </c>
      <c r="J236" s="43">
        <v>36497.495000000017</v>
      </c>
      <c r="K236" s="43">
        <v>36319.328578823428</v>
      </c>
      <c r="L236" s="43">
        <v>36134.114466084255</v>
      </c>
      <c r="M236" s="43">
        <v>35946.766534105445</v>
      </c>
      <c r="N236" s="43">
        <v>35761.586853903122</v>
      </c>
      <c r="O236" s="43">
        <v>35577.633271425737</v>
      </c>
      <c r="P236" s="43">
        <v>35394.821451909134</v>
      </c>
    </row>
    <row r="237" spans="1:19" x14ac:dyDescent="0.2">
      <c r="A237" s="32" t="s">
        <v>106</v>
      </c>
      <c r="B237" s="43">
        <v>4.3276850286532937</v>
      </c>
      <c r="C237" s="43">
        <v>6.4980261123297369</v>
      </c>
      <c r="D237" s="43">
        <v>10.719483652585151</v>
      </c>
      <c r="E237" s="43">
        <v>12.061913742009718</v>
      </c>
      <c r="F237" s="43">
        <v>13.911930523818974</v>
      </c>
      <c r="G237" s="43">
        <v>12.140703253686095</v>
      </c>
      <c r="H237" s="43">
        <v>11.231420586059889</v>
      </c>
      <c r="I237" s="43">
        <v>16.087051573437371</v>
      </c>
      <c r="J237" s="43">
        <v>12.401810102534268</v>
      </c>
      <c r="K237" s="43">
        <v>20.893219878008473</v>
      </c>
      <c r="L237" s="43">
        <v>23.94920241688763</v>
      </c>
      <c r="M237" s="43">
        <v>12.716721205095874</v>
      </c>
      <c r="N237" s="43">
        <v>12.73703952663854</v>
      </c>
      <c r="O237" s="43">
        <v>12.941314991466031</v>
      </c>
      <c r="P237" s="43">
        <v>12.209984179800641</v>
      </c>
    </row>
    <row r="238" spans="1:19" x14ac:dyDescent="0.2">
      <c r="A238" s="32" t="s">
        <v>107</v>
      </c>
      <c r="B238" s="44">
        <v>1.0117862085736024E-2</v>
      </c>
      <c r="C238" s="44">
        <v>1.3854916465776402E-2</v>
      </c>
      <c r="D238" s="44">
        <v>2.1274879747555597E-2</v>
      </c>
      <c r="E238" s="44">
        <v>2.240436299608059E-2</v>
      </c>
      <c r="F238" s="44">
        <v>2.6169331443686814E-2</v>
      </c>
      <c r="G238" s="44">
        <v>2.0834519263400013E-2</v>
      </c>
      <c r="H238" s="44">
        <v>1.6976166259188318E-2</v>
      </c>
      <c r="I238" s="44">
        <v>2.1484966030240377E-2</v>
      </c>
      <c r="J238" s="44">
        <v>1.4763806193547186E-2</v>
      </c>
      <c r="K238" s="44">
        <v>2.2839675931004676E-2</v>
      </c>
      <c r="L238" s="44">
        <v>2.4448486009058308E-2</v>
      </c>
      <c r="M238" s="44">
        <v>1.2241680807064345E-2</v>
      </c>
      <c r="N238" s="44">
        <v>1.1499557636925194E-2</v>
      </c>
      <c r="O238" s="44">
        <v>1.0983731645129377E-2</v>
      </c>
      <c r="P238" s="44">
        <v>9.7791515189984395E-3</v>
      </c>
    </row>
    <row r="239" spans="1:19" x14ac:dyDescent="0.2">
      <c r="A239" s="32" t="s">
        <v>108</v>
      </c>
      <c r="B239" s="46">
        <v>2471.4973038909989</v>
      </c>
      <c r="C239" s="46">
        <v>2542.407045386999</v>
      </c>
      <c r="D239" s="46">
        <v>2615.2060405389998</v>
      </c>
      <c r="E239" s="46">
        <v>2695.5052535749996</v>
      </c>
      <c r="F239" s="46">
        <v>2761.6191766479992</v>
      </c>
      <c r="G239" s="46">
        <v>2846.1681074739995</v>
      </c>
      <c r="H239" s="46">
        <v>2875.5599286920001</v>
      </c>
      <c r="I239" s="46">
        <v>2935.1476192169994</v>
      </c>
      <c r="J239" s="46">
        <v>3004.393885167</v>
      </c>
      <c r="K239" s="46">
        <v>3048.3634622103255</v>
      </c>
      <c r="L239" s="46">
        <v>3090.1042112400801</v>
      </c>
      <c r="M239" s="46">
        <v>3127.0741436546427</v>
      </c>
      <c r="N239" s="46">
        <v>3153.1840540629632</v>
      </c>
      <c r="O239" s="46">
        <v>3179.3388136123808</v>
      </c>
      <c r="P239" s="46">
        <v>3195.4655203017273</v>
      </c>
    </row>
    <row r="240" spans="1:19" x14ac:dyDescent="0.2">
      <c r="A240" s="32" t="s">
        <v>109</v>
      </c>
      <c r="B240" s="44">
        <v>2.1325684183940208E-2</v>
      </c>
      <c r="C240" s="44">
        <v>2.8691004996996616E-2</v>
      </c>
      <c r="D240" s="44">
        <v>2.8633886648516294E-2</v>
      </c>
      <c r="E240" s="44">
        <v>3.0704736755445161E-2</v>
      </c>
      <c r="F240" s="44">
        <v>2.4527469566350879E-2</v>
      </c>
      <c r="G240" s="44">
        <v>3.0615709631848675E-2</v>
      </c>
      <c r="H240" s="44">
        <v>1.0326804358750996E-2</v>
      </c>
      <c r="I240" s="44">
        <v>2.072211743196184E-2</v>
      </c>
      <c r="J240" s="44">
        <v>2.3592089711819364E-2</v>
      </c>
      <c r="K240" s="44">
        <v>1.4635090711776488E-2</v>
      </c>
      <c r="L240" s="44">
        <v>1.3692838648410088E-2</v>
      </c>
      <c r="M240" s="44">
        <v>1.1963975933266813E-2</v>
      </c>
      <c r="N240" s="44">
        <v>8.3496294647511515E-3</v>
      </c>
      <c r="O240" s="44">
        <v>8.2947138831672707E-3</v>
      </c>
      <c r="P240" s="44">
        <v>5.072346055192245E-3</v>
      </c>
    </row>
    <row r="241" spans="1:16" x14ac:dyDescent="0.2">
      <c r="A241" s="32" t="s">
        <v>110</v>
      </c>
      <c r="B241" s="136">
        <v>8.2073285455587355E-2</v>
      </c>
      <c r="C241" s="136">
        <v>8.789987960353246E-2</v>
      </c>
      <c r="D241" s="136">
        <v>9.0238774957182716E-2</v>
      </c>
      <c r="E241" s="136">
        <v>9.4322426570497914E-2</v>
      </c>
      <c r="F241" s="136">
        <v>0.10657738876889851</v>
      </c>
      <c r="G241" s="136">
        <v>0.11070505852344875</v>
      </c>
      <c r="H241" s="136">
        <v>0.16968756154387804</v>
      </c>
      <c r="I241" s="136">
        <v>0.22112768831168894</v>
      </c>
      <c r="J241" s="136">
        <v>0.20853074713217534</v>
      </c>
      <c r="K241" s="136">
        <v>0.20910241013688349</v>
      </c>
      <c r="L241" s="136">
        <v>0.21562124157738671</v>
      </c>
      <c r="M241" s="136">
        <v>0.22120335495920945</v>
      </c>
      <c r="N241" s="136">
        <v>0.22627343772128328</v>
      </c>
      <c r="O241" s="136">
        <v>0.232924274536284</v>
      </c>
      <c r="P241" s="136">
        <v>0.24028248934512703</v>
      </c>
    </row>
    <row r="242" spans="1:16" x14ac:dyDescent="0.2">
      <c r="A242" s="32" t="s">
        <v>111</v>
      </c>
      <c r="B242" s="44">
        <v>-6.6972247158782805E-2</v>
      </c>
      <c r="C242" s="44">
        <v>7.0992578347531587E-2</v>
      </c>
      <c r="D242" s="44">
        <v>2.6608629775145554E-2</v>
      </c>
      <c r="E242" s="44">
        <v>4.525384586894976E-2</v>
      </c>
      <c r="F242" s="44">
        <v>0.12992628205171397</v>
      </c>
      <c r="G242" s="44">
        <v>3.8729319626141789E-2</v>
      </c>
      <c r="H242" s="44">
        <v>0.53278959251835856</v>
      </c>
      <c r="I242" s="44">
        <v>0.30314612514783201</v>
      </c>
      <c r="J242" s="44">
        <v>-5.6966819830168269E-2</v>
      </c>
      <c r="K242" s="44">
        <v>2.7413847241712919E-3</v>
      </c>
      <c r="L242" s="44">
        <v>3.1175305135104914E-2</v>
      </c>
      <c r="M242" s="44">
        <v>2.5888513306882688E-2</v>
      </c>
      <c r="N242" s="44">
        <v>2.2920460510233998E-2</v>
      </c>
      <c r="O242" s="44">
        <v>2.9392918947883873E-2</v>
      </c>
      <c r="P242" s="44">
        <v>3.1590588071990666E-2</v>
      </c>
    </row>
    <row r="244" spans="1:16" x14ac:dyDescent="0.2">
      <c r="A244" s="33" t="s">
        <v>77</v>
      </c>
    </row>
    <row r="245" spans="1:16" x14ac:dyDescent="0.2">
      <c r="A245" s="33" t="s">
        <v>41</v>
      </c>
    </row>
    <row r="246" spans="1:16" x14ac:dyDescent="0.2">
      <c r="A246" s="33" t="s">
        <v>81</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14EF2-7F30-4E18-91CE-33138AABFA30}">
  <sheetPr>
    <tabColor rgb="FFFF2D9B"/>
  </sheetPr>
  <dimension ref="A1:U246"/>
  <sheetViews>
    <sheetView zoomScale="85" zoomScaleNormal="85" workbookViewId="0">
      <pane ySplit="1" topLeftCell="A2" activePane="bottomLeft" state="frozen"/>
      <selection pane="bottomLeft" activeCell="M22" sqref="M22"/>
    </sheetView>
  </sheetViews>
  <sheetFormatPr defaultColWidth="8.875" defaultRowHeight="15" x14ac:dyDescent="0.2"/>
  <cols>
    <col min="1" max="1" width="68.47265625" style="47" bestFit="1" customWidth="1"/>
    <col min="2" max="16" width="13.046875" style="47" customWidth="1"/>
    <col min="17" max="17" width="8.875" style="47"/>
    <col min="18" max="19" width="24.48046875" style="47" customWidth="1"/>
    <col min="20" max="16384" width="8.875" style="47"/>
  </cols>
  <sheetData>
    <row r="1" spans="1:21" s="48" customFormat="1" ht="24" customHeight="1" x14ac:dyDescent="0.2">
      <c r="A1" s="51" t="s">
        <v>0</v>
      </c>
      <c r="B1" s="52">
        <v>2016</v>
      </c>
      <c r="C1" s="52">
        <v>2017</v>
      </c>
      <c r="D1" s="52">
        <v>2018</v>
      </c>
      <c r="E1" s="52">
        <v>2019</v>
      </c>
      <c r="F1" s="52">
        <v>2020</v>
      </c>
      <c r="G1" s="52">
        <v>2021</v>
      </c>
      <c r="H1" s="52">
        <v>2022</v>
      </c>
      <c r="I1" s="52">
        <v>2023</v>
      </c>
      <c r="J1" s="52">
        <v>2024</v>
      </c>
      <c r="K1" s="52" t="s">
        <v>42</v>
      </c>
      <c r="L1" s="52" t="s">
        <v>1</v>
      </c>
      <c r="M1" s="52" t="s">
        <v>2</v>
      </c>
      <c r="N1" s="52" t="s">
        <v>43</v>
      </c>
      <c r="O1" s="52" t="s">
        <v>44</v>
      </c>
      <c r="P1" s="52" t="s">
        <v>45</v>
      </c>
      <c r="Q1" s="52"/>
      <c r="R1" s="53" t="s">
        <v>78</v>
      </c>
      <c r="S1" s="53" t="s">
        <v>79</v>
      </c>
      <c r="T1" s="54"/>
      <c r="U1" s="54"/>
    </row>
    <row r="2" spans="1:21" s="49" customFormat="1" x14ac:dyDescent="0.2">
      <c r="A2" s="55" t="s">
        <v>3</v>
      </c>
      <c r="B2" s="56">
        <f t="shared" ref="B2:P2" si="0">B4+B6+B8</f>
        <v>8368.9755912270393</v>
      </c>
      <c r="C2" s="56">
        <f t="shared" si="0"/>
        <v>8630.2133866945005</v>
      </c>
      <c r="D2" s="56">
        <f t="shared" si="0"/>
        <v>8986.2048542598004</v>
      </c>
      <c r="E2" s="56">
        <f t="shared" si="0"/>
        <v>9498.986563422699</v>
      </c>
      <c r="F2" s="56">
        <f t="shared" si="0"/>
        <v>9832.2746222213009</v>
      </c>
      <c r="G2" s="56">
        <f t="shared" si="0"/>
        <v>10524.044736310099</v>
      </c>
      <c r="H2" s="56">
        <f t="shared" si="0"/>
        <v>11274.648114741198</v>
      </c>
      <c r="I2" s="56">
        <f t="shared" si="0"/>
        <v>12127.5779690608</v>
      </c>
      <c r="J2" s="56">
        <f t="shared" si="0"/>
        <v>13365.488356558697</v>
      </c>
      <c r="K2" s="56">
        <f t="shared" si="0"/>
        <v>14135.828292814807</v>
      </c>
      <c r="L2" s="56">
        <f t="shared" si="0"/>
        <v>15002.045116029873</v>
      </c>
      <c r="M2" s="56">
        <f t="shared" si="0"/>
        <v>15874.897347969381</v>
      </c>
      <c r="N2" s="56">
        <f t="shared" si="0"/>
        <v>16839.055074349435</v>
      </c>
      <c r="O2" s="56">
        <f t="shared" si="0"/>
        <v>17874.146139948833</v>
      </c>
      <c r="P2" s="56">
        <f t="shared" si="0"/>
        <v>18970.184094785916</v>
      </c>
      <c r="R2" s="57">
        <f>(J2/D2)^(1/6)-1</f>
        <v>6.8402148897550585E-2</v>
      </c>
      <c r="S2" s="57">
        <f>(P2/J2)^(1/6)-1</f>
        <v>6.0102321578735296E-2</v>
      </c>
    </row>
    <row r="3" spans="1:21" s="49" customFormat="1" x14ac:dyDescent="0.2">
      <c r="A3" s="58" t="s">
        <v>4</v>
      </c>
      <c r="B3" s="59"/>
      <c r="C3" s="59">
        <f t="shared" ref="C3:P3" si="1">C2/B2-1</f>
        <v>3.1215026572823268E-2</v>
      </c>
      <c r="D3" s="59">
        <f t="shared" si="1"/>
        <v>4.1249439801122945E-2</v>
      </c>
      <c r="E3" s="59">
        <f t="shared" si="1"/>
        <v>5.7063211609272413E-2</v>
      </c>
      <c r="F3" s="59">
        <f t="shared" si="1"/>
        <v>3.5086696520024496E-2</v>
      </c>
      <c r="G3" s="59">
        <f t="shared" si="1"/>
        <v>7.0357078160263375E-2</v>
      </c>
      <c r="H3" s="59">
        <f t="shared" si="1"/>
        <v>7.1322708828988945E-2</v>
      </c>
      <c r="I3" s="59">
        <f t="shared" si="1"/>
        <v>7.5650241642967631E-2</v>
      </c>
      <c r="J3" s="59">
        <f t="shared" si="1"/>
        <v>0.10207399949569362</v>
      </c>
      <c r="K3" s="59">
        <f t="shared" si="1"/>
        <v>5.7636497500526351E-2</v>
      </c>
      <c r="L3" s="59">
        <f t="shared" si="1"/>
        <v>6.1278108737028214E-2</v>
      </c>
      <c r="M3" s="59">
        <f t="shared" si="1"/>
        <v>5.8182216170437728E-2</v>
      </c>
      <c r="N3" s="59">
        <f t="shared" si="1"/>
        <v>6.0734737696013008E-2</v>
      </c>
      <c r="O3" s="59">
        <f t="shared" si="1"/>
        <v>6.1469664481122122E-2</v>
      </c>
      <c r="P3" s="59">
        <f t="shared" si="1"/>
        <v>6.1319737807638885E-2</v>
      </c>
      <c r="R3" s="60"/>
      <c r="S3" s="60"/>
    </row>
    <row r="4" spans="1:21" s="50" customFormat="1" x14ac:dyDescent="0.2">
      <c r="A4" s="61" t="s">
        <v>5</v>
      </c>
      <c r="B4" s="43">
        <v>1662.9582</v>
      </c>
      <c r="C4" s="43">
        <v>1717.4788250000001</v>
      </c>
      <c r="D4" s="43">
        <v>1800.173863</v>
      </c>
      <c r="E4" s="43">
        <v>1937.5170302935887</v>
      </c>
      <c r="F4" s="43">
        <v>2073.4692971253307</v>
      </c>
      <c r="G4" s="43">
        <v>2211.7818816003951</v>
      </c>
      <c r="H4" s="43">
        <v>2405.1331417040474</v>
      </c>
      <c r="I4" s="43">
        <v>2628.6330289290704</v>
      </c>
      <c r="J4" s="43">
        <v>2950.5117632983624</v>
      </c>
      <c r="K4" s="43">
        <v>3153.552633501351</v>
      </c>
      <c r="L4" s="43">
        <v>3379.7322645307459</v>
      </c>
      <c r="M4" s="43">
        <v>3598.2954130299217</v>
      </c>
      <c r="N4" s="43">
        <v>3848.6725488058373</v>
      </c>
      <c r="O4" s="43">
        <v>4123.2591350295006</v>
      </c>
      <c r="P4" s="43">
        <v>4419.7140410569718</v>
      </c>
      <c r="R4" s="57">
        <f>(J4/D4)^(1/6)-1</f>
        <v>8.583495041264988E-2</v>
      </c>
      <c r="S4" s="57">
        <f>(P4/J4)^(1/6)-1</f>
        <v>6.9669148698304761E-2</v>
      </c>
    </row>
    <row r="5" spans="1:21" s="50" customFormat="1" x14ac:dyDescent="0.2">
      <c r="A5" s="62" t="s">
        <v>4</v>
      </c>
      <c r="B5" s="63"/>
      <c r="C5" s="63">
        <f t="shared" ref="C5:P5" si="2">C4/B4-1</f>
        <v>3.2785324970886265E-2</v>
      </c>
      <c r="D5" s="63">
        <f t="shared" si="2"/>
        <v>4.814908736938861E-2</v>
      </c>
      <c r="E5" s="63">
        <f t="shared" si="2"/>
        <v>7.6294390290005509E-2</v>
      </c>
      <c r="F5" s="63">
        <f t="shared" si="2"/>
        <v>7.0168295145845105E-2</v>
      </c>
      <c r="G5" s="63">
        <f t="shared" si="2"/>
        <v>6.6705875349503119E-2</v>
      </c>
      <c r="H5" s="63">
        <f t="shared" si="2"/>
        <v>8.7418773845704845E-2</v>
      </c>
      <c r="I5" s="63">
        <f t="shared" si="2"/>
        <v>9.2926201610058268E-2</v>
      </c>
      <c r="J5" s="63">
        <f t="shared" si="2"/>
        <v>0.12245099670699511</v>
      </c>
      <c r="K5" s="63">
        <f t="shared" si="2"/>
        <v>6.8815475582449492E-2</v>
      </c>
      <c r="L5" s="63">
        <f t="shared" si="2"/>
        <v>7.1722167762987565E-2</v>
      </c>
      <c r="M5" s="63">
        <f t="shared" si="2"/>
        <v>6.4668775924332511E-2</v>
      </c>
      <c r="N5" s="63">
        <f t="shared" si="2"/>
        <v>6.9582151278982041E-2</v>
      </c>
      <c r="O5" s="63">
        <f t="shared" si="2"/>
        <v>7.1345790721754732E-2</v>
      </c>
      <c r="P5" s="63">
        <f t="shared" si="2"/>
        <v>7.1898199050579592E-2</v>
      </c>
      <c r="R5" s="64"/>
      <c r="S5" s="64"/>
    </row>
    <row r="6" spans="1:21" s="50" customFormat="1" x14ac:dyDescent="0.2">
      <c r="A6" s="61" t="s">
        <v>6</v>
      </c>
      <c r="B6" s="43">
        <v>2440.5790932999998</v>
      </c>
      <c r="C6" s="43">
        <v>2529.0913682</v>
      </c>
      <c r="D6" s="43">
        <v>2669.0222435999999</v>
      </c>
      <c r="E6" s="43">
        <v>2834.7458268</v>
      </c>
      <c r="F6" s="43">
        <v>2845.5733381</v>
      </c>
      <c r="G6" s="43">
        <v>3107.0970059999991</v>
      </c>
      <c r="H6" s="43">
        <v>3341.4065109999983</v>
      </c>
      <c r="I6" s="43">
        <v>3555.6523359999974</v>
      </c>
      <c r="J6" s="43">
        <v>3874.0370469999971</v>
      </c>
      <c r="K6" s="43">
        <v>4047.8902881700428</v>
      </c>
      <c r="L6" s="43">
        <v>4225.7339075131331</v>
      </c>
      <c r="M6" s="43">
        <v>4388.1224672717053</v>
      </c>
      <c r="N6" s="43">
        <v>4550.5810610640383</v>
      </c>
      <c r="O6" s="43">
        <v>4711.3948358253374</v>
      </c>
      <c r="P6" s="43">
        <v>4866.570870027288</v>
      </c>
      <c r="R6" s="57">
        <f>(J6/D6)^(1/6)-1</f>
        <v>6.4066072543160546E-2</v>
      </c>
      <c r="S6" s="57">
        <f>(P6/J6)^(1/6)-1</f>
        <v>3.8747234256199192E-2</v>
      </c>
    </row>
    <row r="7" spans="1:21" s="50" customFormat="1" x14ac:dyDescent="0.2">
      <c r="A7" s="62" t="s">
        <v>4</v>
      </c>
      <c r="B7" s="63"/>
      <c r="C7" s="63">
        <f t="shared" ref="C7:P7" si="3">C6/B6-1</f>
        <v>3.6266915152632695E-2</v>
      </c>
      <c r="D7" s="63">
        <f t="shared" si="3"/>
        <v>5.5328517253052434E-2</v>
      </c>
      <c r="E7" s="63">
        <f t="shared" si="3"/>
        <v>6.209149571435213E-2</v>
      </c>
      <c r="F7" s="63">
        <f t="shared" si="3"/>
        <v>3.8195704170849165E-3</v>
      </c>
      <c r="G7" s="63">
        <f t="shared" si="3"/>
        <v>9.1905439370829622E-2</v>
      </c>
      <c r="H7" s="63">
        <f t="shared" si="3"/>
        <v>7.5411068449917407E-2</v>
      </c>
      <c r="I7" s="63">
        <f t="shared" si="3"/>
        <v>6.411845559488083E-2</v>
      </c>
      <c r="J7" s="63">
        <f t="shared" si="3"/>
        <v>8.954326264591228E-2</v>
      </c>
      <c r="K7" s="63">
        <f t="shared" si="3"/>
        <v>4.4876504550898755E-2</v>
      </c>
      <c r="L7" s="63">
        <f t="shared" si="3"/>
        <v>4.3934891185869906E-2</v>
      </c>
      <c r="M7" s="63">
        <f t="shared" si="3"/>
        <v>3.8428486817367657E-2</v>
      </c>
      <c r="N7" s="63">
        <f t="shared" si="3"/>
        <v>3.7022347257628097E-2</v>
      </c>
      <c r="O7" s="63">
        <f t="shared" si="3"/>
        <v>3.5339173745802199E-2</v>
      </c>
      <c r="P7" s="63">
        <f t="shared" si="3"/>
        <v>3.2936325570082969E-2</v>
      </c>
      <c r="R7" s="64"/>
      <c r="S7" s="64"/>
    </row>
    <row r="8" spans="1:21" s="50" customFormat="1" x14ac:dyDescent="0.2">
      <c r="A8" s="61" t="s">
        <v>7</v>
      </c>
      <c r="B8" s="43">
        <v>4265.4382979270395</v>
      </c>
      <c r="C8" s="43">
        <v>4383.6431934944994</v>
      </c>
      <c r="D8" s="43">
        <v>4517.0087476598001</v>
      </c>
      <c r="E8" s="43">
        <v>4726.7237063291095</v>
      </c>
      <c r="F8" s="43">
        <v>4913.2319869959701</v>
      </c>
      <c r="G8" s="43">
        <v>5205.1658487097047</v>
      </c>
      <c r="H8" s="43">
        <v>5528.108462037153</v>
      </c>
      <c r="I8" s="43">
        <v>5943.2926041317305</v>
      </c>
      <c r="J8" s="43">
        <v>6540.939546260337</v>
      </c>
      <c r="K8" s="43">
        <v>6934.3853711434122</v>
      </c>
      <c r="L8" s="43">
        <v>7396.5789439859927</v>
      </c>
      <c r="M8" s="43">
        <v>7888.4794676677548</v>
      </c>
      <c r="N8" s="43">
        <v>8439.8014644795585</v>
      </c>
      <c r="O8" s="43">
        <v>9039.4921690939973</v>
      </c>
      <c r="P8" s="43">
        <v>9683.8991837016565</v>
      </c>
      <c r="R8" s="57">
        <f>(J8/D8)^(1/6)-1</f>
        <v>6.3648668091867311E-2</v>
      </c>
      <c r="S8" s="57">
        <f>(P8/J8)^(1/6)-1</f>
        <v>6.7583092991956972E-2</v>
      </c>
    </row>
    <row r="9" spans="1:21" s="50" customFormat="1" x14ac:dyDescent="0.2">
      <c r="A9" s="62" t="s">
        <v>4</v>
      </c>
      <c r="B9" s="63"/>
      <c r="C9" s="63">
        <f t="shared" ref="C9:P9" si="4">C8/B8-1</f>
        <v>2.7712250725770993E-2</v>
      </c>
      <c r="D9" s="63">
        <f t="shared" si="4"/>
        <v>3.0423451060802575E-2</v>
      </c>
      <c r="E9" s="63">
        <f t="shared" si="4"/>
        <v>4.6427839834926043E-2</v>
      </c>
      <c r="F9" s="63">
        <f t="shared" si="4"/>
        <v>3.9458257400813324E-2</v>
      </c>
      <c r="G9" s="63">
        <f t="shared" si="4"/>
        <v>5.9417886736552683E-2</v>
      </c>
      <c r="H9" s="63">
        <f t="shared" si="4"/>
        <v>6.2042713472328925E-2</v>
      </c>
      <c r="I9" s="63">
        <f t="shared" si="4"/>
        <v>7.5104196118029654E-2</v>
      </c>
      <c r="J9" s="63">
        <f t="shared" si="4"/>
        <v>0.10055822284656268</v>
      </c>
      <c r="K9" s="63">
        <f t="shared" si="4"/>
        <v>6.0151270639402288E-2</v>
      </c>
      <c r="L9" s="63">
        <f t="shared" si="4"/>
        <v>6.6652420958019043E-2</v>
      </c>
      <c r="M9" s="63">
        <f t="shared" si="4"/>
        <v>6.6503788765982952E-2</v>
      </c>
      <c r="N9" s="63">
        <f t="shared" si="4"/>
        <v>6.9889514078282033E-2</v>
      </c>
      <c r="O9" s="63">
        <f t="shared" si="4"/>
        <v>7.1055072460927793E-2</v>
      </c>
      <c r="P9" s="63">
        <f t="shared" si="4"/>
        <v>7.1287966464630204E-2</v>
      </c>
      <c r="R9" s="64"/>
      <c r="S9" s="64"/>
    </row>
    <row r="10" spans="1:21" s="50" customFormat="1" ht="17.100000000000001" customHeight="1" x14ac:dyDescent="0.2">
      <c r="B10" s="65"/>
      <c r="C10" s="65"/>
      <c r="D10" s="65"/>
      <c r="E10" s="65"/>
      <c r="F10" s="65"/>
      <c r="G10" s="65"/>
      <c r="H10" s="65"/>
      <c r="I10" s="65"/>
      <c r="J10" s="65"/>
      <c r="K10" s="65"/>
      <c r="L10" s="65"/>
      <c r="M10" s="65"/>
      <c r="N10" s="65"/>
      <c r="O10" s="65"/>
      <c r="P10" s="65"/>
      <c r="R10" s="64"/>
      <c r="S10" s="64"/>
    </row>
    <row r="11" spans="1:21" s="50" customFormat="1" x14ac:dyDescent="0.2">
      <c r="A11" s="55" t="s">
        <v>8</v>
      </c>
      <c r="B11" s="56">
        <v>357.4516466</v>
      </c>
      <c r="C11" s="56">
        <v>357.60400220000002</v>
      </c>
      <c r="D11" s="56">
        <v>364.66454979999997</v>
      </c>
      <c r="E11" s="56">
        <v>423.8662085000002</v>
      </c>
      <c r="F11" s="56">
        <v>384.22230490000015</v>
      </c>
      <c r="G11" s="56">
        <v>441.18316860000027</v>
      </c>
      <c r="H11" s="56">
        <v>476.93772530000018</v>
      </c>
      <c r="I11" s="56">
        <v>494.51608580000021</v>
      </c>
      <c r="J11" s="56">
        <v>521.13990530000024</v>
      </c>
      <c r="K11" s="56">
        <v>538.35180522135261</v>
      </c>
      <c r="L11" s="56">
        <v>557.08959766886392</v>
      </c>
      <c r="M11" s="56">
        <v>569.69614197340741</v>
      </c>
      <c r="N11" s="56">
        <v>589.35989058435678</v>
      </c>
      <c r="O11" s="56">
        <v>610.8460429205345</v>
      </c>
      <c r="P11" s="56">
        <v>630.99352679480205</v>
      </c>
      <c r="R11" s="57">
        <f>(J11/D11)^(1/6)-1</f>
        <v>6.1312951100974233E-2</v>
      </c>
      <c r="S11" s="57">
        <f>(P11/J11)^(1/6)-1</f>
        <v>3.239310577947041E-2</v>
      </c>
    </row>
    <row r="12" spans="1:21" s="50" customFormat="1" x14ac:dyDescent="0.2">
      <c r="A12" s="58" t="s">
        <v>4</v>
      </c>
      <c r="B12" s="59"/>
      <c r="C12" s="59">
        <f t="shared" ref="C12:P12" si="5">C11/B11-1</f>
        <v>4.2622715953100077E-4</v>
      </c>
      <c r="D12" s="59">
        <f t="shared" si="5"/>
        <v>1.9744039654374879E-2</v>
      </c>
      <c r="E12" s="59">
        <f t="shared" si="5"/>
        <v>0.16234552750594844</v>
      </c>
      <c r="F12" s="59">
        <f t="shared" si="5"/>
        <v>-9.3529285432528253E-2</v>
      </c>
      <c r="G12" s="59">
        <f t="shared" si="5"/>
        <v>0.14824975794891726</v>
      </c>
      <c r="H12" s="59">
        <f t="shared" si="5"/>
        <v>8.1042431454172004E-2</v>
      </c>
      <c r="I12" s="59">
        <f t="shared" si="5"/>
        <v>3.6856720631489148E-2</v>
      </c>
      <c r="J12" s="59">
        <f t="shared" si="5"/>
        <v>5.3838126330975733E-2</v>
      </c>
      <c r="K12" s="59">
        <f t="shared" si="5"/>
        <v>3.3027407316743806E-2</v>
      </c>
      <c r="L12" s="59">
        <f t="shared" si="5"/>
        <v>3.4805850497346968E-2</v>
      </c>
      <c r="M12" s="59">
        <f t="shared" si="5"/>
        <v>2.2629294026123459E-2</v>
      </c>
      <c r="N12" s="59">
        <f t="shared" si="5"/>
        <v>3.4516204625916647E-2</v>
      </c>
      <c r="O12" s="59">
        <f t="shared" si="5"/>
        <v>3.6456760426764045E-2</v>
      </c>
      <c r="P12" s="59">
        <f t="shared" si="5"/>
        <v>3.2982916248323058E-2</v>
      </c>
      <c r="R12" s="64"/>
      <c r="S12" s="64"/>
    </row>
    <row r="13" spans="1:21" s="50" customFormat="1" x14ac:dyDescent="0.2">
      <c r="B13" s="65"/>
      <c r="C13" s="65"/>
      <c r="D13" s="65"/>
      <c r="E13" s="65"/>
      <c r="F13" s="65"/>
      <c r="G13" s="65"/>
      <c r="H13" s="65"/>
      <c r="I13" s="65"/>
      <c r="J13" s="65"/>
      <c r="K13" s="65"/>
      <c r="L13" s="65"/>
      <c r="M13" s="65"/>
      <c r="N13" s="65"/>
      <c r="O13" s="65"/>
      <c r="P13" s="65"/>
      <c r="R13" s="64"/>
      <c r="S13" s="64"/>
    </row>
    <row r="14" spans="1:21" s="50" customFormat="1" x14ac:dyDescent="0.2">
      <c r="A14" s="55" t="s">
        <v>46</v>
      </c>
      <c r="B14" s="56">
        <v>232.7592449</v>
      </c>
      <c r="C14" s="56">
        <v>248.63926360000011</v>
      </c>
      <c r="D14" s="56">
        <v>275.65596470000031</v>
      </c>
      <c r="E14" s="56">
        <v>296.51917080000038</v>
      </c>
      <c r="F14" s="56">
        <v>292.9064409000004</v>
      </c>
      <c r="G14" s="56">
        <v>312.74389000000053</v>
      </c>
      <c r="H14" s="56">
        <v>356.8680431000007</v>
      </c>
      <c r="I14" s="56">
        <v>390.10576220000092</v>
      </c>
      <c r="J14" s="56">
        <v>426.2177335000008</v>
      </c>
      <c r="K14" s="56">
        <v>460.35591329958464</v>
      </c>
      <c r="L14" s="56">
        <v>501.10122801092695</v>
      </c>
      <c r="M14" s="56">
        <v>539.77663939270042</v>
      </c>
      <c r="N14" s="56">
        <v>575.41649861606868</v>
      </c>
      <c r="O14" s="56">
        <v>612.43126671078551</v>
      </c>
      <c r="P14" s="87">
        <v>656.22252806516349</v>
      </c>
      <c r="R14" s="57">
        <f>(J14/D14)^(1/6)-1</f>
        <v>7.5335591090420539E-2</v>
      </c>
      <c r="S14" s="57">
        <f>(P14/J14)^(1/6)-1</f>
        <v>7.4574680565822504E-2</v>
      </c>
    </row>
    <row r="15" spans="1:21" s="50" customFormat="1" x14ac:dyDescent="0.2">
      <c r="A15" s="58" t="s">
        <v>4</v>
      </c>
      <c r="B15" s="66"/>
      <c r="C15" s="59">
        <f t="shared" ref="C15" si="6">C14/B14-1</f>
        <v>6.8225082560405381E-2</v>
      </c>
      <c r="D15" s="59">
        <f t="shared" ref="D15" si="7">D14/C14-1</f>
        <v>0.10865822520880486</v>
      </c>
      <c r="E15" s="59">
        <f t="shared" ref="E15" si="8">E14/D14-1</f>
        <v>7.5685668992164779E-2</v>
      </c>
      <c r="F15" s="59">
        <f t="shared" ref="F15" si="9">F14/E14-1</f>
        <v>-1.218379874142006E-2</v>
      </c>
      <c r="G15" s="59">
        <f t="shared" ref="G15" si="10">G14/F14-1</f>
        <v>6.7726230393044595E-2</v>
      </c>
      <c r="H15" s="59">
        <f t="shared" ref="H15" si="11">H14/G14-1</f>
        <v>0.1410871787135477</v>
      </c>
      <c r="I15" s="59">
        <f t="shared" ref="I15" si="12">I14/H14-1</f>
        <v>9.3137280691413471E-2</v>
      </c>
      <c r="J15" s="59">
        <f t="shared" ref="J15" si="13">J14/I14-1</f>
        <v>9.2569694680607828E-2</v>
      </c>
      <c r="K15" s="59">
        <f t="shared" ref="K15" si="14">K14/J14-1</f>
        <v>8.0095634499411927E-2</v>
      </c>
      <c r="L15" s="59">
        <f t="shared" ref="L15" si="15">L14/K14-1</f>
        <v>8.8508290073438411E-2</v>
      </c>
      <c r="M15" s="59">
        <f t="shared" ref="M15" si="16">M14/L14-1</f>
        <v>7.7180835367919087E-2</v>
      </c>
      <c r="N15" s="59">
        <f t="shared" ref="N15" si="17">N14/M14-1</f>
        <v>6.6027050121076902E-2</v>
      </c>
      <c r="O15" s="59">
        <f t="shared" ref="O15" si="18">O14/N14-1</f>
        <v>6.4326914823855219E-2</v>
      </c>
      <c r="P15" s="59">
        <f t="shared" ref="P15" si="19">P14/O14-1</f>
        <v>7.1503960909066411E-2</v>
      </c>
      <c r="R15" s="64"/>
      <c r="S15" s="64"/>
    </row>
    <row r="16" spans="1:21" ht="17.100000000000001" customHeight="1" x14ac:dyDescent="0.2">
      <c r="R16" s="109"/>
      <c r="S16" s="109"/>
    </row>
    <row r="17" spans="1:19" x14ac:dyDescent="0.2">
      <c r="A17" s="67" t="s">
        <v>9</v>
      </c>
      <c r="R17" s="109"/>
      <c r="S17" s="109"/>
    </row>
    <row r="18" spans="1:19" x14ac:dyDescent="0.2">
      <c r="A18" s="68" t="s">
        <v>82</v>
      </c>
      <c r="B18" s="43">
        <v>281.80599999999998</v>
      </c>
      <c r="C18" s="43">
        <v>289.87400000000002</v>
      </c>
      <c r="D18" s="43">
        <v>274.76799999999997</v>
      </c>
      <c r="E18" s="43">
        <v>288.827</v>
      </c>
      <c r="F18" s="43">
        <v>290.79099999999994</v>
      </c>
      <c r="G18" s="43">
        <v>362.33999999999986</v>
      </c>
      <c r="H18" s="43">
        <v>363.38899999999995</v>
      </c>
      <c r="I18" s="43">
        <v>364.029</v>
      </c>
      <c r="J18" s="43">
        <v>366.76515277359272</v>
      </c>
      <c r="K18" s="43">
        <v>370.13610767878419</v>
      </c>
      <c r="L18" s="43">
        <v>375.62909892472919</v>
      </c>
      <c r="M18" s="43">
        <v>381.82011732871058</v>
      </c>
      <c r="N18" s="43">
        <v>387.89706662710029</v>
      </c>
      <c r="O18" s="43">
        <v>393.35244432705389</v>
      </c>
      <c r="P18" s="43">
        <v>397.52120100912532</v>
      </c>
      <c r="R18" s="57">
        <f>(J18/D18)^(1/6)-1</f>
        <v>4.9309614464072782E-2</v>
      </c>
      <c r="S18" s="57">
        <f>(P18/J18)^(1/6)-1</f>
        <v>1.3511556425128468E-2</v>
      </c>
    </row>
    <row r="19" spans="1:19" x14ac:dyDescent="0.2">
      <c r="A19" s="62" t="s">
        <v>4</v>
      </c>
      <c r="B19" s="63"/>
      <c r="C19" s="63">
        <f t="shared" ref="C19:P19" si="20">C18/B18-1</f>
        <v>2.8629624635387652E-2</v>
      </c>
      <c r="D19" s="63">
        <f t="shared" si="20"/>
        <v>-5.2112297067001712E-2</v>
      </c>
      <c r="E19" s="63">
        <f t="shared" si="20"/>
        <v>5.1166802538869183E-2</v>
      </c>
      <c r="F19" s="63">
        <f t="shared" si="20"/>
        <v>6.7999182901874455E-3</v>
      </c>
      <c r="G19" s="63">
        <f t="shared" si="20"/>
        <v>0.24604956824660995</v>
      </c>
      <c r="H19" s="63">
        <f t="shared" si="20"/>
        <v>2.8950709278581233E-3</v>
      </c>
      <c r="I19" s="63">
        <f t="shared" si="20"/>
        <v>1.7611980549769868E-3</v>
      </c>
      <c r="J19" s="63">
        <f t="shared" si="20"/>
        <v>7.5163043977064525E-3</v>
      </c>
      <c r="K19" s="63">
        <f t="shared" si="20"/>
        <v>9.191044677225424E-3</v>
      </c>
      <c r="L19" s="63">
        <f t="shared" si="20"/>
        <v>1.4840463094489609E-2</v>
      </c>
      <c r="M19" s="63">
        <f t="shared" si="20"/>
        <v>1.6481732703093943E-2</v>
      </c>
      <c r="N19" s="63">
        <f t="shared" si="20"/>
        <v>1.5915738911048694E-2</v>
      </c>
      <c r="O19" s="63">
        <f t="shared" si="20"/>
        <v>1.4063982868934843E-2</v>
      </c>
      <c r="P19" s="63">
        <f t="shared" si="20"/>
        <v>1.0598019008635662E-2</v>
      </c>
      <c r="R19" s="109"/>
      <c r="S19" s="109"/>
    </row>
    <row r="20" spans="1:19" x14ac:dyDescent="0.2">
      <c r="A20" s="68" t="s">
        <v>10</v>
      </c>
      <c r="B20" s="43">
        <v>41.015999999999998</v>
      </c>
      <c r="C20" s="43">
        <v>41.753999999999998</v>
      </c>
      <c r="D20" s="43">
        <v>40.61</v>
      </c>
      <c r="E20" s="43">
        <v>41.11</v>
      </c>
      <c r="F20" s="43">
        <v>38.633000000000003</v>
      </c>
      <c r="G20" s="43">
        <v>40.820999999999998</v>
      </c>
      <c r="H20" s="43">
        <v>43.064</v>
      </c>
      <c r="I20" s="43">
        <v>42.944000000000003</v>
      </c>
      <c r="J20" s="43">
        <v>42.797490191339321</v>
      </c>
      <c r="K20" s="43">
        <v>42.380304228116799</v>
      </c>
      <c r="L20" s="43">
        <v>42.313408106686019</v>
      </c>
      <c r="M20" s="43">
        <v>42.441167035019333</v>
      </c>
      <c r="N20" s="43">
        <v>42.631269221204413</v>
      </c>
      <c r="O20" s="43">
        <v>42.823706551326993</v>
      </c>
      <c r="P20" s="43">
        <v>42.832460714791509</v>
      </c>
      <c r="R20" s="57">
        <f>(J20/D20)^(1/6)-1</f>
        <v>8.782528537195633E-3</v>
      </c>
      <c r="S20" s="57">
        <f>(P20/J20)^(1/6)-1</f>
        <v>1.3613969337655796E-4</v>
      </c>
    </row>
    <row r="21" spans="1:19" x14ac:dyDescent="0.2">
      <c r="A21" s="62" t="s">
        <v>4</v>
      </c>
      <c r="B21" s="63"/>
      <c r="C21" s="63">
        <f t="shared" ref="C21:P21" si="21">C20/B20-1</f>
        <v>1.7992978349912203E-2</v>
      </c>
      <c r="D21" s="63">
        <f t="shared" si="21"/>
        <v>-2.7398572591847414E-2</v>
      </c>
      <c r="E21" s="63">
        <f t="shared" si="21"/>
        <v>1.231223836493478E-2</v>
      </c>
      <c r="F21" s="63">
        <f t="shared" si="21"/>
        <v>-6.0252979810265117E-2</v>
      </c>
      <c r="G21" s="63">
        <f t="shared" si="21"/>
        <v>5.6635518856935629E-2</v>
      </c>
      <c r="H21" s="63">
        <f t="shared" si="21"/>
        <v>5.4947208544621651E-2</v>
      </c>
      <c r="I21" s="63">
        <f t="shared" si="21"/>
        <v>-2.7865502507894435E-3</v>
      </c>
      <c r="J21" s="63">
        <f t="shared" si="21"/>
        <v>-3.4116479289465484E-3</v>
      </c>
      <c r="K21" s="63">
        <f t="shared" si="21"/>
        <v>-9.7479072103846542E-3</v>
      </c>
      <c r="L21" s="63">
        <f t="shared" si="21"/>
        <v>-1.5784719493919797E-3</v>
      </c>
      <c r="M21" s="63">
        <f t="shared" si="21"/>
        <v>3.0193485717622259E-3</v>
      </c>
      <c r="N21" s="63">
        <f t="shared" si="21"/>
        <v>4.4791931859040623E-3</v>
      </c>
      <c r="O21" s="63">
        <f t="shared" si="21"/>
        <v>4.5139948595962487E-3</v>
      </c>
      <c r="P21" s="63">
        <f t="shared" si="21"/>
        <v>2.0442330123904284E-4</v>
      </c>
      <c r="R21" s="109"/>
      <c r="S21" s="109"/>
    </row>
    <row r="22" spans="1:19" x14ac:dyDescent="0.2">
      <c r="A22" s="68" t="s">
        <v>11</v>
      </c>
      <c r="B22" s="43">
        <v>1.0900000000000001</v>
      </c>
      <c r="C22" s="43">
        <v>1.1269999999999998</v>
      </c>
      <c r="D22" s="43">
        <v>1.1839999999999993</v>
      </c>
      <c r="E22" s="43">
        <v>1.2079999999999991</v>
      </c>
      <c r="F22" s="43">
        <v>1.2009999999999992</v>
      </c>
      <c r="G22" s="43">
        <v>1.2089999999999992</v>
      </c>
      <c r="H22" s="43">
        <v>1.2559999999999991</v>
      </c>
      <c r="I22" s="43">
        <v>1.300999999999999</v>
      </c>
      <c r="J22" s="43">
        <v>1.3149422379578113</v>
      </c>
      <c r="K22" s="43">
        <v>1.3276126442481941</v>
      </c>
      <c r="L22" s="43">
        <v>1.3456242549614053</v>
      </c>
      <c r="M22" s="43">
        <v>1.3675577674614001</v>
      </c>
      <c r="N22" s="43">
        <v>1.3905328897301883</v>
      </c>
      <c r="O22" s="43">
        <v>1.4134830003118841</v>
      </c>
      <c r="P22" s="43">
        <v>1.4339747756890728</v>
      </c>
      <c r="R22" s="57">
        <f>(J22/D22)^(1/6)-1</f>
        <v>1.7636078133604904E-2</v>
      </c>
      <c r="S22" s="57">
        <f>(P22/J22)^(1/6)-1</f>
        <v>1.4547704769416914E-2</v>
      </c>
    </row>
    <row r="23" spans="1:19" x14ac:dyDescent="0.2">
      <c r="A23" s="62" t="s">
        <v>4</v>
      </c>
      <c r="B23" s="63"/>
      <c r="C23" s="63">
        <f t="shared" ref="C23:P23" si="22">C22/B22-1</f>
        <v>3.3944954128440008E-2</v>
      </c>
      <c r="D23" s="63">
        <f t="shared" si="22"/>
        <v>5.0576752440105954E-2</v>
      </c>
      <c r="E23" s="63">
        <f t="shared" si="22"/>
        <v>2.0270270270270174E-2</v>
      </c>
      <c r="F23" s="63">
        <f t="shared" si="22"/>
        <v>-5.7947019867549132E-3</v>
      </c>
      <c r="G23" s="63">
        <f t="shared" si="22"/>
        <v>6.6611157368858809E-3</v>
      </c>
      <c r="H23" s="63">
        <f t="shared" si="22"/>
        <v>3.8875103391232457E-2</v>
      </c>
      <c r="I23" s="63">
        <f t="shared" si="22"/>
        <v>3.5828025477707026E-2</v>
      </c>
      <c r="J23" s="63">
        <f t="shared" si="22"/>
        <v>1.0716554925297661E-2</v>
      </c>
      <c r="K23" s="63">
        <f t="shared" si="22"/>
        <v>9.6357132082551811E-3</v>
      </c>
      <c r="L23" s="63">
        <f t="shared" si="22"/>
        <v>1.3566917120927835E-2</v>
      </c>
      <c r="M23" s="63">
        <f t="shared" si="22"/>
        <v>1.6299878973736304E-2</v>
      </c>
      <c r="N23" s="63">
        <f t="shared" si="22"/>
        <v>1.680011098283396E-2</v>
      </c>
      <c r="O23" s="63">
        <f t="shared" si="22"/>
        <v>1.6504543510760694E-2</v>
      </c>
      <c r="P23" s="63">
        <f t="shared" si="22"/>
        <v>1.4497362453363305E-2</v>
      </c>
      <c r="R23" s="109"/>
      <c r="S23" s="109"/>
    </row>
    <row r="24" spans="1:19" x14ac:dyDescent="0.2">
      <c r="A24" s="69" t="s">
        <v>54</v>
      </c>
      <c r="B24" s="56">
        <f t="shared" ref="B24:P24" si="23">B18+B20+B22</f>
        <v>323.91199999999998</v>
      </c>
      <c r="C24" s="56">
        <f t="shared" si="23"/>
        <v>332.75500000000005</v>
      </c>
      <c r="D24" s="56">
        <f t="shared" si="23"/>
        <v>316.56200000000001</v>
      </c>
      <c r="E24" s="56">
        <f t="shared" si="23"/>
        <v>331.14500000000004</v>
      </c>
      <c r="F24" s="56">
        <f t="shared" si="23"/>
        <v>330.62499999999994</v>
      </c>
      <c r="G24" s="56">
        <f t="shared" si="23"/>
        <v>404.36999999999983</v>
      </c>
      <c r="H24" s="56">
        <f t="shared" si="23"/>
        <v>407.70899999999995</v>
      </c>
      <c r="I24" s="56">
        <f t="shared" si="23"/>
        <v>408.274</v>
      </c>
      <c r="J24" s="56">
        <f t="shared" si="23"/>
        <v>410.87758520288986</v>
      </c>
      <c r="K24" s="56">
        <f t="shared" si="23"/>
        <v>413.84402455114918</v>
      </c>
      <c r="L24" s="56">
        <f t="shared" si="23"/>
        <v>419.28813128637665</v>
      </c>
      <c r="M24" s="56">
        <f t="shared" si="23"/>
        <v>425.62884213119133</v>
      </c>
      <c r="N24" s="56">
        <f t="shared" si="23"/>
        <v>431.91886873803492</v>
      </c>
      <c r="O24" s="56">
        <f t="shared" si="23"/>
        <v>437.58963387869278</v>
      </c>
      <c r="P24" s="56">
        <f t="shared" si="23"/>
        <v>441.78763649960592</v>
      </c>
      <c r="R24" s="57">
        <f>(J24/D24)^(1/6)-1</f>
        <v>4.4421038236073462E-2</v>
      </c>
      <c r="S24" s="57">
        <f>(P24/J24)^(1/6)-1</f>
        <v>1.2162364322663155E-2</v>
      </c>
    </row>
    <row r="25" spans="1:19" ht="17.100000000000001" customHeight="1" x14ac:dyDescent="0.2">
      <c r="A25" s="70" t="s">
        <v>4</v>
      </c>
      <c r="B25" s="66"/>
      <c r="C25" s="59">
        <f t="shared" ref="C25:P25" si="24">C24/B24-1</f>
        <v>2.7300624861073652E-2</v>
      </c>
      <c r="D25" s="59">
        <f t="shared" si="24"/>
        <v>-4.8663431052876849E-2</v>
      </c>
      <c r="E25" s="59">
        <f t="shared" si="24"/>
        <v>4.6066805238784259E-2</v>
      </c>
      <c r="F25" s="59">
        <f t="shared" si="24"/>
        <v>-1.5703090791046037E-3</v>
      </c>
      <c r="G25" s="59">
        <f t="shared" si="24"/>
        <v>0.22304725897920585</v>
      </c>
      <c r="H25" s="59">
        <f t="shared" si="24"/>
        <v>8.2572891164036655E-3</v>
      </c>
      <c r="I25" s="59">
        <f t="shared" si="24"/>
        <v>1.3857923175599751E-3</v>
      </c>
      <c r="J25" s="59">
        <f t="shared" si="24"/>
        <v>6.3770536524243582E-3</v>
      </c>
      <c r="K25" s="59">
        <f t="shared" si="24"/>
        <v>7.2197643655700361E-3</v>
      </c>
      <c r="L25" s="59">
        <f t="shared" si="24"/>
        <v>1.3154972434680223E-2</v>
      </c>
      <c r="M25" s="59">
        <f t="shared" si="24"/>
        <v>1.5122562199319622E-2</v>
      </c>
      <c r="N25" s="59">
        <f t="shared" si="24"/>
        <v>1.4778196363170348E-2</v>
      </c>
      <c r="O25" s="59">
        <f t="shared" si="24"/>
        <v>1.3129236880126349E-2</v>
      </c>
      <c r="P25" s="59">
        <f t="shared" si="24"/>
        <v>9.593469076730754E-3</v>
      </c>
      <c r="R25" s="109"/>
      <c r="S25" s="109"/>
    </row>
    <row r="26" spans="1:19" ht="17.100000000000001" customHeight="1" x14ac:dyDescent="0.2">
      <c r="R26" s="109"/>
      <c r="S26" s="109"/>
    </row>
    <row r="27" spans="1:19" x14ac:dyDescent="0.2">
      <c r="A27" s="71" t="s">
        <v>12</v>
      </c>
      <c r="R27" s="109"/>
      <c r="S27" s="109"/>
    </row>
    <row r="28" spans="1:19" x14ac:dyDescent="0.2">
      <c r="A28" s="72" t="s">
        <v>84</v>
      </c>
      <c r="B28" s="88">
        <v>9.3093526090787332E-2</v>
      </c>
      <c r="C28" s="88">
        <v>0.1063341771207269</v>
      </c>
      <c r="D28" s="88">
        <v>0.12120635233898985</v>
      </c>
      <c r="E28" s="88">
        <v>0.13783776303262993</v>
      </c>
      <c r="F28" s="88">
        <v>0.15634525959460124</v>
      </c>
      <c r="G28" s="88">
        <v>0.17682809003798555</v>
      </c>
      <c r="H28" s="88">
        <v>0.19936026454741193</v>
      </c>
      <c r="I28" s="88">
        <v>0.22398235418132165</v>
      </c>
      <c r="J28" s="88">
        <v>0.25069323256259557</v>
      </c>
      <c r="K28" s="88">
        <v>0.27944244782481931</v>
      </c>
      <c r="L28" s="88">
        <v>0.31012405388964137</v>
      </c>
      <c r="M28" s="88">
        <v>0.3425727936817573</v>
      </c>
      <c r="N28" s="88">
        <v>0.3765634714383595</v>
      </c>
      <c r="O28" s="88">
        <v>0.41181414923049647</v>
      </c>
      <c r="P28" s="88">
        <v>0.4479934528159813</v>
      </c>
      <c r="R28" s="109"/>
      <c r="S28" s="109"/>
    </row>
    <row r="29" spans="1:19" x14ac:dyDescent="0.2">
      <c r="A29" s="72" t="s">
        <v>13</v>
      </c>
      <c r="B29" s="88">
        <v>0.17472976768148382</v>
      </c>
      <c r="C29" s="88">
        <v>0.20680554594953349</v>
      </c>
      <c r="D29" s="88">
        <v>0.24303554335631478</v>
      </c>
      <c r="E29" s="88">
        <v>0.28334531793467216</v>
      </c>
      <c r="F29" s="88">
        <v>0.32744871874810827</v>
      </c>
      <c r="G29" s="88">
        <v>0.37482647687473852</v>
      </c>
      <c r="H29" s="88">
        <v>0.42473014951899624</v>
      </c>
      <c r="I29" s="88">
        <v>0.47621687016765757</v>
      </c>
      <c r="J29" s="88">
        <v>0.52821411733099854</v>
      </c>
      <c r="K29" s="88">
        <v>0.57960627622690741</v>
      </c>
      <c r="L29" s="88">
        <v>0.62932873879053908</v>
      </c>
      <c r="M29" s="88">
        <v>0.6764530967449951</v>
      </c>
      <c r="N29" s="88">
        <v>0.72024956530821527</v>
      </c>
      <c r="O29" s="88">
        <v>0.76021903157232384</v>
      </c>
      <c r="P29" s="88">
        <v>0.79609455140288532</v>
      </c>
      <c r="R29" s="109"/>
      <c r="S29" s="109"/>
    </row>
    <row r="30" spans="1:19" x14ac:dyDescent="0.2">
      <c r="A30" s="72" t="s">
        <v>14</v>
      </c>
      <c r="B30" s="88">
        <v>0.31789668413263827</v>
      </c>
      <c r="C30" s="88">
        <v>0.40648037747301397</v>
      </c>
      <c r="D30" s="88">
        <v>0.5015963592386079</v>
      </c>
      <c r="E30" s="88">
        <v>0.59659694127094176</v>
      </c>
      <c r="F30" s="88">
        <v>0.68486607821369017</v>
      </c>
      <c r="G30" s="88">
        <v>0.76154083117176496</v>
      </c>
      <c r="H30" s="88">
        <v>0.8243447807034735</v>
      </c>
      <c r="I30" s="88">
        <v>0.87335849860392412</v>
      </c>
      <c r="J30" s="88">
        <v>0.91018582189601582</v>
      </c>
      <c r="K30" s="88">
        <v>0.93707536725200247</v>
      </c>
      <c r="L30" s="88">
        <v>0.95630094103884122</v>
      </c>
      <c r="M30" s="88">
        <v>0.96984150928027002</v>
      </c>
      <c r="N30" s="88">
        <v>0.97927732256567857</v>
      </c>
      <c r="O30" s="88">
        <v>0.98580412603862999</v>
      </c>
      <c r="P30" s="88">
        <v>0.9902956221857292</v>
      </c>
      <c r="R30" s="109"/>
      <c r="S30" s="109"/>
    </row>
    <row r="31" spans="1:19" x14ac:dyDescent="0.2">
      <c r="A31" s="73" t="s">
        <v>15</v>
      </c>
      <c r="B31" s="89">
        <v>0.10418736493389789</v>
      </c>
      <c r="C31" s="89">
        <v>0.11995785310418325</v>
      </c>
      <c r="D31" s="89">
        <v>0.13825787847094095</v>
      </c>
      <c r="E31" s="89">
        <v>0.15757533016888392</v>
      </c>
      <c r="F31" s="89">
        <v>0.17825828323358486</v>
      </c>
      <c r="G31" s="89">
        <v>0.19856414823491866</v>
      </c>
      <c r="H31" s="89">
        <v>0.2250901583655722</v>
      </c>
      <c r="I31" s="89">
        <v>0.25258274856943114</v>
      </c>
      <c r="J31" s="89">
        <v>0.28171072405902042</v>
      </c>
      <c r="K31" s="89">
        <v>0.3122908528726055</v>
      </c>
      <c r="L31" s="89">
        <v>0.34441109499909317</v>
      </c>
      <c r="M31" s="89">
        <v>0.377880776667741</v>
      </c>
      <c r="N31" s="89">
        <v>0.4124263821597553</v>
      </c>
      <c r="O31" s="89">
        <v>0.44776407194138207</v>
      </c>
      <c r="P31" s="89">
        <v>0.4835029894475954</v>
      </c>
      <c r="R31" s="109"/>
      <c r="S31" s="109"/>
    </row>
    <row r="32" spans="1:19" ht="17.100000000000001" customHeight="1" x14ac:dyDescent="0.2">
      <c r="R32" s="109"/>
      <c r="S32" s="109"/>
    </row>
    <row r="33" spans="1:19" x14ac:dyDescent="0.2">
      <c r="A33" s="67" t="s">
        <v>16</v>
      </c>
      <c r="R33" s="109"/>
      <c r="S33" s="109"/>
    </row>
    <row r="34" spans="1:19" x14ac:dyDescent="0.2">
      <c r="A34" s="68" t="s">
        <v>83</v>
      </c>
      <c r="B34" s="43">
        <f t="shared" ref="B34:P34" si="25">B28*B18</f>
        <v>26.234314213540415</v>
      </c>
      <c r="C34" s="43">
        <f t="shared" si="25"/>
        <v>30.823513258693591</v>
      </c>
      <c r="D34" s="43">
        <f t="shared" si="25"/>
        <v>33.303627019479563</v>
      </c>
      <c r="E34" s="43">
        <f t="shared" si="25"/>
        <v>39.811267583425405</v>
      </c>
      <c r="F34" s="43">
        <f t="shared" si="25"/>
        <v>45.463794382773678</v>
      </c>
      <c r="G34" s="43">
        <f t="shared" si="25"/>
        <v>64.071890144363664</v>
      </c>
      <c r="H34" s="43">
        <f t="shared" si="25"/>
        <v>72.445327173619461</v>
      </c>
      <c r="I34" s="43">
        <f t="shared" si="25"/>
        <v>81.53607241027234</v>
      </c>
      <c r="J34" s="43">
        <f t="shared" si="25"/>
        <v>91.945541740126174</v>
      </c>
      <c r="K34" s="43">
        <f t="shared" si="25"/>
        <v>103.43173995811036</v>
      </c>
      <c r="L34" s="43">
        <f t="shared" si="25"/>
        <v>116.49161891745014</v>
      </c>
      <c r="M34" s="43">
        <f t="shared" si="25"/>
        <v>130.80118427719273</v>
      </c>
      <c r="N34" s="43">
        <f t="shared" si="25"/>
        <v>146.06786596985751</v>
      </c>
      <c r="O34" s="43">
        <f t="shared" si="25"/>
        <v>161.98810220828193</v>
      </c>
      <c r="P34" s="43">
        <f t="shared" si="25"/>
        <v>178.08689540763379</v>
      </c>
      <c r="R34" s="57">
        <f>(J34/D34)^(1/6)-1</f>
        <v>0.18442215838623111</v>
      </c>
      <c r="S34" s="57">
        <f>(P34/J34)^(1/6)-1</f>
        <v>0.1164781148893077</v>
      </c>
    </row>
    <row r="35" spans="1:19" x14ac:dyDescent="0.2">
      <c r="A35" s="62" t="s">
        <v>4</v>
      </c>
      <c r="B35" s="75"/>
      <c r="C35" s="63">
        <f t="shared" ref="C35:P35" si="26">C34/B34-1</f>
        <v>0.17493116106631579</v>
      </c>
      <c r="D35" s="63">
        <f t="shared" si="26"/>
        <v>8.0461748145677969E-2</v>
      </c>
      <c r="E35" s="63">
        <f t="shared" si="26"/>
        <v>0.19540335832308808</v>
      </c>
      <c r="F35" s="63">
        <f t="shared" si="26"/>
        <v>0.14198309027722567</v>
      </c>
      <c r="G35" s="63">
        <f t="shared" si="26"/>
        <v>0.40929482490886482</v>
      </c>
      <c r="H35" s="63">
        <f t="shared" si="26"/>
        <v>0.1306881537346436</v>
      </c>
      <c r="I35" s="63">
        <f t="shared" si="26"/>
        <v>0.12548421811756572</v>
      </c>
      <c r="J35" s="63">
        <f t="shared" si="26"/>
        <v>0.12766704382663385</v>
      </c>
      <c r="K35" s="63">
        <f t="shared" si="26"/>
        <v>0.12492392780118311</v>
      </c>
      <c r="L35" s="63">
        <f t="shared" si="26"/>
        <v>0.12626567980611192</v>
      </c>
      <c r="M35" s="63">
        <f t="shared" si="26"/>
        <v>0.12283772423046879</v>
      </c>
      <c r="N35" s="63">
        <f t="shared" si="26"/>
        <v>0.1167166931784942</v>
      </c>
      <c r="O35" s="63">
        <f t="shared" si="26"/>
        <v>0.10899205059728678</v>
      </c>
      <c r="P35" s="63">
        <f t="shared" si="26"/>
        <v>9.9382565632210929E-2</v>
      </c>
      <c r="R35" s="109"/>
      <c r="S35" s="109"/>
    </row>
    <row r="36" spans="1:19" x14ac:dyDescent="0.2">
      <c r="A36" s="68" t="s">
        <v>17</v>
      </c>
      <c r="B36" s="43">
        <f t="shared" ref="B36:P36" si="27">B29*B20</f>
        <v>7.1667161512237403</v>
      </c>
      <c r="C36" s="43">
        <f t="shared" si="27"/>
        <v>8.6349587655768207</v>
      </c>
      <c r="D36" s="43">
        <f t="shared" si="27"/>
        <v>9.8696734156999426</v>
      </c>
      <c r="E36" s="43">
        <f t="shared" si="27"/>
        <v>11.648326020294371</v>
      </c>
      <c r="F36" s="43">
        <f t="shared" si="27"/>
        <v>12.650326351395668</v>
      </c>
      <c r="G36" s="43">
        <f t="shared" si="27"/>
        <v>15.300791612503701</v>
      </c>
      <c r="H36" s="43">
        <f t="shared" si="27"/>
        <v>18.290579158886054</v>
      </c>
      <c r="I36" s="43">
        <f t="shared" si="27"/>
        <v>20.450657272479887</v>
      </c>
      <c r="J36" s="43">
        <f t="shared" si="27"/>
        <v>22.606238505400366</v>
      </c>
      <c r="K36" s="43">
        <f t="shared" si="27"/>
        <v>24.563890319022239</v>
      </c>
      <c r="L36" s="43">
        <f t="shared" si="27"/>
        <v>26.629043757710086</v>
      </c>
      <c r="M36" s="43">
        <f t="shared" si="27"/>
        <v>28.709458870310431</v>
      </c>
      <c r="N36" s="43">
        <f t="shared" si="27"/>
        <v>30.705153125109977</v>
      </c>
      <c r="O36" s="43">
        <f t="shared" si="27"/>
        <v>32.555396722787187</v>
      </c>
      <c r="P36" s="43">
        <f t="shared" si="27"/>
        <v>34.098688598223653</v>
      </c>
      <c r="R36" s="57">
        <f>(J36/D36)^(1/6)-1</f>
        <v>0.14812080590861454</v>
      </c>
      <c r="S36" s="57">
        <f>(P36/J36)^(1/6)-1</f>
        <v>7.0906518092586968E-2</v>
      </c>
    </row>
    <row r="37" spans="1:19" x14ac:dyDescent="0.2">
      <c r="A37" s="62" t="s">
        <v>4</v>
      </c>
      <c r="B37" s="75"/>
      <c r="C37" s="63">
        <f t="shared" ref="C37:P37" si="28">C36/B36-1</f>
        <v>0.20486964787943673</v>
      </c>
      <c r="D37" s="63">
        <f t="shared" si="28"/>
        <v>0.14299021959957692</v>
      </c>
      <c r="E37" s="63">
        <f t="shared" si="28"/>
        <v>0.18021392701455352</v>
      </c>
      <c r="F37" s="63">
        <f t="shared" si="28"/>
        <v>8.6020972400287832E-2</v>
      </c>
      <c r="G37" s="63">
        <f t="shared" si="28"/>
        <v>0.20951754029773451</v>
      </c>
      <c r="H37" s="63">
        <f t="shared" si="28"/>
        <v>0.1954008408257204</v>
      </c>
      <c r="I37" s="63">
        <f t="shared" si="28"/>
        <v>0.11809785216912672</v>
      </c>
      <c r="J37" s="63">
        <f t="shared" si="28"/>
        <v>0.105404007519172</v>
      </c>
      <c r="K37" s="63">
        <f t="shared" si="28"/>
        <v>8.6597857186820892E-2</v>
      </c>
      <c r="L37" s="63">
        <f t="shared" si="28"/>
        <v>8.4072734891207146E-2</v>
      </c>
      <c r="M37" s="63">
        <f t="shared" si="28"/>
        <v>7.8125791204875172E-2</v>
      </c>
      <c r="N37" s="63">
        <f t="shared" si="28"/>
        <v>6.9513475116849799E-2</v>
      </c>
      <c r="O37" s="63">
        <f t="shared" si="28"/>
        <v>6.0258406468070014E-2</v>
      </c>
      <c r="P37" s="63">
        <f t="shared" si="28"/>
        <v>4.740510117501473E-2</v>
      </c>
      <c r="R37" s="109"/>
      <c r="S37" s="109"/>
    </row>
    <row r="38" spans="1:19" x14ac:dyDescent="0.2">
      <c r="A38" s="68" t="s">
        <v>18</v>
      </c>
      <c r="B38" s="43">
        <f t="shared" ref="B38:P38" si="29">B30*B22</f>
        <v>0.34650738570457573</v>
      </c>
      <c r="C38" s="43">
        <f t="shared" si="29"/>
        <v>0.45810338541208667</v>
      </c>
      <c r="D38" s="43">
        <f t="shared" si="29"/>
        <v>0.5938900893385114</v>
      </c>
      <c r="E38" s="43">
        <f t="shared" si="29"/>
        <v>0.72068910505529704</v>
      </c>
      <c r="F38" s="43">
        <f t="shared" si="29"/>
        <v>0.82252415993464134</v>
      </c>
      <c r="G38" s="43">
        <f t="shared" si="29"/>
        <v>0.9207028648866632</v>
      </c>
      <c r="H38" s="43">
        <f t="shared" si="29"/>
        <v>1.0353770445635619</v>
      </c>
      <c r="I38" s="43">
        <f t="shared" si="29"/>
        <v>1.1362394066837045</v>
      </c>
      <c r="J38" s="43">
        <f t="shared" si="29"/>
        <v>1.196841781601417</v>
      </c>
      <c r="K38" s="43">
        <f t="shared" si="29"/>
        <v>1.2440731061772787</v>
      </c>
      <c r="L38" s="43">
        <f t="shared" si="29"/>
        <v>1.2868217413042815</v>
      </c>
      <c r="M38" s="43">
        <f t="shared" si="29"/>
        <v>1.3263142892227209</v>
      </c>
      <c r="N38" s="43">
        <f t="shared" si="29"/>
        <v>1.3617173251944947</v>
      </c>
      <c r="O38" s="43">
        <f t="shared" si="29"/>
        <v>1.3934173737929174</v>
      </c>
      <c r="P38" s="43">
        <f t="shared" si="29"/>
        <v>1.4200589426896519</v>
      </c>
      <c r="R38" s="57">
        <f>(J38/D38)^(1/6)-1</f>
        <v>0.12388474746887312</v>
      </c>
      <c r="S38" s="57">
        <f>(P38/J38)^(1/6)-1</f>
        <v>2.8912092829509461E-2</v>
      </c>
    </row>
    <row r="39" spans="1:19" x14ac:dyDescent="0.2">
      <c r="A39" s="62" t="s">
        <v>4</v>
      </c>
      <c r="B39" s="75"/>
      <c r="C39" s="63">
        <f t="shared" ref="C39:P39" si="30">C38/B38-1</f>
        <v>0.32205951247069553</v>
      </c>
      <c r="D39" s="63">
        <f t="shared" si="30"/>
        <v>0.29641061002917035</v>
      </c>
      <c r="E39" s="63">
        <f t="shared" si="30"/>
        <v>0.21350586243662928</v>
      </c>
      <c r="F39" s="63">
        <f t="shared" si="30"/>
        <v>0.14130233711737694</v>
      </c>
      <c r="G39" s="63">
        <f t="shared" si="30"/>
        <v>0.11936270049480768</v>
      </c>
      <c r="H39" s="63">
        <f t="shared" si="30"/>
        <v>0.12455069279165865</v>
      </c>
      <c r="I39" s="63">
        <f t="shared" si="30"/>
        <v>9.7416069488636126E-2</v>
      </c>
      <c r="J39" s="63">
        <f t="shared" si="30"/>
        <v>5.333592072342408E-2</v>
      </c>
      <c r="K39" s="63">
        <f t="shared" si="30"/>
        <v>3.9463298576245087E-2</v>
      </c>
      <c r="L39" s="63">
        <f t="shared" si="30"/>
        <v>3.4361835260918516E-2</v>
      </c>
      <c r="M39" s="63">
        <f t="shared" si="30"/>
        <v>3.0689991201431566E-2</v>
      </c>
      <c r="N39" s="63">
        <f t="shared" si="30"/>
        <v>2.669279541014502E-2</v>
      </c>
      <c r="O39" s="63">
        <f t="shared" si="30"/>
        <v>2.3279463374599407E-2</v>
      </c>
      <c r="P39" s="63">
        <f t="shared" si="30"/>
        <v>1.911959000784913E-2</v>
      </c>
      <c r="R39" s="109"/>
      <c r="S39" s="109"/>
    </row>
    <row r="40" spans="1:19" x14ac:dyDescent="0.2">
      <c r="A40" s="73" t="s">
        <v>19</v>
      </c>
      <c r="B40" s="56">
        <f t="shared" ref="B40:P40" si="31">B38+B36+B34</f>
        <v>33.74753775046873</v>
      </c>
      <c r="C40" s="56">
        <f t="shared" si="31"/>
        <v>39.916575409682501</v>
      </c>
      <c r="D40" s="56">
        <f t="shared" si="31"/>
        <v>43.767190524518014</v>
      </c>
      <c r="E40" s="56">
        <f t="shared" si="31"/>
        <v>52.180282708775074</v>
      </c>
      <c r="F40" s="56">
        <f t="shared" si="31"/>
        <v>58.936644894103985</v>
      </c>
      <c r="G40" s="56">
        <f t="shared" si="31"/>
        <v>80.293384621754029</v>
      </c>
      <c r="H40" s="56">
        <f t="shared" si="31"/>
        <v>91.771283377069068</v>
      </c>
      <c r="I40" s="56">
        <f t="shared" si="31"/>
        <v>103.12296908943593</v>
      </c>
      <c r="J40" s="56">
        <f t="shared" si="31"/>
        <v>115.74862202712796</v>
      </c>
      <c r="K40" s="56">
        <f t="shared" si="31"/>
        <v>129.23970338330986</v>
      </c>
      <c r="L40" s="56">
        <f t="shared" si="31"/>
        <v>144.40748441646451</v>
      </c>
      <c r="M40" s="56">
        <f t="shared" si="31"/>
        <v>160.8369574367259</v>
      </c>
      <c r="N40" s="56">
        <f t="shared" si="31"/>
        <v>178.13473642016197</v>
      </c>
      <c r="O40" s="56">
        <f t="shared" si="31"/>
        <v>195.93691630486202</v>
      </c>
      <c r="P40" s="56">
        <f t="shared" si="31"/>
        <v>213.60564294854709</v>
      </c>
      <c r="R40" s="57">
        <f>(J40/D40)^(1/6)-1</f>
        <v>0.17596535347289932</v>
      </c>
      <c r="S40" s="57">
        <f>(P40/J40)^(1/6)-1</f>
        <v>0.10751465587526687</v>
      </c>
    </row>
    <row r="41" spans="1:19" x14ac:dyDescent="0.2">
      <c r="A41" s="74" t="s">
        <v>4</v>
      </c>
      <c r="B41" s="66"/>
      <c r="C41" s="59">
        <f t="shared" ref="C41:P41" si="32">C40/B40-1</f>
        <v>0.18279963726029425</v>
      </c>
      <c r="D41" s="59">
        <f t="shared" si="32"/>
        <v>9.6466569972870841E-2</v>
      </c>
      <c r="E41" s="59">
        <f t="shared" si="32"/>
        <v>0.19222372017559852</v>
      </c>
      <c r="F41" s="59">
        <f t="shared" si="32"/>
        <v>0.12948113414864082</v>
      </c>
      <c r="G41" s="59">
        <f t="shared" si="32"/>
        <v>0.36236775551141975</v>
      </c>
      <c r="H41" s="59">
        <f t="shared" si="32"/>
        <v>0.14294949464871998</v>
      </c>
      <c r="I41" s="59">
        <f t="shared" si="32"/>
        <v>0.12369540116078737</v>
      </c>
      <c r="J41" s="59">
        <f t="shared" si="32"/>
        <v>0.12243298509706535</v>
      </c>
      <c r="K41" s="59">
        <f t="shared" si="32"/>
        <v>0.11655500618417713</v>
      </c>
      <c r="L41" s="59">
        <f t="shared" si="32"/>
        <v>0.11736162058627442</v>
      </c>
      <c r="M41" s="59">
        <f t="shared" si="32"/>
        <v>0.11377161707823635</v>
      </c>
      <c r="N41" s="59">
        <f t="shared" si="32"/>
        <v>0.10754853398816078</v>
      </c>
      <c r="O41" s="59">
        <f t="shared" si="32"/>
        <v>9.9936599915641855E-2</v>
      </c>
      <c r="P41" s="59">
        <f t="shared" si="32"/>
        <v>9.0175588025453779E-2</v>
      </c>
      <c r="R41" s="109"/>
      <c r="S41" s="109"/>
    </row>
    <row r="42" spans="1:19" ht="17.100000000000001" customHeight="1" x14ac:dyDescent="0.2">
      <c r="R42" s="109"/>
      <c r="S42" s="109"/>
    </row>
    <row r="43" spans="1:19" x14ac:dyDescent="0.2">
      <c r="A43" s="76" t="s">
        <v>20</v>
      </c>
      <c r="B43" s="56">
        <f>B55+B111</f>
        <v>236.34883104663999</v>
      </c>
      <c r="C43" s="56">
        <f t="shared" ref="C43:P43" si="33">C55+C111</f>
        <v>288.21114367109999</v>
      </c>
      <c r="D43" s="56">
        <f t="shared" si="33"/>
        <v>367.82254350010004</v>
      </c>
      <c r="E43" s="56">
        <f t="shared" si="33"/>
        <v>479.91136476659995</v>
      </c>
      <c r="F43" s="56">
        <f t="shared" si="33"/>
        <v>593.73795503230008</v>
      </c>
      <c r="G43" s="56">
        <f t="shared" si="33"/>
        <v>726.42339329170022</v>
      </c>
      <c r="H43" s="56">
        <f t="shared" si="33"/>
        <v>881.46151382120013</v>
      </c>
      <c r="I43" s="56">
        <f t="shared" si="33"/>
        <v>1053.5603255658004</v>
      </c>
      <c r="J43" s="56">
        <f t="shared" si="33"/>
        <v>1243.5902781107004</v>
      </c>
      <c r="K43" s="56">
        <f t="shared" si="33"/>
        <v>1450.8640517477456</v>
      </c>
      <c r="L43" s="56">
        <f t="shared" si="33"/>
        <v>1740.3812214364068</v>
      </c>
      <c r="M43" s="56">
        <f t="shared" si="33"/>
        <v>2104.7138784279518</v>
      </c>
      <c r="N43" s="56">
        <f t="shared" si="33"/>
        <v>2461.3228423593596</v>
      </c>
      <c r="O43" s="56">
        <f t="shared" si="33"/>
        <v>2827.5115121221161</v>
      </c>
      <c r="P43" s="56">
        <f t="shared" si="33"/>
        <v>3202.5392658311475</v>
      </c>
      <c r="R43" s="57">
        <f>(J43/D43)^(1/6)-1</f>
        <v>0.22510457730772826</v>
      </c>
      <c r="S43" s="57">
        <f>(P43/J43)^(1/6)-1</f>
        <v>0.17076444316025374</v>
      </c>
    </row>
    <row r="44" spans="1:19" x14ac:dyDescent="0.2">
      <c r="A44" s="58" t="s">
        <v>4</v>
      </c>
      <c r="B44" s="66"/>
      <c r="C44" s="59">
        <f t="shared" ref="C44:P44" si="34">C43/B43-1</f>
        <v>0.21943122119451375</v>
      </c>
      <c r="D44" s="59">
        <f t="shared" si="34"/>
        <v>0.27622595995056587</v>
      </c>
      <c r="E44" s="59">
        <f t="shared" si="34"/>
        <v>0.30473613770350494</v>
      </c>
      <c r="F44" s="59">
        <f t="shared" si="34"/>
        <v>0.2371825270715533</v>
      </c>
      <c r="G44" s="59">
        <f t="shared" si="34"/>
        <v>0.22347474527240196</v>
      </c>
      <c r="H44" s="59">
        <f t="shared" si="34"/>
        <v>0.21342666268904598</v>
      </c>
      <c r="I44" s="59">
        <f t="shared" si="34"/>
        <v>0.19524257048789284</v>
      </c>
      <c r="J44" s="59">
        <f t="shared" si="34"/>
        <v>0.18036931339726259</v>
      </c>
      <c r="K44" s="59">
        <f t="shared" si="34"/>
        <v>0.16667368448066489</v>
      </c>
      <c r="L44" s="59">
        <f t="shared" si="34"/>
        <v>0.19954810331119721</v>
      </c>
      <c r="M44" s="59">
        <f t="shared" si="34"/>
        <v>0.20934071943780608</v>
      </c>
      <c r="N44" s="59">
        <f t="shared" si="34"/>
        <v>0.16943346437082707</v>
      </c>
      <c r="O44" s="59">
        <f t="shared" si="34"/>
        <v>0.14877717927150824</v>
      </c>
      <c r="P44" s="59">
        <f t="shared" si="34"/>
        <v>0.13263527030790545</v>
      </c>
      <c r="R44" s="109"/>
      <c r="S44" s="109"/>
    </row>
    <row r="45" spans="1:19" x14ac:dyDescent="0.2">
      <c r="A45" s="58"/>
      <c r="B45" s="66"/>
      <c r="C45" s="59"/>
      <c r="D45" s="59"/>
      <c r="E45" s="59"/>
      <c r="F45" s="59"/>
      <c r="G45" s="59"/>
      <c r="H45" s="59"/>
      <c r="I45" s="59"/>
      <c r="J45" s="59"/>
      <c r="K45" s="59"/>
      <c r="L45" s="59"/>
      <c r="M45" s="59"/>
      <c r="N45" s="59"/>
      <c r="O45" s="59"/>
      <c r="P45" s="59"/>
      <c r="R45" s="109"/>
      <c r="S45" s="109"/>
    </row>
    <row r="46" spans="1:19" x14ac:dyDescent="0.2">
      <c r="A46" s="67" t="s">
        <v>21</v>
      </c>
      <c r="R46" s="109"/>
      <c r="S46" s="109"/>
    </row>
    <row r="47" spans="1:19" x14ac:dyDescent="0.2">
      <c r="A47" s="68" t="s">
        <v>82</v>
      </c>
      <c r="B47" s="43">
        <v>5.1808339743321907</v>
      </c>
      <c r="C47" s="43">
        <v>6.5971936189500235</v>
      </c>
      <c r="D47" s="43">
        <v>8.8687602821147813</v>
      </c>
      <c r="E47" s="43">
        <v>12.200349855766669</v>
      </c>
      <c r="F47" s="43">
        <v>15.960108791366467</v>
      </c>
      <c r="G47" s="43">
        <v>20.456553554529499</v>
      </c>
      <c r="H47" s="43">
        <v>25.931420212389032</v>
      </c>
      <c r="I47" s="43">
        <v>32.477676011221178</v>
      </c>
      <c r="J47" s="43">
        <v>40.001443229803314</v>
      </c>
      <c r="K47" s="43">
        <v>48.579980893506395</v>
      </c>
      <c r="L47" s="43">
        <v>61.037106098834002</v>
      </c>
      <c r="M47" s="43">
        <v>77.181317722535525</v>
      </c>
      <c r="N47" s="43">
        <v>93.444912496402353</v>
      </c>
      <c r="O47" s="43">
        <v>110.68034671048919</v>
      </c>
      <c r="P47" s="43">
        <v>129.12849297844878</v>
      </c>
      <c r="R47" s="57">
        <f>(J47/D47)^(1/6)-1</f>
        <v>0.28539159976442452</v>
      </c>
      <c r="S47" s="57">
        <f>(P47/J47)^(1/6)-1</f>
        <v>0.21569436494532979</v>
      </c>
    </row>
    <row r="48" spans="1:19" x14ac:dyDescent="0.2">
      <c r="A48" s="62" t="s">
        <v>4</v>
      </c>
      <c r="B48" s="63"/>
      <c r="C48" s="63">
        <f t="shared" ref="C48:P48" si="35">C47/B47-1</f>
        <v>0.27338448821850192</v>
      </c>
      <c r="D48" s="63">
        <f t="shared" si="35"/>
        <v>0.34432317654583078</v>
      </c>
      <c r="E48" s="63">
        <f t="shared" si="35"/>
        <v>0.37565448469393758</v>
      </c>
      <c r="F48" s="63">
        <f t="shared" si="35"/>
        <v>0.30816812468887478</v>
      </c>
      <c r="G48" s="63">
        <f t="shared" si="35"/>
        <v>0.28173020760330658</v>
      </c>
      <c r="H48" s="63">
        <f t="shared" si="35"/>
        <v>0.26763387308940345</v>
      </c>
      <c r="I48" s="63">
        <f t="shared" si="35"/>
        <v>0.25244493919791555</v>
      </c>
      <c r="J48" s="63">
        <f t="shared" si="35"/>
        <v>0.23165965495753582</v>
      </c>
      <c r="K48" s="63">
        <f t="shared" si="35"/>
        <v>0.214455703870994</v>
      </c>
      <c r="L48" s="63">
        <f t="shared" si="35"/>
        <v>0.25642507420155725</v>
      </c>
      <c r="M48" s="63">
        <f t="shared" si="35"/>
        <v>0.26449831349409147</v>
      </c>
      <c r="N48" s="63">
        <f t="shared" si="35"/>
        <v>0.21071931982729231</v>
      </c>
      <c r="O48" s="63">
        <f t="shared" si="35"/>
        <v>0.18444486439805274</v>
      </c>
      <c r="P48" s="63">
        <f t="shared" si="35"/>
        <v>0.16667951281554183</v>
      </c>
      <c r="R48" s="109"/>
      <c r="S48" s="109"/>
    </row>
    <row r="49" spans="1:19" x14ac:dyDescent="0.2">
      <c r="A49" s="68" t="s">
        <v>10</v>
      </c>
      <c r="B49" s="43">
        <v>147.50505703495759</v>
      </c>
      <c r="C49" s="43">
        <v>172.59994724905792</v>
      </c>
      <c r="D49" s="43">
        <v>213.62431032530984</v>
      </c>
      <c r="E49" s="43">
        <v>270.98896859744383</v>
      </c>
      <c r="F49" s="43">
        <v>327.31033839018346</v>
      </c>
      <c r="G49" s="43">
        <v>387.73304972741516</v>
      </c>
      <c r="H49" s="43">
        <v>454.59265602196007</v>
      </c>
      <c r="I49" s="43">
        <v>526.85299806402782</v>
      </c>
      <c r="J49" s="43">
        <v>600.61818470604908</v>
      </c>
      <c r="K49" s="43">
        <v>674.13596639220248</v>
      </c>
      <c r="L49" s="43">
        <v>783.12619207305272</v>
      </c>
      <c r="M49" s="43">
        <v>915.01056753041564</v>
      </c>
      <c r="N49" s="43">
        <v>1022.7324612191629</v>
      </c>
      <c r="O49" s="43">
        <v>1117.0333759254893</v>
      </c>
      <c r="P49" s="43">
        <v>1199.9801968445079</v>
      </c>
      <c r="R49" s="57">
        <f>(J49/D49)^(1/6)-1</f>
        <v>0.18802241262731312</v>
      </c>
      <c r="S49" s="57">
        <f>(P49/J49)^(1/6)-1</f>
        <v>0.12226633040393398</v>
      </c>
    </row>
    <row r="50" spans="1:19" x14ac:dyDescent="0.2">
      <c r="A50" s="62" t="s">
        <v>4</v>
      </c>
      <c r="B50" s="63"/>
      <c r="C50" s="63">
        <f t="shared" ref="C50:P50" si="36">C49/B49-1</f>
        <v>0.17012901603877228</v>
      </c>
      <c r="D50" s="63">
        <f t="shared" si="36"/>
        <v>0.23768467910974889</v>
      </c>
      <c r="E50" s="63">
        <f t="shared" si="36"/>
        <v>0.26853057212813636</v>
      </c>
      <c r="F50" s="63">
        <f t="shared" si="36"/>
        <v>0.20783639306146617</v>
      </c>
      <c r="G50" s="63">
        <f t="shared" si="36"/>
        <v>0.18460373611909064</v>
      </c>
      <c r="H50" s="63">
        <f t="shared" si="36"/>
        <v>0.17243721251399302</v>
      </c>
      <c r="I50" s="63">
        <f t="shared" si="36"/>
        <v>0.15895624595962898</v>
      </c>
      <c r="J50" s="63">
        <f t="shared" si="36"/>
        <v>0.14001094596230557</v>
      </c>
      <c r="K50" s="63">
        <f t="shared" si="36"/>
        <v>0.12240352283395151</v>
      </c>
      <c r="L50" s="63">
        <f t="shared" si="36"/>
        <v>0.16167395171650178</v>
      </c>
      <c r="M50" s="63">
        <f t="shared" si="36"/>
        <v>0.16840756546303881</v>
      </c>
      <c r="N50" s="63">
        <f t="shared" si="36"/>
        <v>0.11772748590159487</v>
      </c>
      <c r="O50" s="63">
        <f t="shared" si="36"/>
        <v>9.2204871050942883E-2</v>
      </c>
      <c r="P50" s="63">
        <f t="shared" si="36"/>
        <v>7.4256349637086938E-2</v>
      </c>
      <c r="R50" s="109"/>
      <c r="S50" s="109"/>
    </row>
    <row r="51" spans="1:19" x14ac:dyDescent="0.2">
      <c r="A51" s="68" t="s">
        <v>11</v>
      </c>
      <c r="B51" s="43">
        <v>16.173231740673408</v>
      </c>
      <c r="C51" s="43">
        <v>24.116113184759101</v>
      </c>
      <c r="D51" s="43">
        <v>36.675309198588671</v>
      </c>
      <c r="E51" s="43">
        <v>55.743445216457843</v>
      </c>
      <c r="F51" s="43">
        <v>79.207904001533066</v>
      </c>
      <c r="G51" s="43">
        <v>108.8731930698396</v>
      </c>
      <c r="H51" s="43">
        <v>146.54522289605458</v>
      </c>
      <c r="I51" s="43">
        <v>193.36574386381491</v>
      </c>
      <c r="J51" s="43">
        <v>249.32447038773941</v>
      </c>
      <c r="K51" s="43">
        <v>315.57627611242924</v>
      </c>
      <c r="L51" s="43">
        <v>411.26601227544234</v>
      </c>
      <c r="M51" s="43">
        <v>537.44340983729342</v>
      </c>
      <c r="N51" s="43">
        <v>670.36576163765642</v>
      </c>
      <c r="O51" s="43">
        <v>815.82215772558482</v>
      </c>
      <c r="P51" s="43">
        <v>975.67224596206631</v>
      </c>
      <c r="R51" s="57">
        <f>(J51/D51)^(1/6)-1</f>
        <v>0.37635940085640818</v>
      </c>
      <c r="S51" s="57">
        <f>(P51/J51)^(1/6)-1</f>
        <v>0.25532595303050964</v>
      </c>
    </row>
    <row r="52" spans="1:19" x14ac:dyDescent="0.2">
      <c r="A52" s="62" t="s">
        <v>4</v>
      </c>
      <c r="B52" s="63"/>
      <c r="C52" s="63">
        <f t="shared" ref="C52:P52" si="37">C51/B51-1</f>
        <v>0.4911128197162018</v>
      </c>
      <c r="D52" s="63">
        <f t="shared" si="37"/>
        <v>0.52078027323933496</v>
      </c>
      <c r="E52" s="63">
        <f t="shared" si="37"/>
        <v>0.5199175258378721</v>
      </c>
      <c r="F52" s="63">
        <f t="shared" si="37"/>
        <v>0.42093664455004864</v>
      </c>
      <c r="G52" s="63">
        <f t="shared" si="37"/>
        <v>0.37452435387928418</v>
      </c>
      <c r="H52" s="63">
        <f t="shared" si="37"/>
        <v>0.34601749764103329</v>
      </c>
      <c r="I52" s="63">
        <f t="shared" si="37"/>
        <v>0.31949537516463722</v>
      </c>
      <c r="J52" s="63">
        <f t="shared" si="37"/>
        <v>0.28939317484970628</v>
      </c>
      <c r="K52" s="63">
        <f t="shared" si="37"/>
        <v>0.26572524398290187</v>
      </c>
      <c r="L52" s="63">
        <f t="shared" si="37"/>
        <v>0.30322221093996959</v>
      </c>
      <c r="M52" s="63">
        <f t="shared" si="37"/>
        <v>0.30680239503318041</v>
      </c>
      <c r="N52" s="63">
        <f t="shared" si="37"/>
        <v>0.24732343790503286</v>
      </c>
      <c r="O52" s="63">
        <f t="shared" si="37"/>
        <v>0.21698064610666967</v>
      </c>
      <c r="P52" s="63">
        <f t="shared" si="37"/>
        <v>0.19593741935390008</v>
      </c>
      <c r="R52" s="109"/>
      <c r="S52" s="109"/>
    </row>
    <row r="53" spans="1:19" x14ac:dyDescent="0.2">
      <c r="A53" s="68" t="s">
        <v>22</v>
      </c>
      <c r="B53" s="43">
        <v>8.1740838246768117</v>
      </c>
      <c r="C53" s="43">
        <v>10.309828876332899</v>
      </c>
      <c r="D53" s="43">
        <v>13.378904576086651</v>
      </c>
      <c r="E53" s="43">
        <v>18.344584188931531</v>
      </c>
      <c r="F53" s="43">
        <v>24.33509046421706</v>
      </c>
      <c r="G53" s="43">
        <v>32.266247377915825</v>
      </c>
      <c r="H53" s="43">
        <v>40.358757260796146</v>
      </c>
      <c r="I53" s="43">
        <v>48.459977705736193</v>
      </c>
      <c r="J53" s="43">
        <v>59.291819487108313</v>
      </c>
      <c r="K53" s="43">
        <v>72.904644668003669</v>
      </c>
      <c r="L53" s="43">
        <v>91.321802160679994</v>
      </c>
      <c r="M53" s="43">
        <v>115.14943515787256</v>
      </c>
      <c r="N53" s="43">
        <v>139.04409083171294</v>
      </c>
      <c r="O53" s="43">
        <v>164.28033716200756</v>
      </c>
      <c r="P53" s="43">
        <v>191.21411455410265</v>
      </c>
      <c r="R53" s="57">
        <f>(J53/D53)^(1/6)-1</f>
        <v>0.28162913111645271</v>
      </c>
      <c r="S53" s="57">
        <f>(P53/J53)^(1/6)-1</f>
        <v>0.21549784957254259</v>
      </c>
    </row>
    <row r="54" spans="1:19" x14ac:dyDescent="0.2">
      <c r="A54" s="62" t="s">
        <v>4</v>
      </c>
      <c r="C54" s="63">
        <f t="shared" ref="C54:P54" si="38">C53/B53-1</f>
        <v>0.26128249935588732</v>
      </c>
      <c r="D54" s="63">
        <f t="shared" si="38"/>
        <v>0.2976844462277235</v>
      </c>
      <c r="E54" s="63">
        <f t="shared" si="38"/>
        <v>0.37115741312039074</v>
      </c>
      <c r="F54" s="63">
        <f t="shared" si="38"/>
        <v>0.32655448679507204</v>
      </c>
      <c r="G54" s="63">
        <f t="shared" si="38"/>
        <v>0.32591442079744648</v>
      </c>
      <c r="H54" s="63">
        <f t="shared" si="38"/>
        <v>0.2508041851938172</v>
      </c>
      <c r="I54" s="63">
        <f t="shared" si="38"/>
        <v>0.2007301759216813</v>
      </c>
      <c r="J54" s="63">
        <f t="shared" si="38"/>
        <v>0.22352139423477202</v>
      </c>
      <c r="K54" s="63">
        <f t="shared" si="38"/>
        <v>0.2295902756678796</v>
      </c>
      <c r="L54" s="63">
        <f t="shared" si="38"/>
        <v>0.25261981011697099</v>
      </c>
      <c r="M54" s="63">
        <f t="shared" si="38"/>
        <v>0.26091943471798817</v>
      </c>
      <c r="N54" s="63">
        <f t="shared" si="38"/>
        <v>0.20750996859932691</v>
      </c>
      <c r="O54" s="63">
        <f t="shared" si="38"/>
        <v>0.18149815773788203</v>
      </c>
      <c r="P54" s="63">
        <f t="shared" si="38"/>
        <v>0.16395009809076511</v>
      </c>
      <c r="R54" s="109"/>
      <c r="S54" s="109"/>
    </row>
    <row r="55" spans="1:19" x14ac:dyDescent="0.2">
      <c r="A55" s="77" t="s">
        <v>23</v>
      </c>
      <c r="B55" s="56">
        <f t="shared" ref="B55:P55" si="39">B53+B51+B49+B47</f>
        <v>177.03320657463999</v>
      </c>
      <c r="C55" s="56">
        <f t="shared" si="39"/>
        <v>213.62308292909995</v>
      </c>
      <c r="D55" s="56">
        <f t="shared" si="39"/>
        <v>272.54728438209997</v>
      </c>
      <c r="E55" s="56">
        <f t="shared" si="39"/>
        <v>357.27734785859985</v>
      </c>
      <c r="F55" s="56">
        <f t="shared" si="39"/>
        <v>446.81344164730001</v>
      </c>
      <c r="G55" s="56">
        <f t="shared" si="39"/>
        <v>549.32904372970006</v>
      </c>
      <c r="H55" s="56">
        <f t="shared" si="39"/>
        <v>667.4280563911999</v>
      </c>
      <c r="I55" s="56">
        <f t="shared" si="39"/>
        <v>801.15639564480011</v>
      </c>
      <c r="J55" s="56">
        <f t="shared" si="39"/>
        <v>949.23591781070013</v>
      </c>
      <c r="K55" s="56">
        <f t="shared" si="39"/>
        <v>1111.1968680661419</v>
      </c>
      <c r="L55" s="56">
        <f t="shared" si="39"/>
        <v>1346.7511126080092</v>
      </c>
      <c r="M55" s="56">
        <f t="shared" si="39"/>
        <v>1644.7847302481171</v>
      </c>
      <c r="N55" s="56">
        <f t="shared" si="39"/>
        <v>1925.5872261849347</v>
      </c>
      <c r="O55" s="56">
        <f t="shared" si="39"/>
        <v>2207.8162175235707</v>
      </c>
      <c r="P55" s="56">
        <f t="shared" si="39"/>
        <v>2495.9950503391256</v>
      </c>
      <c r="R55" s="57">
        <f>(J55/D55)^(1/6)-1</f>
        <v>0.23118141373148537</v>
      </c>
      <c r="S55" s="57">
        <f>(P55/J55)^(1/6)-1</f>
        <v>0.1748387417175099</v>
      </c>
    </row>
    <row r="56" spans="1:19" x14ac:dyDescent="0.2">
      <c r="A56" s="74" t="s">
        <v>4</v>
      </c>
      <c r="B56" s="66"/>
      <c r="C56" s="59">
        <f t="shared" ref="C56:P56" si="40">C55/B55-1</f>
        <v>0.2066836898140525</v>
      </c>
      <c r="D56" s="59">
        <f t="shared" si="40"/>
        <v>0.27583255819108543</v>
      </c>
      <c r="E56" s="59">
        <f t="shared" si="40"/>
        <v>0.31088206829355847</v>
      </c>
      <c r="F56" s="59">
        <f t="shared" si="40"/>
        <v>0.25060669064341567</v>
      </c>
      <c r="G56" s="59">
        <f t="shared" si="40"/>
        <v>0.22943714876716381</v>
      </c>
      <c r="H56" s="59">
        <f t="shared" si="40"/>
        <v>0.21498774552253797</v>
      </c>
      <c r="I56" s="59">
        <f t="shared" si="40"/>
        <v>0.20036367661358545</v>
      </c>
      <c r="J56" s="59">
        <f t="shared" si="40"/>
        <v>0.1848322287269768</v>
      </c>
      <c r="K56" s="59">
        <f t="shared" si="40"/>
        <v>0.17062244192042941</v>
      </c>
      <c r="L56" s="59">
        <f t="shared" si="40"/>
        <v>0.21198245901449608</v>
      </c>
      <c r="M56" s="59">
        <f t="shared" si="40"/>
        <v>0.22129821527524873</v>
      </c>
      <c r="N56" s="59">
        <f t="shared" si="40"/>
        <v>0.17072294676182853</v>
      </c>
      <c r="O56" s="59">
        <f t="shared" si="40"/>
        <v>0.14656775216451834</v>
      </c>
      <c r="P56" s="59">
        <f t="shared" si="40"/>
        <v>0.13052664009271342</v>
      </c>
      <c r="R56" s="109"/>
      <c r="S56" s="109"/>
    </row>
    <row r="57" spans="1:19" ht="17.100000000000001" customHeight="1" x14ac:dyDescent="0.2">
      <c r="R57" s="109"/>
      <c r="S57" s="109"/>
    </row>
    <row r="58" spans="1:19" x14ac:dyDescent="0.2">
      <c r="A58" s="67" t="s">
        <v>24</v>
      </c>
      <c r="R58" s="109"/>
      <c r="S58" s="109"/>
    </row>
    <row r="59" spans="1:19" x14ac:dyDescent="0.2">
      <c r="A59" s="68" t="s">
        <v>82</v>
      </c>
      <c r="B59" s="112">
        <f t="shared" ref="B59:P59" si="41">(B47*1000000)/(B34*1000)</f>
        <v>197.48311056128875</v>
      </c>
      <c r="C59" s="112">
        <f t="shared" si="41"/>
        <v>214.03120285418223</v>
      </c>
      <c r="D59" s="112">
        <f t="shared" si="41"/>
        <v>266.30013232274581</v>
      </c>
      <c r="E59" s="112">
        <f t="shared" si="41"/>
        <v>306.45469477204068</v>
      </c>
      <c r="F59" s="112">
        <f t="shared" si="41"/>
        <v>351.05096281655244</v>
      </c>
      <c r="G59" s="112">
        <f t="shared" si="41"/>
        <v>319.27501293371847</v>
      </c>
      <c r="H59" s="112">
        <f t="shared" si="41"/>
        <v>357.94469048697744</v>
      </c>
      <c r="I59" s="112">
        <f t="shared" si="41"/>
        <v>398.32279200058053</v>
      </c>
      <c r="J59" s="112">
        <f t="shared" si="41"/>
        <v>435.05582187837814</v>
      </c>
      <c r="K59" s="112">
        <f t="shared" si="41"/>
        <v>469.68155919238319</v>
      </c>
      <c r="L59" s="112">
        <f t="shared" si="41"/>
        <v>523.96135160665028</v>
      </c>
      <c r="M59" s="112">
        <f t="shared" si="41"/>
        <v>590.06589389109456</v>
      </c>
      <c r="N59" s="112">
        <f t="shared" si="41"/>
        <v>639.73627516188662</v>
      </c>
      <c r="O59" s="112">
        <f t="shared" si="41"/>
        <v>683.26219766546819</v>
      </c>
      <c r="P59" s="112">
        <f t="shared" si="41"/>
        <v>725.08700139265613</v>
      </c>
      <c r="R59" s="57">
        <f>(J59/D59)^(1/6)-1</f>
        <v>8.5247849057268343E-2</v>
      </c>
      <c r="S59" s="57">
        <f>(P59/J59)^(1/6)-1</f>
        <v>8.8865378311386412E-2</v>
      </c>
    </row>
    <row r="60" spans="1:19" x14ac:dyDescent="0.2">
      <c r="A60" s="62" t="s">
        <v>4</v>
      </c>
      <c r="C60" s="63">
        <f t="shared" ref="C60:P60" si="42">C59/B59-1</f>
        <v>8.3794974901196806E-2</v>
      </c>
      <c r="D60" s="63">
        <f t="shared" si="42"/>
        <v>0.24421172600788488</v>
      </c>
      <c r="E60" s="63">
        <f t="shared" si="42"/>
        <v>0.15078686630402816</v>
      </c>
      <c r="F60" s="63">
        <f t="shared" si="42"/>
        <v>0.1455232006730558</v>
      </c>
      <c r="G60" s="63">
        <f t="shared" si="42"/>
        <v>-9.0516629346033217E-2</v>
      </c>
      <c r="H60" s="63">
        <f t="shared" si="42"/>
        <v>0.12111714348684965</v>
      </c>
      <c r="I60" s="63">
        <f t="shared" si="42"/>
        <v>0.11280542102376034</v>
      </c>
      <c r="J60" s="63">
        <f t="shared" si="42"/>
        <v>9.2219251861801688E-2</v>
      </c>
      <c r="K60" s="63">
        <f t="shared" si="42"/>
        <v>7.9589182750173126E-2</v>
      </c>
      <c r="L60" s="63">
        <f t="shared" si="42"/>
        <v>0.1155672207092846</v>
      </c>
      <c r="M60" s="63">
        <f t="shared" si="42"/>
        <v>0.12616301198885083</v>
      </c>
      <c r="N60" s="63">
        <f t="shared" si="42"/>
        <v>8.4177685551775738E-2</v>
      </c>
      <c r="O60" s="63">
        <f t="shared" si="42"/>
        <v>6.8037290042005649E-2</v>
      </c>
      <c r="P60" s="63">
        <f t="shared" si="42"/>
        <v>6.1213402219664204E-2</v>
      </c>
      <c r="R60" s="109"/>
      <c r="S60" s="109"/>
    </row>
    <row r="61" spans="1:19" x14ac:dyDescent="0.2">
      <c r="A61" s="68" t="s">
        <v>10</v>
      </c>
      <c r="B61" s="112">
        <f t="shared" ref="B61:P61" si="43">(B49*1000000)/(B36*1000)</f>
        <v>20581.958866861307</v>
      </c>
      <c r="C61" s="112">
        <f t="shared" si="43"/>
        <v>19988.508565567903</v>
      </c>
      <c r="D61" s="112">
        <f t="shared" si="43"/>
        <v>21644.516624581738</v>
      </c>
      <c r="E61" s="112">
        <f t="shared" si="43"/>
        <v>23264.198488719456</v>
      </c>
      <c r="F61" s="112">
        <f t="shared" si="43"/>
        <v>25873.667548037003</v>
      </c>
      <c r="G61" s="112">
        <f t="shared" si="43"/>
        <v>25340.718280913152</v>
      </c>
      <c r="H61" s="112">
        <f t="shared" si="43"/>
        <v>24853.923545723635</v>
      </c>
      <c r="I61" s="112">
        <f t="shared" si="43"/>
        <v>25762.154782819875</v>
      </c>
      <c r="J61" s="112">
        <f t="shared" si="43"/>
        <v>26568.691848604903</v>
      </c>
      <c r="K61" s="112">
        <f t="shared" si="43"/>
        <v>27444.185657764181</v>
      </c>
      <c r="L61" s="112">
        <f t="shared" si="43"/>
        <v>29408.723767871274</v>
      </c>
      <c r="M61" s="112">
        <f t="shared" si="43"/>
        <v>31871.397216638718</v>
      </c>
      <c r="N61" s="112">
        <f t="shared" si="43"/>
        <v>33308.170034260329</v>
      </c>
      <c r="O61" s="112">
        <f t="shared" si="43"/>
        <v>34311.772804894754</v>
      </c>
      <c r="P61" s="112">
        <f t="shared" si="43"/>
        <v>35191.388471960767</v>
      </c>
      <c r="R61" s="57">
        <f>(J61/D61)^(1/6)-1</f>
        <v>3.4753839938577391E-2</v>
      </c>
      <c r="S61" s="57">
        <f>(P61/J61)^(1/6)-1</f>
        <v>4.7959192930140171E-2</v>
      </c>
    </row>
    <row r="62" spans="1:19" x14ac:dyDescent="0.2">
      <c r="A62" s="62" t="s">
        <v>4</v>
      </c>
      <c r="C62" s="63">
        <f t="shared" ref="C62:P62" si="44">C61/B61-1</f>
        <v>-2.8833518963489402E-2</v>
      </c>
      <c r="D62" s="63">
        <f t="shared" si="44"/>
        <v>8.2848005071597175E-2</v>
      </c>
      <c r="E62" s="63">
        <f t="shared" si="44"/>
        <v>7.4831048077010021E-2</v>
      </c>
      <c r="F62" s="63">
        <f t="shared" si="44"/>
        <v>0.11216672951715267</v>
      </c>
      <c r="G62" s="63">
        <f t="shared" si="44"/>
        <v>-2.0598133841457922E-2</v>
      </c>
      <c r="H62" s="63">
        <f t="shared" si="44"/>
        <v>-1.9209981729530257E-2</v>
      </c>
      <c r="I62" s="63">
        <f t="shared" si="44"/>
        <v>3.654277102065473E-2</v>
      </c>
      <c r="J62" s="63">
        <f t="shared" si="44"/>
        <v>3.1307049918156915E-2</v>
      </c>
      <c r="K62" s="63">
        <f t="shared" si="44"/>
        <v>3.2952085640800988E-2</v>
      </c>
      <c r="L62" s="63">
        <f t="shared" si="44"/>
        <v>7.1583035277685836E-2</v>
      </c>
      <c r="M62" s="63">
        <f t="shared" si="44"/>
        <v>8.3739555249177089E-2</v>
      </c>
      <c r="N62" s="63">
        <f t="shared" si="44"/>
        <v>4.5080321011829794E-2</v>
      </c>
      <c r="O62" s="63">
        <f t="shared" si="44"/>
        <v>3.0130828850763347E-2</v>
      </c>
      <c r="P62" s="63">
        <f t="shared" si="44"/>
        <v>2.5635972587826572E-2</v>
      </c>
      <c r="R62" s="109"/>
      <c r="S62" s="109"/>
    </row>
    <row r="63" spans="1:19" x14ac:dyDescent="0.2">
      <c r="A63" s="68" t="s">
        <v>11</v>
      </c>
      <c r="B63" s="112">
        <f t="shared" ref="B63:P63" si="45">(B51*1000000)/(B38*1000)</f>
        <v>46674.99859429356</v>
      </c>
      <c r="C63" s="112">
        <f t="shared" si="45"/>
        <v>52643.385647686191</v>
      </c>
      <c r="D63" s="112">
        <f t="shared" si="45"/>
        <v>61754.371485536125</v>
      </c>
      <c r="E63" s="112">
        <f t="shared" si="45"/>
        <v>77347.423216812414</v>
      </c>
      <c r="F63" s="112">
        <f t="shared" si="45"/>
        <v>96298.574388169945</v>
      </c>
      <c r="G63" s="112">
        <f t="shared" si="45"/>
        <v>118250.08612658296</v>
      </c>
      <c r="H63" s="112">
        <f t="shared" si="45"/>
        <v>141538.0258481848</v>
      </c>
      <c r="I63" s="112">
        <f t="shared" si="45"/>
        <v>170180.45908844474</v>
      </c>
      <c r="J63" s="112">
        <f t="shared" si="45"/>
        <v>208318.65516437302</v>
      </c>
      <c r="K63" s="112">
        <f t="shared" si="45"/>
        <v>253663.77148213994</v>
      </c>
      <c r="L63" s="112">
        <f t="shared" si="45"/>
        <v>319598.27773705183</v>
      </c>
      <c r="M63" s="112">
        <f t="shared" si="45"/>
        <v>405215.7276781351</v>
      </c>
      <c r="N63" s="112">
        <f t="shared" si="45"/>
        <v>492294.36185803666</v>
      </c>
      <c r="O63" s="112">
        <f t="shared" si="45"/>
        <v>585482.9809570238</v>
      </c>
      <c r="P63" s="112">
        <f t="shared" si="45"/>
        <v>687064.61163795192</v>
      </c>
      <c r="R63" s="57">
        <f>(J63/D63)^(1/6)-1</f>
        <v>0.22464461232002586</v>
      </c>
      <c r="S63" s="57">
        <f>(P63/J63)^(1/6)-1</f>
        <v>0.22005170488215553</v>
      </c>
    </row>
    <row r="64" spans="1:19" x14ac:dyDescent="0.2">
      <c r="A64" s="62" t="s">
        <v>4</v>
      </c>
      <c r="C64" s="63">
        <f t="shared" ref="C64:P64" si="46">C63/B63-1</f>
        <v>0.12787117799982806</v>
      </c>
      <c r="D64" s="63">
        <f t="shared" si="46"/>
        <v>0.17306990661324195</v>
      </c>
      <c r="E64" s="63">
        <f t="shared" si="46"/>
        <v>0.25250118098810925</v>
      </c>
      <c r="F64" s="63">
        <f t="shared" si="46"/>
        <v>0.24501334864427982</v>
      </c>
      <c r="G64" s="63">
        <f t="shared" si="46"/>
        <v>0.22795261381470366</v>
      </c>
      <c r="H64" s="63">
        <f t="shared" si="46"/>
        <v>0.19693803602538473</v>
      </c>
      <c r="I64" s="63">
        <f t="shared" si="46"/>
        <v>0.20236564038968674</v>
      </c>
      <c r="J64" s="63">
        <f t="shared" si="46"/>
        <v>0.22410443760824172</v>
      </c>
      <c r="K64" s="63">
        <f t="shared" si="46"/>
        <v>0.21767189444453505</v>
      </c>
      <c r="L64" s="63">
        <f t="shared" si="46"/>
        <v>0.2599287468985465</v>
      </c>
      <c r="M64" s="63">
        <f t="shared" si="46"/>
        <v>0.26789083641910194</v>
      </c>
      <c r="N64" s="63">
        <f t="shared" si="46"/>
        <v>0.21489450737476945</v>
      </c>
      <c r="O64" s="63">
        <f t="shared" si="46"/>
        <v>0.18929450816229343</v>
      </c>
      <c r="P64" s="63">
        <f t="shared" si="46"/>
        <v>0.17350056958937388</v>
      </c>
      <c r="R64" s="109"/>
      <c r="S64" s="109"/>
    </row>
    <row r="65" spans="1:19" x14ac:dyDescent="0.2">
      <c r="A65" s="77" t="s">
        <v>23</v>
      </c>
      <c r="B65" s="56">
        <f>(B55*1000000)/(B40*1000)</f>
        <v>5245.8110539392201</v>
      </c>
      <c r="C65" s="56">
        <f t="shared" ref="C65:P65" si="47">(C55*1000000)/(C40*1000)</f>
        <v>5351.7387385211841</v>
      </c>
      <c r="D65" s="56">
        <f t="shared" si="47"/>
        <v>6227.2053818355389</v>
      </c>
      <c r="E65" s="56">
        <f t="shared" si="47"/>
        <v>6846.9799186909549</v>
      </c>
      <c r="F65" s="56">
        <f t="shared" si="47"/>
        <v>7581.2500431628605</v>
      </c>
      <c r="G65" s="56">
        <f t="shared" si="47"/>
        <v>6841.5230758732941</v>
      </c>
      <c r="H65" s="56">
        <f t="shared" si="47"/>
        <v>7272.7331669633222</v>
      </c>
      <c r="I65" s="56">
        <f t="shared" si="47"/>
        <v>7768.9422901504859</v>
      </c>
      <c r="J65" s="56">
        <f t="shared" si="47"/>
        <v>8200.83989931412</v>
      </c>
      <c r="K65" s="56">
        <f t="shared" si="47"/>
        <v>8597.9527883197152</v>
      </c>
      <c r="L65" s="56">
        <f t="shared" si="47"/>
        <v>9326.0478710649168</v>
      </c>
      <c r="M65" s="56">
        <f t="shared" si="47"/>
        <v>10226.410375209838</v>
      </c>
      <c r="N65" s="56">
        <f t="shared" si="47"/>
        <v>10809.723386252415</v>
      </c>
      <c r="O65" s="56">
        <f t="shared" si="47"/>
        <v>11267.995123942785</v>
      </c>
      <c r="P65" s="56">
        <f t="shared" si="47"/>
        <v>11685.061386418318</v>
      </c>
      <c r="R65" s="57">
        <f>(J65/D65)^(1/6)-1</f>
        <v>4.6953815514649389E-2</v>
      </c>
      <c r="S65" s="57">
        <f>(P65/J65)^(1/6)-1</f>
        <v>6.0788437864090383E-2</v>
      </c>
    </row>
    <row r="66" spans="1:19" x14ac:dyDescent="0.2">
      <c r="A66" s="74" t="s">
        <v>4</v>
      </c>
      <c r="B66" s="66"/>
      <c r="C66" s="59">
        <f t="shared" ref="C66:P66" si="48">C65/B65-1</f>
        <v>2.0192813559767764E-2</v>
      </c>
      <c r="D66" s="59">
        <f t="shared" si="48"/>
        <v>0.16358545999505725</v>
      </c>
      <c r="E66" s="59">
        <f t="shared" si="48"/>
        <v>9.9526914378521791E-2</v>
      </c>
      <c r="F66" s="59">
        <f t="shared" si="48"/>
        <v>0.1072399997066571</v>
      </c>
      <c r="G66" s="59">
        <f t="shared" si="48"/>
        <v>-9.7573218542856055E-2</v>
      </c>
      <c r="H66" s="59">
        <f t="shared" si="48"/>
        <v>6.3028376329050895E-2</v>
      </c>
      <c r="I66" s="59">
        <f t="shared" si="48"/>
        <v>6.8228699141777094E-2</v>
      </c>
      <c r="J66" s="59">
        <f t="shared" si="48"/>
        <v>5.559284559381994E-2</v>
      </c>
      <c r="K66" s="59">
        <f t="shared" si="48"/>
        <v>4.8423441242744891E-2</v>
      </c>
      <c r="L66" s="59">
        <f t="shared" si="48"/>
        <v>8.4682377383406449E-2</v>
      </c>
      <c r="M66" s="59">
        <f t="shared" si="48"/>
        <v>9.6542771020765805E-2</v>
      </c>
      <c r="N66" s="59">
        <f t="shared" si="48"/>
        <v>5.7039859505013002E-2</v>
      </c>
      <c r="O66" s="59">
        <f t="shared" si="48"/>
        <v>4.2394400052196524E-2</v>
      </c>
      <c r="P66" s="59">
        <f t="shared" si="48"/>
        <v>3.7013351344937107E-2</v>
      </c>
      <c r="R66" s="109"/>
      <c r="S66" s="109"/>
    </row>
    <row r="67" spans="1:19" ht="17.100000000000001" customHeight="1" x14ac:dyDescent="0.2">
      <c r="R67" s="109"/>
      <c r="S67" s="109"/>
    </row>
    <row r="68" spans="1:19" x14ac:dyDescent="0.2">
      <c r="A68" s="67" t="s">
        <v>25</v>
      </c>
      <c r="R68" s="109"/>
      <c r="S68" s="109"/>
    </row>
    <row r="69" spans="1:19" x14ac:dyDescent="0.2">
      <c r="A69" s="68" t="s">
        <v>26</v>
      </c>
      <c r="B69" s="43">
        <v>115.2196066476</v>
      </c>
      <c r="C69" s="43">
        <v>142.18616443459996</v>
      </c>
      <c r="D69" s="43">
        <v>179.31434972229994</v>
      </c>
      <c r="E69" s="43">
        <v>233.34933627589999</v>
      </c>
      <c r="F69" s="43">
        <v>290.67710661600017</v>
      </c>
      <c r="G69" s="43">
        <v>354.38306681960012</v>
      </c>
      <c r="H69" s="43">
        <v>427.69339924999997</v>
      </c>
      <c r="I69" s="43">
        <v>509.02867688400005</v>
      </c>
      <c r="J69" s="43">
        <v>598.508376752</v>
      </c>
      <c r="K69" s="43">
        <v>694.61431375534198</v>
      </c>
      <c r="L69" s="43">
        <v>839.38527932596094</v>
      </c>
      <c r="M69" s="43">
        <v>1024.2173057286986</v>
      </c>
      <c r="N69" s="43">
        <v>1198.0915943177904</v>
      </c>
      <c r="O69" s="43">
        <v>1372.4813666684931</v>
      </c>
      <c r="P69" s="43">
        <v>1549.7919693698148</v>
      </c>
      <c r="R69" s="57">
        <f>(J69/D69)^(1/6)-1</f>
        <v>0.22248216337005688</v>
      </c>
      <c r="S69" s="57">
        <f>(P69/J69)^(1/6)-1</f>
        <v>0.17183697042024892</v>
      </c>
    </row>
    <row r="70" spans="1:19" x14ac:dyDescent="0.2">
      <c r="A70" s="62" t="s">
        <v>4</v>
      </c>
      <c r="B70" s="63"/>
      <c r="C70" s="63">
        <f t="shared" ref="C70:P70" si="49">C69/B69-1</f>
        <v>0.23404486937260049</v>
      </c>
      <c r="D70" s="63">
        <f t="shared" si="49"/>
        <v>0.2611237558544417</v>
      </c>
      <c r="E70" s="63">
        <f t="shared" si="49"/>
        <v>0.30134223299631513</v>
      </c>
      <c r="F70" s="63">
        <f t="shared" si="49"/>
        <v>0.24567359502715203</v>
      </c>
      <c r="G70" s="63">
        <f t="shared" si="49"/>
        <v>0.21916400966436922</v>
      </c>
      <c r="H70" s="63">
        <f t="shared" si="49"/>
        <v>0.2068674812493756</v>
      </c>
      <c r="I70" s="63">
        <f t="shared" si="49"/>
        <v>0.19017192637676672</v>
      </c>
      <c r="J70" s="63">
        <f t="shared" si="49"/>
        <v>0.17578518447280134</v>
      </c>
      <c r="K70" s="63">
        <f t="shared" si="49"/>
        <v>0.16057575923146139</v>
      </c>
      <c r="L70" s="63">
        <f t="shared" si="49"/>
        <v>0.20841920862231245</v>
      </c>
      <c r="M70" s="63">
        <f t="shared" si="49"/>
        <v>0.22019927077010526</v>
      </c>
      <c r="N70" s="63">
        <f t="shared" si="49"/>
        <v>0.16976308408046825</v>
      </c>
      <c r="O70" s="63">
        <f t="shared" si="49"/>
        <v>0.14555629400772374</v>
      </c>
      <c r="P70" s="63">
        <f t="shared" si="49"/>
        <v>0.12918980687637194</v>
      </c>
      <c r="R70" s="109"/>
      <c r="S70" s="109"/>
    </row>
    <row r="71" spans="1:19" x14ac:dyDescent="0.2">
      <c r="A71" s="68" t="s">
        <v>27</v>
      </c>
      <c r="B71" s="46">
        <v>54.209689974699998</v>
      </c>
      <c r="C71" s="46">
        <v>61.753303506700007</v>
      </c>
      <c r="D71" s="46">
        <v>80.549036519249981</v>
      </c>
      <c r="E71" s="46">
        <v>106.90112877443993</v>
      </c>
      <c r="F71" s="46">
        <v>134.44012568999997</v>
      </c>
      <c r="G71" s="46">
        <v>167.42416415465001</v>
      </c>
      <c r="H71" s="46">
        <v>205.55909423646992</v>
      </c>
      <c r="I71" s="46">
        <v>250.21079445960009</v>
      </c>
      <c r="J71" s="46">
        <v>299.95091400690018</v>
      </c>
      <c r="K71" s="46">
        <v>356.49802567123567</v>
      </c>
      <c r="L71" s="46">
        <v>433.89828703609311</v>
      </c>
      <c r="M71" s="46">
        <v>530.55859907297372</v>
      </c>
      <c r="N71" s="46">
        <v>621.90350088222942</v>
      </c>
      <c r="O71" s="46">
        <v>713.99615750780026</v>
      </c>
      <c r="P71" s="46">
        <v>808.47799332991644</v>
      </c>
      <c r="R71" s="57">
        <f>(J71/D71)^(1/6)-1</f>
        <v>0.24498744911785941</v>
      </c>
      <c r="S71" s="57">
        <f>(P71/J71)^(1/6)-1</f>
        <v>0.17969481031970092</v>
      </c>
    </row>
    <row r="72" spans="1:19" x14ac:dyDescent="0.2">
      <c r="A72" s="62" t="s">
        <v>4</v>
      </c>
      <c r="B72" s="63"/>
      <c r="C72" s="63">
        <f t="shared" ref="C72:P72" si="50">C71/B71-1</f>
        <v>0.13915618288023168</v>
      </c>
      <c r="D72" s="63">
        <f t="shared" si="50"/>
        <v>0.30436805717625615</v>
      </c>
      <c r="E72" s="63">
        <f t="shared" si="50"/>
        <v>0.3271558965064989</v>
      </c>
      <c r="F72" s="63">
        <f t="shared" si="50"/>
        <v>0.25761184405888726</v>
      </c>
      <c r="G72" s="63">
        <f t="shared" si="50"/>
        <v>0.24534370445849318</v>
      </c>
      <c r="H72" s="63">
        <f t="shared" si="50"/>
        <v>0.22777434950545494</v>
      </c>
      <c r="I72" s="63">
        <f t="shared" si="50"/>
        <v>0.21722074807239622</v>
      </c>
      <c r="J72" s="63">
        <f t="shared" si="50"/>
        <v>0.19879286045483258</v>
      </c>
      <c r="K72" s="63">
        <f t="shared" si="50"/>
        <v>0.18852121805181321</v>
      </c>
      <c r="L72" s="63">
        <f t="shared" si="50"/>
        <v>0.21711273496991645</v>
      </c>
      <c r="M72" s="63">
        <f t="shared" si="50"/>
        <v>0.22277182216402736</v>
      </c>
      <c r="N72" s="63">
        <f t="shared" si="50"/>
        <v>0.17216741368221977</v>
      </c>
      <c r="O72" s="63">
        <f t="shared" si="50"/>
        <v>0.14808190739387794</v>
      </c>
      <c r="P72" s="63">
        <f t="shared" si="50"/>
        <v>0.13232821329445876</v>
      </c>
      <c r="R72" s="109"/>
      <c r="S72" s="109"/>
    </row>
    <row r="73" spans="1:19" x14ac:dyDescent="0.2">
      <c r="A73" s="68" t="s">
        <v>28</v>
      </c>
      <c r="B73" s="46">
        <v>7.6039099523399996</v>
      </c>
      <c r="C73" s="46">
        <v>9.6836149877999951</v>
      </c>
      <c r="D73" s="46">
        <v>12.683898140549994</v>
      </c>
      <c r="E73" s="46">
        <v>17.026882808259991</v>
      </c>
      <c r="F73" s="46">
        <v>21.696209341299983</v>
      </c>
      <c r="G73" s="46">
        <v>27.521812755449965</v>
      </c>
      <c r="H73" s="46">
        <v>34.175562904729944</v>
      </c>
      <c r="I73" s="46">
        <v>41.91692430119992</v>
      </c>
      <c r="J73" s="46">
        <v>50.776627051799906</v>
      </c>
      <c r="K73" s="46">
        <v>60.084528639564418</v>
      </c>
      <c r="L73" s="46">
        <v>73.467546245956171</v>
      </c>
      <c r="M73" s="46">
        <v>90.008825446445314</v>
      </c>
      <c r="N73" s="46">
        <v>105.59213098491254</v>
      </c>
      <c r="O73" s="46">
        <v>121.33869334727837</v>
      </c>
      <c r="P73" s="46">
        <v>137.72508763939646</v>
      </c>
      <c r="R73" s="57">
        <f>(J73/D73)^(1/6)-1</f>
        <v>0.2600908281525558</v>
      </c>
      <c r="S73" s="57">
        <f>(P73/J73)^(1/6)-1</f>
        <v>0.18093193799883633</v>
      </c>
    </row>
    <row r="74" spans="1:19" x14ac:dyDescent="0.2">
      <c r="A74" s="62" t="s">
        <v>4</v>
      </c>
      <c r="B74" s="63"/>
      <c r="C74" s="63">
        <f t="shared" ref="C74:P74" si="51">C73/B73-1</f>
        <v>0.2735046901522018</v>
      </c>
      <c r="D74" s="63">
        <f t="shared" si="51"/>
        <v>0.30983090060167995</v>
      </c>
      <c r="E74" s="63">
        <f t="shared" si="51"/>
        <v>0.34240141473744745</v>
      </c>
      <c r="F74" s="63">
        <f t="shared" si="51"/>
        <v>0.27423261119615105</v>
      </c>
      <c r="G74" s="63">
        <f t="shared" si="51"/>
        <v>0.2685078910563703</v>
      </c>
      <c r="H74" s="63">
        <f t="shared" si="51"/>
        <v>0.24176278679035712</v>
      </c>
      <c r="I74" s="63">
        <f t="shared" si="51"/>
        <v>0.22651745102342002</v>
      </c>
      <c r="J74" s="63">
        <f t="shared" si="51"/>
        <v>0.21136337883326917</v>
      </c>
      <c r="K74" s="63">
        <f t="shared" si="51"/>
        <v>0.18331075000844455</v>
      </c>
      <c r="L74" s="63">
        <f t="shared" si="51"/>
        <v>0.22273649988458621</v>
      </c>
      <c r="M74" s="63">
        <f t="shared" si="51"/>
        <v>0.22515083252014301</v>
      </c>
      <c r="N74" s="63">
        <f t="shared" si="51"/>
        <v>0.17313086201462768</v>
      </c>
      <c r="O74" s="63">
        <f t="shared" si="51"/>
        <v>0.14912628635760528</v>
      </c>
      <c r="P74" s="63">
        <f t="shared" si="51"/>
        <v>0.13504673439344939</v>
      </c>
      <c r="R74" s="109"/>
      <c r="S74" s="109"/>
    </row>
    <row r="75" spans="1:19" x14ac:dyDescent="0.2">
      <c r="A75" s="77" t="s">
        <v>23</v>
      </c>
      <c r="B75" s="56">
        <f t="shared" ref="B75:P75" si="52">B69+B71+B73</f>
        <v>177.03320657463999</v>
      </c>
      <c r="C75" s="56">
        <f t="shared" si="52"/>
        <v>213.62308292909995</v>
      </c>
      <c r="D75" s="56">
        <f t="shared" si="52"/>
        <v>272.54728438209992</v>
      </c>
      <c r="E75" s="56">
        <f t="shared" si="52"/>
        <v>357.27734785859991</v>
      </c>
      <c r="F75" s="56">
        <f t="shared" si="52"/>
        <v>446.81344164730012</v>
      </c>
      <c r="G75" s="56">
        <f t="shared" si="52"/>
        <v>549.32904372970017</v>
      </c>
      <c r="H75" s="56">
        <f t="shared" si="52"/>
        <v>667.4280563911999</v>
      </c>
      <c r="I75" s="56">
        <f t="shared" si="52"/>
        <v>801.15639564480011</v>
      </c>
      <c r="J75" s="56">
        <f t="shared" si="52"/>
        <v>949.23591781070002</v>
      </c>
      <c r="K75" s="56">
        <f t="shared" si="52"/>
        <v>1111.1968680661421</v>
      </c>
      <c r="L75" s="56">
        <f t="shared" si="52"/>
        <v>1346.7511126080101</v>
      </c>
      <c r="M75" s="56">
        <f t="shared" si="52"/>
        <v>1644.7847302481177</v>
      </c>
      <c r="N75" s="56">
        <f t="shared" si="52"/>
        <v>1925.5872261849324</v>
      </c>
      <c r="O75" s="56">
        <f t="shared" si="52"/>
        <v>2207.816217523572</v>
      </c>
      <c r="P75" s="56">
        <f t="shared" si="52"/>
        <v>2495.9950503391274</v>
      </c>
      <c r="R75" s="57">
        <f>(J75/D75)^(1/6)-1</f>
        <v>0.23118141373148537</v>
      </c>
      <c r="S75" s="57">
        <f>(P75/J75)^(1/6)-1</f>
        <v>0.17483874171751013</v>
      </c>
    </row>
    <row r="76" spans="1:19" x14ac:dyDescent="0.2">
      <c r="A76" s="74" t="s">
        <v>4</v>
      </c>
      <c r="B76" s="66"/>
      <c r="C76" s="59">
        <f t="shared" ref="C76:P76" si="53">C75/B75-1</f>
        <v>0.2066836898140525</v>
      </c>
      <c r="D76" s="59">
        <f t="shared" si="53"/>
        <v>0.27583255819108521</v>
      </c>
      <c r="E76" s="59">
        <f t="shared" si="53"/>
        <v>0.31088206829355891</v>
      </c>
      <c r="F76" s="59">
        <f t="shared" si="53"/>
        <v>0.2506066906434159</v>
      </c>
      <c r="G76" s="59">
        <f t="shared" si="53"/>
        <v>0.22943714876716381</v>
      </c>
      <c r="H76" s="59">
        <f t="shared" si="53"/>
        <v>0.21498774552253774</v>
      </c>
      <c r="I76" s="59">
        <f t="shared" si="53"/>
        <v>0.20036367661358545</v>
      </c>
      <c r="J76" s="59">
        <f t="shared" si="53"/>
        <v>0.18483222872697658</v>
      </c>
      <c r="K76" s="59">
        <f t="shared" si="53"/>
        <v>0.17062244192042986</v>
      </c>
      <c r="L76" s="59">
        <f t="shared" si="53"/>
        <v>0.21198245901449675</v>
      </c>
      <c r="M76" s="59">
        <f t="shared" si="53"/>
        <v>0.22129821527524829</v>
      </c>
      <c r="N76" s="59">
        <f t="shared" si="53"/>
        <v>0.17072294676182653</v>
      </c>
      <c r="O76" s="59">
        <f t="shared" si="53"/>
        <v>0.14656775216452056</v>
      </c>
      <c r="P76" s="59">
        <f t="shared" si="53"/>
        <v>0.13052664009271342</v>
      </c>
      <c r="R76" s="109"/>
      <c r="S76" s="109"/>
    </row>
    <row r="77" spans="1:19" ht="17.100000000000001" customHeight="1" x14ac:dyDescent="0.2">
      <c r="J77" s="108"/>
      <c r="R77" s="109"/>
      <c r="S77" s="109"/>
    </row>
    <row r="78" spans="1:19" x14ac:dyDescent="0.2">
      <c r="A78" s="67" t="s">
        <v>29</v>
      </c>
      <c r="R78" s="109"/>
      <c r="S78" s="109"/>
    </row>
    <row r="79" spans="1:19" x14ac:dyDescent="0.2">
      <c r="A79" s="68" t="s">
        <v>30</v>
      </c>
      <c r="B79" s="46">
        <v>76.327872507122535</v>
      </c>
      <c r="C79" s="46">
        <v>92.142330120365997</v>
      </c>
      <c r="D79" s="46">
        <v>114.45569614497443</v>
      </c>
      <c r="E79" s="46">
        <v>144.97403927367088</v>
      </c>
      <c r="F79" s="46">
        <v>176.79820717505839</v>
      </c>
      <c r="G79" s="46">
        <v>207.68363770441206</v>
      </c>
      <c r="H79" s="46">
        <v>246.04547189974187</v>
      </c>
      <c r="I79" s="46">
        <v>289.34951222441504</v>
      </c>
      <c r="J79" s="46">
        <v>334.05053641752664</v>
      </c>
      <c r="K79" s="46">
        <v>380.258738587957</v>
      </c>
      <c r="L79" s="46">
        <v>451.06272089144073</v>
      </c>
      <c r="M79" s="46">
        <v>540.72577658828141</v>
      </c>
      <c r="N79" s="46">
        <v>621.97974044923603</v>
      </c>
      <c r="O79" s="46">
        <v>701.30699884847638</v>
      </c>
      <c r="P79" s="46">
        <v>780.23746603089887</v>
      </c>
      <c r="R79" s="57">
        <f>(J79/D79)^(1/6)-1</f>
        <v>0.19544369841409082</v>
      </c>
      <c r="S79" s="57">
        <f>(P79/J79)^(1/6)-1</f>
        <v>0.15186726943908035</v>
      </c>
    </row>
    <row r="80" spans="1:19" x14ac:dyDescent="0.2">
      <c r="A80" s="62" t="s">
        <v>4</v>
      </c>
      <c r="B80" s="63"/>
      <c r="C80" s="63">
        <f t="shared" ref="C80:P80" si="54">C79/B79-1</f>
        <v>0.20719112289901354</v>
      </c>
      <c r="D80" s="63">
        <f t="shared" si="54"/>
        <v>0.24216194658264412</v>
      </c>
      <c r="E80" s="63">
        <f t="shared" si="54"/>
        <v>0.26663891930761263</v>
      </c>
      <c r="F80" s="63">
        <f t="shared" si="54"/>
        <v>0.21951632210034711</v>
      </c>
      <c r="G80" s="63">
        <f t="shared" si="54"/>
        <v>0.17469312060824338</v>
      </c>
      <c r="H80" s="63">
        <f t="shared" si="54"/>
        <v>0.18471283833119623</v>
      </c>
      <c r="I80" s="63">
        <f t="shared" si="54"/>
        <v>0.17600015147736037</v>
      </c>
      <c r="J80" s="63">
        <f t="shared" si="54"/>
        <v>0.15448798876302305</v>
      </c>
      <c r="K80" s="63">
        <f t="shared" si="54"/>
        <v>0.13832698089930662</v>
      </c>
      <c r="L80" s="63">
        <f t="shared" si="54"/>
        <v>0.18619948766044248</v>
      </c>
      <c r="M80" s="63">
        <f t="shared" si="54"/>
        <v>0.19878179140949293</v>
      </c>
      <c r="N80" s="63">
        <f t="shared" si="54"/>
        <v>0.15026833818359453</v>
      </c>
      <c r="O80" s="63">
        <f t="shared" si="54"/>
        <v>0.12753993939086317</v>
      </c>
      <c r="P80" s="63">
        <f t="shared" si="54"/>
        <v>0.11254766787159376</v>
      </c>
      <c r="R80" s="109"/>
      <c r="S80" s="109"/>
    </row>
    <row r="81" spans="1:19" x14ac:dyDescent="0.2">
      <c r="A81" s="68" t="s">
        <v>31</v>
      </c>
      <c r="B81" s="46">
        <v>38.891734140477467</v>
      </c>
      <c r="C81" s="46">
        <v>50.043834314233962</v>
      </c>
      <c r="D81" s="46">
        <v>64.858653577325512</v>
      </c>
      <c r="E81" s="46">
        <v>88.375297002229104</v>
      </c>
      <c r="F81" s="46">
        <v>113.87889944094178</v>
      </c>
      <c r="G81" s="46">
        <v>146.69942911518805</v>
      </c>
      <c r="H81" s="46">
        <v>181.6479273502581</v>
      </c>
      <c r="I81" s="46">
        <v>219.67916465958501</v>
      </c>
      <c r="J81" s="46">
        <v>264.45784033447336</v>
      </c>
      <c r="K81" s="46">
        <v>314.35557516738498</v>
      </c>
      <c r="L81" s="46">
        <v>388.3225584345202</v>
      </c>
      <c r="M81" s="46">
        <v>483.49152914041724</v>
      </c>
      <c r="N81" s="46">
        <v>576.11185386855436</v>
      </c>
      <c r="O81" s="46">
        <v>671.17436782001676</v>
      </c>
      <c r="P81" s="46">
        <v>769.55450333891588</v>
      </c>
      <c r="R81" s="57">
        <f>(J81/D81)^(1/6)-1</f>
        <v>0.26395443966052978</v>
      </c>
      <c r="S81" s="57">
        <f>(P81/J81)^(1/6)-1</f>
        <v>0.19485119656204275</v>
      </c>
    </row>
    <row r="82" spans="1:19" x14ac:dyDescent="0.2">
      <c r="A82" s="62" t="s">
        <v>4</v>
      </c>
      <c r="B82" s="63"/>
      <c r="C82" s="63">
        <f t="shared" ref="C82:P82" si="55">C81/B81-1</f>
        <v>0.28674731071324722</v>
      </c>
      <c r="D82" s="63">
        <f t="shared" si="55"/>
        <v>0.29603685381233413</v>
      </c>
      <c r="E82" s="63">
        <f t="shared" si="55"/>
        <v>0.36258297278506824</v>
      </c>
      <c r="F82" s="63">
        <f t="shared" si="55"/>
        <v>0.28858293328360074</v>
      </c>
      <c r="G82" s="63">
        <f t="shared" si="55"/>
        <v>0.28820553970375506</v>
      </c>
      <c r="H82" s="63">
        <f t="shared" si="55"/>
        <v>0.2382319988963868</v>
      </c>
      <c r="I82" s="63">
        <f t="shared" si="55"/>
        <v>0.20936785717347672</v>
      </c>
      <c r="J82" s="63">
        <f t="shared" si="55"/>
        <v>0.2038366985975999</v>
      </c>
      <c r="K82" s="63">
        <f t="shared" si="55"/>
        <v>0.18867935535510472</v>
      </c>
      <c r="L82" s="63">
        <f t="shared" si="55"/>
        <v>0.23529718926648591</v>
      </c>
      <c r="M82" s="63">
        <f t="shared" si="55"/>
        <v>0.24507711086772899</v>
      </c>
      <c r="N82" s="63">
        <f t="shared" si="55"/>
        <v>0.19156555833109135</v>
      </c>
      <c r="O82" s="63">
        <f t="shared" si="55"/>
        <v>0.16500704388066945</v>
      </c>
      <c r="P82" s="63">
        <f t="shared" si="55"/>
        <v>0.14657910110369543</v>
      </c>
      <c r="R82" s="109"/>
      <c r="S82" s="109"/>
    </row>
    <row r="83" spans="1:19" x14ac:dyDescent="0.2">
      <c r="A83" s="77" t="s">
        <v>23</v>
      </c>
      <c r="B83" s="56">
        <f t="shared" ref="B83:P83" si="56">B79+B81</f>
        <v>115.2196066476</v>
      </c>
      <c r="C83" s="56">
        <f t="shared" si="56"/>
        <v>142.18616443459996</v>
      </c>
      <c r="D83" s="56">
        <f t="shared" si="56"/>
        <v>179.31434972229994</v>
      </c>
      <c r="E83" s="56">
        <f t="shared" si="56"/>
        <v>233.34933627589999</v>
      </c>
      <c r="F83" s="56">
        <f t="shared" si="56"/>
        <v>290.67710661600017</v>
      </c>
      <c r="G83" s="56">
        <f t="shared" si="56"/>
        <v>354.38306681960012</v>
      </c>
      <c r="H83" s="56">
        <f t="shared" si="56"/>
        <v>427.69339924999997</v>
      </c>
      <c r="I83" s="56">
        <f t="shared" si="56"/>
        <v>509.02867688400005</v>
      </c>
      <c r="J83" s="56">
        <f t="shared" si="56"/>
        <v>598.508376752</v>
      </c>
      <c r="K83" s="56">
        <f t="shared" si="56"/>
        <v>694.61431375534198</v>
      </c>
      <c r="L83" s="56">
        <f t="shared" si="56"/>
        <v>839.38527932596094</v>
      </c>
      <c r="M83" s="56">
        <f t="shared" si="56"/>
        <v>1024.2173057286986</v>
      </c>
      <c r="N83" s="56">
        <f t="shared" si="56"/>
        <v>1198.0915943177904</v>
      </c>
      <c r="O83" s="56">
        <f t="shared" si="56"/>
        <v>1372.4813666684931</v>
      </c>
      <c r="P83" s="56">
        <f t="shared" si="56"/>
        <v>1549.7919693698148</v>
      </c>
      <c r="R83" s="57">
        <f>(J83/D83)^(1/6)-1</f>
        <v>0.22248216337005688</v>
      </c>
      <c r="S83" s="57">
        <f>(P83/J83)^(1/6)-1</f>
        <v>0.17183697042024892</v>
      </c>
    </row>
    <row r="84" spans="1:19" x14ac:dyDescent="0.2">
      <c r="A84" s="74" t="s">
        <v>4</v>
      </c>
      <c r="B84" s="66"/>
      <c r="C84" s="59">
        <f t="shared" ref="C84:P84" si="57">C83/B83-1</f>
        <v>0.23404486937260049</v>
      </c>
      <c r="D84" s="59">
        <f t="shared" si="57"/>
        <v>0.2611237558544417</v>
      </c>
      <c r="E84" s="59">
        <f t="shared" si="57"/>
        <v>0.30134223299631513</v>
      </c>
      <c r="F84" s="59">
        <f t="shared" si="57"/>
        <v>0.24567359502715203</v>
      </c>
      <c r="G84" s="59">
        <f t="shared" si="57"/>
        <v>0.21916400966436922</v>
      </c>
      <c r="H84" s="59">
        <f t="shared" si="57"/>
        <v>0.2068674812493756</v>
      </c>
      <c r="I84" s="59">
        <f t="shared" si="57"/>
        <v>0.19017192637676672</v>
      </c>
      <c r="J84" s="59">
        <f t="shared" si="57"/>
        <v>0.17578518447280134</v>
      </c>
      <c r="K84" s="59">
        <f t="shared" si="57"/>
        <v>0.16057575923146139</v>
      </c>
      <c r="L84" s="59">
        <f t="shared" si="57"/>
        <v>0.20841920862231245</v>
      </c>
      <c r="M84" s="59">
        <f t="shared" si="57"/>
        <v>0.22019927077010526</v>
      </c>
      <c r="N84" s="59">
        <f t="shared" si="57"/>
        <v>0.16976308408046825</v>
      </c>
      <c r="O84" s="59">
        <f t="shared" si="57"/>
        <v>0.14555629400772374</v>
      </c>
      <c r="P84" s="59">
        <f t="shared" si="57"/>
        <v>0.12918980687637194</v>
      </c>
      <c r="R84" s="109"/>
      <c r="S84" s="109"/>
    </row>
    <row r="85" spans="1:19" ht="17.100000000000001" customHeight="1" x14ac:dyDescent="0.2">
      <c r="R85" s="109"/>
      <c r="S85" s="109"/>
    </row>
    <row r="86" spans="1:19" ht="17.100000000000001" customHeight="1" x14ac:dyDescent="0.2">
      <c r="A86" s="67" t="s">
        <v>47</v>
      </c>
      <c r="R86" s="109"/>
      <c r="S86" s="109"/>
    </row>
    <row r="87" spans="1:19" ht="17.100000000000001" customHeight="1" x14ac:dyDescent="0.2">
      <c r="A87" s="68" t="s">
        <v>48</v>
      </c>
      <c r="B87" s="46">
        <v>21.683875989880001</v>
      </c>
      <c r="C87" s="46">
        <v>25.318854437747003</v>
      </c>
      <c r="D87" s="46">
        <v>33.850732597214801</v>
      </c>
      <c r="E87" s="46">
        <v>46.048329351644824</v>
      </c>
      <c r="F87" s="46">
        <v>59.358697501546857</v>
      </c>
      <c r="G87" s="46">
        <v>75.770029744367648</v>
      </c>
      <c r="H87" s="46">
        <v>95.819353950841958</v>
      </c>
      <c r="I87" s="46">
        <v>120.13230486673329</v>
      </c>
      <c r="J87" s="46">
        <v>151.21443685343436</v>
      </c>
      <c r="K87" s="46">
        <v>188.70764500986596</v>
      </c>
      <c r="L87" s="46">
        <v>241.16240182407452</v>
      </c>
      <c r="M87" s="46">
        <v>309.6309189916708</v>
      </c>
      <c r="N87" s="46">
        <v>381.0862371860415</v>
      </c>
      <c r="O87" s="46">
        <v>459.39412477361168</v>
      </c>
      <c r="P87" s="46">
        <v>546.19417492801915</v>
      </c>
      <c r="R87" s="57">
        <f>(J87/D87)^(1/6)-1</f>
        <v>0.28332758864361374</v>
      </c>
      <c r="S87" s="57">
        <f>(P87/J87)^(1/6)-1</f>
        <v>0.23867955083568604</v>
      </c>
    </row>
    <row r="88" spans="1:19" ht="17.100000000000001" customHeight="1" x14ac:dyDescent="0.2">
      <c r="A88" s="62" t="s">
        <v>4</v>
      </c>
      <c r="B88" s="63"/>
      <c r="C88" s="63">
        <f t="shared" ref="C88:P88" si="58">C87/B87-1</f>
        <v>0.16763508745223721</v>
      </c>
      <c r="D88" s="63">
        <f t="shared" si="58"/>
        <v>0.33697725860566252</v>
      </c>
      <c r="E88" s="63">
        <f t="shared" si="58"/>
        <v>0.36033479391916101</v>
      </c>
      <c r="F88" s="63">
        <f t="shared" si="58"/>
        <v>0.28905214016035941</v>
      </c>
      <c r="G88" s="63">
        <f t="shared" si="58"/>
        <v>0.27647729706995539</v>
      </c>
      <c r="H88" s="63">
        <f t="shared" si="58"/>
        <v>0.26460757999061846</v>
      </c>
      <c r="I88" s="63">
        <f t="shared" si="58"/>
        <v>0.25373737051456824</v>
      </c>
      <c r="J88" s="63">
        <f t="shared" si="58"/>
        <v>0.25873250347757426</v>
      </c>
      <c r="K88" s="63">
        <f t="shared" si="58"/>
        <v>0.24794727895440394</v>
      </c>
      <c r="L88" s="63">
        <f t="shared" si="58"/>
        <v>0.27796837171841204</v>
      </c>
      <c r="M88" s="63">
        <f t="shared" si="58"/>
        <v>0.28391041327222877</v>
      </c>
      <c r="N88" s="63">
        <f t="shared" si="58"/>
        <v>0.23077578436633095</v>
      </c>
      <c r="O88" s="63">
        <f t="shared" si="58"/>
        <v>0.2054860027635721</v>
      </c>
      <c r="P88" s="63">
        <f t="shared" si="58"/>
        <v>0.18894462395918166</v>
      </c>
      <c r="R88" s="109"/>
      <c r="S88" s="109"/>
    </row>
    <row r="89" spans="1:19" ht="17.100000000000001" customHeight="1" x14ac:dyDescent="0.2">
      <c r="A89" s="68" t="s">
        <v>49</v>
      </c>
      <c r="B89" s="46">
        <v>32.525813984819997</v>
      </c>
      <c r="C89" s="46">
        <v>36.434449068953008</v>
      </c>
      <c r="D89" s="46">
        <v>46.698303922035173</v>
      </c>
      <c r="E89" s="46">
        <v>60.852799422795094</v>
      </c>
      <c r="F89" s="46">
        <v>75.081428188453131</v>
      </c>
      <c r="G89" s="46">
        <v>91.654134410282367</v>
      </c>
      <c r="H89" s="46">
        <v>109.73974028562795</v>
      </c>
      <c r="I89" s="46">
        <v>130.07848959286682</v>
      </c>
      <c r="J89" s="46">
        <v>148.73647715346581</v>
      </c>
      <c r="K89" s="46">
        <v>167.79038066136971</v>
      </c>
      <c r="L89" s="46">
        <v>192.73588521201859</v>
      </c>
      <c r="M89" s="46">
        <v>220.9276800813029</v>
      </c>
      <c r="N89" s="46">
        <v>240.81726369618789</v>
      </c>
      <c r="O89" s="46">
        <v>254.60203273418855</v>
      </c>
      <c r="P89" s="46">
        <v>262.28381840189729</v>
      </c>
      <c r="R89" s="57">
        <f>(J89/D89)^(1/6)-1</f>
        <v>0.21297745967729953</v>
      </c>
      <c r="S89" s="57">
        <f>(P89/J89)^(1/6)-1</f>
        <v>9.9155155106072312E-2</v>
      </c>
    </row>
    <row r="90" spans="1:19" ht="17.100000000000001" customHeight="1" x14ac:dyDescent="0.2">
      <c r="A90" s="62" t="s">
        <v>4</v>
      </c>
      <c r="B90" s="63"/>
      <c r="C90" s="63">
        <f t="shared" ref="C90:P90" si="59">C89/B89-1</f>
        <v>0.12017024649889452</v>
      </c>
      <c r="D90" s="63">
        <f t="shared" si="59"/>
        <v>0.28170742567446516</v>
      </c>
      <c r="E90" s="63">
        <f t="shared" si="59"/>
        <v>0.3031051304216843</v>
      </c>
      <c r="F90" s="63">
        <f t="shared" si="59"/>
        <v>0.23382044705618066</v>
      </c>
      <c r="G90" s="63">
        <f t="shared" si="59"/>
        <v>0.22072976795582555</v>
      </c>
      <c r="H90" s="63">
        <f t="shared" si="59"/>
        <v>0.19732449596203505</v>
      </c>
      <c r="I90" s="63">
        <f t="shared" si="59"/>
        <v>0.18533622600437782</v>
      </c>
      <c r="J90" s="63">
        <f t="shared" si="59"/>
        <v>0.14343637921224883</v>
      </c>
      <c r="K90" s="63">
        <f t="shared" si="59"/>
        <v>0.12810511498295174</v>
      </c>
      <c r="L90" s="63">
        <f t="shared" si="59"/>
        <v>0.1486706475801689</v>
      </c>
      <c r="M90" s="63">
        <f t="shared" si="59"/>
        <v>0.14627164442299878</v>
      </c>
      <c r="N90" s="63">
        <f t="shared" si="59"/>
        <v>9.0027576479169591E-2</v>
      </c>
      <c r="O90" s="63">
        <f t="shared" si="59"/>
        <v>5.7241614768081428E-2</v>
      </c>
      <c r="P90" s="63">
        <f t="shared" si="59"/>
        <v>3.0171737378580588E-2</v>
      </c>
      <c r="R90" s="109"/>
      <c r="S90" s="109"/>
    </row>
    <row r="91" spans="1:19" ht="17.100000000000001" customHeight="1" x14ac:dyDescent="0.2">
      <c r="A91" s="77" t="s">
        <v>23</v>
      </c>
      <c r="B91" s="56">
        <f t="shared" ref="B91:P91" si="60">B89+B87</f>
        <v>54.209689974699998</v>
      </c>
      <c r="C91" s="56">
        <f t="shared" si="60"/>
        <v>61.753303506700007</v>
      </c>
      <c r="D91" s="56">
        <f t="shared" si="60"/>
        <v>80.549036519249967</v>
      </c>
      <c r="E91" s="56">
        <f t="shared" si="60"/>
        <v>106.90112877443991</v>
      </c>
      <c r="F91" s="56">
        <f t="shared" si="60"/>
        <v>134.44012569</v>
      </c>
      <c r="G91" s="56">
        <f t="shared" si="60"/>
        <v>167.42416415465001</v>
      </c>
      <c r="H91" s="56">
        <f t="shared" si="60"/>
        <v>205.55909423646989</v>
      </c>
      <c r="I91" s="56">
        <f t="shared" si="60"/>
        <v>250.21079445960009</v>
      </c>
      <c r="J91" s="56">
        <f t="shared" si="60"/>
        <v>299.95091400690018</v>
      </c>
      <c r="K91" s="56">
        <f t="shared" si="60"/>
        <v>356.49802567123567</v>
      </c>
      <c r="L91" s="56">
        <f t="shared" si="60"/>
        <v>433.89828703609311</v>
      </c>
      <c r="M91" s="56">
        <f t="shared" si="60"/>
        <v>530.55859907297372</v>
      </c>
      <c r="N91" s="56">
        <f t="shared" si="60"/>
        <v>621.90350088222942</v>
      </c>
      <c r="O91" s="56">
        <f t="shared" si="60"/>
        <v>713.99615750780026</v>
      </c>
      <c r="P91" s="56">
        <f t="shared" si="60"/>
        <v>808.47799332991644</v>
      </c>
      <c r="R91" s="57">
        <f>(J91/D91)^(1/6)-1</f>
        <v>0.24498744911785941</v>
      </c>
      <c r="S91" s="57">
        <f>(P91/J91)^(1/6)-1</f>
        <v>0.17969481031970092</v>
      </c>
    </row>
    <row r="92" spans="1:19" ht="17.100000000000001" customHeight="1" x14ac:dyDescent="0.2">
      <c r="A92" s="74" t="s">
        <v>4</v>
      </c>
      <c r="B92" s="66"/>
      <c r="C92" s="59">
        <f t="shared" ref="C92:P92" si="61">C91/B91-1</f>
        <v>0.13915618288023168</v>
      </c>
      <c r="D92" s="59">
        <f t="shared" si="61"/>
        <v>0.30436805717625592</v>
      </c>
      <c r="E92" s="59">
        <f t="shared" si="61"/>
        <v>0.3271558965064989</v>
      </c>
      <c r="F92" s="59">
        <f t="shared" si="61"/>
        <v>0.25761184405888771</v>
      </c>
      <c r="G92" s="59">
        <f t="shared" si="61"/>
        <v>0.24534370445849296</v>
      </c>
      <c r="H92" s="59">
        <f t="shared" si="61"/>
        <v>0.22777434950545472</v>
      </c>
      <c r="I92" s="59">
        <f t="shared" si="61"/>
        <v>0.21722074807239644</v>
      </c>
      <c r="J92" s="59">
        <f t="shared" si="61"/>
        <v>0.19879286045483258</v>
      </c>
      <c r="K92" s="59">
        <f t="shared" si="61"/>
        <v>0.18852121805181321</v>
      </c>
      <c r="L92" s="59">
        <f t="shared" si="61"/>
        <v>0.21711273496991645</v>
      </c>
      <c r="M92" s="59">
        <f t="shared" si="61"/>
        <v>0.22277182216402736</v>
      </c>
      <c r="N92" s="59">
        <f t="shared" si="61"/>
        <v>0.17216741368221977</v>
      </c>
      <c r="O92" s="59">
        <f t="shared" si="61"/>
        <v>0.14808190739387794</v>
      </c>
      <c r="P92" s="59">
        <f t="shared" si="61"/>
        <v>0.13232821329445876</v>
      </c>
      <c r="R92" s="109"/>
      <c r="S92" s="109"/>
    </row>
    <row r="93" spans="1:19" ht="17.100000000000001" customHeight="1" x14ac:dyDescent="0.2">
      <c r="R93" s="109"/>
      <c r="S93" s="109"/>
    </row>
    <row r="94" spans="1:19" ht="17.100000000000001" customHeight="1" x14ac:dyDescent="0.2">
      <c r="A94" s="67" t="s">
        <v>50</v>
      </c>
      <c r="R94" s="109"/>
      <c r="S94" s="109"/>
    </row>
    <row r="95" spans="1:19" ht="17.100000000000001" customHeight="1" x14ac:dyDescent="0.2">
      <c r="A95" s="68" t="s">
        <v>48</v>
      </c>
      <c r="B95" s="46">
        <v>3.8019549761699998</v>
      </c>
      <c r="C95" s="46">
        <v>4.9870617187169977</v>
      </c>
      <c r="D95" s="46">
        <v>6.7281737686547443</v>
      </c>
      <c r="E95" s="46">
        <v>9.3028672852107572</v>
      </c>
      <c r="F95" s="46">
        <v>12.209637378618716</v>
      </c>
      <c r="G95" s="46">
        <v>15.952662002566095</v>
      </c>
      <c r="H95" s="46">
        <v>20.799893126282669</v>
      </c>
      <c r="I95" s="46">
        <v>26.787003493748163</v>
      </c>
      <c r="J95" s="46">
        <v>34.071234814055636</v>
      </c>
      <c r="K95" s="46">
        <v>42.332701342610697</v>
      </c>
      <c r="L95" s="46">
        <v>52.796973851729796</v>
      </c>
      <c r="M95" s="46">
        <v>65.977941598370805</v>
      </c>
      <c r="N95" s="46">
        <v>78.948774691272448</v>
      </c>
      <c r="O95" s="46">
        <v>92.536554518934508</v>
      </c>
      <c r="P95" s="46">
        <v>107.13398029911276</v>
      </c>
      <c r="R95" s="57">
        <f>(J95/D95)^(1/6)-1</f>
        <v>0.31043387858850813</v>
      </c>
      <c r="S95" s="57">
        <f>(P95/J95)^(1/6)-1</f>
        <v>0.21038414953074969</v>
      </c>
    </row>
    <row r="96" spans="1:19" ht="17.100000000000001" customHeight="1" x14ac:dyDescent="0.2">
      <c r="A96" s="62" t="s">
        <v>4</v>
      </c>
      <c r="B96" s="63"/>
      <c r="C96" s="63">
        <f t="shared" ref="C96:P96" si="62">C95/B95-1</f>
        <v>0.31170983085676807</v>
      </c>
      <c r="D96" s="63">
        <f t="shared" si="62"/>
        <v>0.34912582761973043</v>
      </c>
      <c r="E96" s="63">
        <f t="shared" si="62"/>
        <v>0.38267345717957091</v>
      </c>
      <c r="F96" s="63">
        <f t="shared" si="62"/>
        <v>0.3124595895320359</v>
      </c>
      <c r="G96" s="63">
        <f t="shared" si="62"/>
        <v>0.30656312778806138</v>
      </c>
      <c r="H96" s="63">
        <f t="shared" si="62"/>
        <v>0.30385092612987497</v>
      </c>
      <c r="I96" s="63">
        <f t="shared" si="62"/>
        <v>0.28784332357459097</v>
      </c>
      <c r="J96" s="63">
        <f t="shared" si="62"/>
        <v>0.27193154777493289</v>
      </c>
      <c r="K96" s="63">
        <f t="shared" si="62"/>
        <v>0.24247628750886663</v>
      </c>
      <c r="L96" s="63">
        <f t="shared" si="62"/>
        <v>0.24719122988227804</v>
      </c>
      <c r="M96" s="63">
        <f t="shared" si="62"/>
        <v>0.249653849170546</v>
      </c>
      <c r="N96" s="63">
        <f t="shared" si="62"/>
        <v>0.19659347925492021</v>
      </c>
      <c r="O96" s="63">
        <f t="shared" si="62"/>
        <v>0.17210881208475737</v>
      </c>
      <c r="P96" s="63">
        <f t="shared" si="62"/>
        <v>0.15774766908131843</v>
      </c>
      <c r="R96" s="109"/>
      <c r="S96" s="109"/>
    </row>
    <row r="97" spans="1:19" ht="17.100000000000001" customHeight="1" x14ac:dyDescent="0.2">
      <c r="A97" s="68" t="s">
        <v>49</v>
      </c>
      <c r="B97" s="46">
        <v>3.8019549761699998</v>
      </c>
      <c r="C97" s="46">
        <v>4.6965532690829974</v>
      </c>
      <c r="D97" s="46">
        <v>5.9557243718952497</v>
      </c>
      <c r="E97" s="46">
        <v>7.7240155230492338</v>
      </c>
      <c r="F97" s="46">
        <v>9.4865719626812677</v>
      </c>
      <c r="G97" s="46">
        <v>11.56915075288387</v>
      </c>
      <c r="H97" s="46">
        <v>13.375669778447273</v>
      </c>
      <c r="I97" s="46">
        <v>15.129920807451757</v>
      </c>
      <c r="J97" s="46">
        <v>16.705392237744274</v>
      </c>
      <c r="K97" s="46">
        <v>17.751827296953721</v>
      </c>
      <c r="L97" s="46">
        <v>20.670572394226379</v>
      </c>
      <c r="M97" s="46">
        <v>24.030883848074513</v>
      </c>
      <c r="N97" s="46">
        <v>26.643356293640093</v>
      </c>
      <c r="O97" s="46">
        <v>28.802138828343857</v>
      </c>
      <c r="P97" s="46">
        <v>30.591107340283699</v>
      </c>
      <c r="R97" s="57">
        <f>(J97/D97)^(1/6)-1</f>
        <v>0.18755485938668737</v>
      </c>
      <c r="S97" s="57">
        <f>(P97/J97)^(1/6)-1</f>
        <v>0.10608818536267339</v>
      </c>
    </row>
    <row r="98" spans="1:19" ht="17.100000000000001" customHeight="1" x14ac:dyDescent="0.2">
      <c r="A98" s="62" t="s">
        <v>4</v>
      </c>
      <c r="B98" s="63"/>
      <c r="C98" s="63">
        <f t="shared" ref="C98:P98" si="63">C97/B97-1</f>
        <v>0.23529954944763576</v>
      </c>
      <c r="D98" s="63">
        <f t="shared" si="63"/>
        <v>0.26810535954127612</v>
      </c>
      <c r="E98" s="63">
        <f t="shared" si="63"/>
        <v>0.29690614285282524</v>
      </c>
      <c r="F98" s="63">
        <f t="shared" si="63"/>
        <v>0.22819172674787991</v>
      </c>
      <c r="G98" s="63">
        <f t="shared" si="63"/>
        <v>0.21952911951705523</v>
      </c>
      <c r="H98" s="63">
        <f t="shared" si="63"/>
        <v>0.15614966596516067</v>
      </c>
      <c r="I98" s="63">
        <f t="shared" si="63"/>
        <v>0.131152387735467</v>
      </c>
      <c r="J98" s="63">
        <f t="shared" si="63"/>
        <v>0.10412952257599195</v>
      </c>
      <c r="K98" s="63">
        <f t="shared" si="63"/>
        <v>6.2640556074171405E-2</v>
      </c>
      <c r="L98" s="63">
        <f t="shared" si="63"/>
        <v>0.16441941713648411</v>
      </c>
      <c r="M98" s="63">
        <f t="shared" si="63"/>
        <v>0.16256499286815695</v>
      </c>
      <c r="N98" s="63">
        <f t="shared" si="63"/>
        <v>0.10871312358221497</v>
      </c>
      <c r="O98" s="63">
        <f t="shared" si="63"/>
        <v>8.102517231355999E-2</v>
      </c>
      <c r="P98" s="63">
        <f t="shared" si="63"/>
        <v>6.2112349454386262E-2</v>
      </c>
      <c r="R98" s="109"/>
      <c r="S98" s="109"/>
    </row>
    <row r="99" spans="1:19" ht="17.100000000000001" customHeight="1" x14ac:dyDescent="0.2">
      <c r="A99" s="77" t="s">
        <v>23</v>
      </c>
      <c r="B99" s="56">
        <f t="shared" ref="B99:P99" si="64">B97+B95</f>
        <v>7.6039099523399996</v>
      </c>
      <c r="C99" s="56">
        <f t="shared" si="64"/>
        <v>9.6836149877999951</v>
      </c>
      <c r="D99" s="56">
        <f t="shared" si="64"/>
        <v>12.683898140549994</v>
      </c>
      <c r="E99" s="56">
        <f t="shared" si="64"/>
        <v>17.026882808259991</v>
      </c>
      <c r="F99" s="56">
        <f t="shared" si="64"/>
        <v>21.696209341299983</v>
      </c>
      <c r="G99" s="56">
        <f t="shared" si="64"/>
        <v>27.521812755449965</v>
      </c>
      <c r="H99" s="56">
        <f t="shared" si="64"/>
        <v>34.175562904729944</v>
      </c>
      <c r="I99" s="56">
        <f t="shared" si="64"/>
        <v>41.91692430119992</v>
      </c>
      <c r="J99" s="56">
        <f t="shared" si="64"/>
        <v>50.776627051799906</v>
      </c>
      <c r="K99" s="56">
        <f t="shared" si="64"/>
        <v>60.084528639564418</v>
      </c>
      <c r="L99" s="56">
        <f t="shared" si="64"/>
        <v>73.467546245956171</v>
      </c>
      <c r="M99" s="56">
        <f t="shared" si="64"/>
        <v>90.008825446445314</v>
      </c>
      <c r="N99" s="56">
        <f t="shared" si="64"/>
        <v>105.59213098491254</v>
      </c>
      <c r="O99" s="56">
        <f t="shared" si="64"/>
        <v>121.33869334727837</v>
      </c>
      <c r="P99" s="56">
        <f t="shared" si="64"/>
        <v>137.72508763939646</v>
      </c>
      <c r="R99" s="57">
        <f>(J99/D99)^(1/6)-1</f>
        <v>0.2600908281525558</v>
      </c>
      <c r="S99" s="57">
        <f>(P99/J99)^(1/6)-1</f>
        <v>0.18093193799883633</v>
      </c>
    </row>
    <row r="100" spans="1:19" ht="17.100000000000001" customHeight="1" x14ac:dyDescent="0.2">
      <c r="A100" s="74" t="s">
        <v>4</v>
      </c>
      <c r="B100" s="66"/>
      <c r="C100" s="59">
        <f t="shared" ref="C100:P100" si="65">C99/B99-1</f>
        <v>0.2735046901522018</v>
      </c>
      <c r="D100" s="59">
        <f t="shared" si="65"/>
        <v>0.30983090060167995</v>
      </c>
      <c r="E100" s="59">
        <f t="shared" si="65"/>
        <v>0.34240141473744745</v>
      </c>
      <c r="F100" s="59">
        <f t="shared" si="65"/>
        <v>0.27423261119615105</v>
      </c>
      <c r="G100" s="59">
        <f t="shared" si="65"/>
        <v>0.2685078910563703</v>
      </c>
      <c r="H100" s="59">
        <f t="shared" si="65"/>
        <v>0.24176278679035712</v>
      </c>
      <c r="I100" s="59">
        <f t="shared" si="65"/>
        <v>0.22651745102342002</v>
      </c>
      <c r="J100" s="59">
        <f t="shared" si="65"/>
        <v>0.21136337883326917</v>
      </c>
      <c r="K100" s="59">
        <f t="shared" si="65"/>
        <v>0.18331075000844455</v>
      </c>
      <c r="L100" s="59">
        <f t="shared" si="65"/>
        <v>0.22273649988458621</v>
      </c>
      <c r="M100" s="59">
        <f t="shared" si="65"/>
        <v>0.22515083252014301</v>
      </c>
      <c r="N100" s="59">
        <f t="shared" si="65"/>
        <v>0.17313086201462768</v>
      </c>
      <c r="O100" s="59">
        <f t="shared" si="65"/>
        <v>0.14912628635760528</v>
      </c>
      <c r="P100" s="59">
        <f t="shared" si="65"/>
        <v>0.13504673439344939</v>
      </c>
      <c r="R100" s="109"/>
      <c r="S100" s="109"/>
    </row>
    <row r="101" spans="1:19" ht="17.100000000000001" customHeight="1" x14ac:dyDescent="0.2">
      <c r="R101" s="109"/>
      <c r="S101" s="109"/>
    </row>
    <row r="102" spans="1:19" x14ac:dyDescent="0.2">
      <c r="A102" s="67" t="s">
        <v>32</v>
      </c>
      <c r="R102" s="109"/>
      <c r="S102" s="109"/>
    </row>
    <row r="103" spans="1:19" x14ac:dyDescent="0.2">
      <c r="A103" s="68" t="s">
        <v>82</v>
      </c>
      <c r="B103" s="43">
        <v>1.3202810479172426E-3</v>
      </c>
      <c r="C103" s="43">
        <v>1.8478976897568452E-3</v>
      </c>
      <c r="D103" s="43">
        <v>2.5745088305229344E-3</v>
      </c>
      <c r="E103" s="43">
        <v>3.5483203328329689E-3</v>
      </c>
      <c r="F103" s="43">
        <v>4.4975230664978305E-3</v>
      </c>
      <c r="G103" s="43">
        <v>5.6566320984047956E-3</v>
      </c>
      <c r="H103" s="43">
        <v>7.1100611658775079E-3</v>
      </c>
      <c r="I103" s="43">
        <v>8.7097280239714393E-3</v>
      </c>
      <c r="J103" s="43">
        <v>1.0465241659816849E-2</v>
      </c>
      <c r="K103" s="43">
        <v>1.2913202254549049E-2</v>
      </c>
      <c r="L103" s="43">
        <v>1.5606195579714858E-2</v>
      </c>
      <c r="M103" s="43">
        <v>1.8984259979191287E-2</v>
      </c>
      <c r="N103" s="43">
        <v>2.298633756865151E-2</v>
      </c>
      <c r="O103" s="43">
        <v>2.759859809559204E-2</v>
      </c>
      <c r="P103" s="43">
        <v>3.2617888670307134E-2</v>
      </c>
      <c r="R103" s="57">
        <f>(J103/D103)^(1/6)-1</f>
        <v>0.26330770788199476</v>
      </c>
      <c r="S103" s="57">
        <f>(P103/J103)^(1/6)-1</f>
        <v>0.2086051229831023</v>
      </c>
    </row>
    <row r="104" spans="1:19" x14ac:dyDescent="0.2">
      <c r="A104" s="62" t="s">
        <v>4</v>
      </c>
      <c r="B104" s="75"/>
      <c r="C104" s="63">
        <f t="shared" ref="C104:P104" si="66">C103/B103-1</f>
        <v>0.39962449106720377</v>
      </c>
      <c r="D104" s="63">
        <f t="shared" si="66"/>
        <v>0.3932096158752707</v>
      </c>
      <c r="E104" s="63">
        <f t="shared" si="66"/>
        <v>0.37825137391827623</v>
      </c>
      <c r="F104" s="63">
        <f t="shared" si="66"/>
        <v>0.26750762181243681</v>
      </c>
      <c r="G104" s="63">
        <f t="shared" si="66"/>
        <v>0.25772164250611618</v>
      </c>
      <c r="H104" s="63">
        <f t="shared" si="66"/>
        <v>0.25694247781866308</v>
      </c>
      <c r="I104" s="63">
        <f t="shared" si="66"/>
        <v>0.22498637083053907</v>
      </c>
      <c r="J104" s="63">
        <f t="shared" si="66"/>
        <v>0.20155780192145833</v>
      </c>
      <c r="K104" s="63">
        <f t="shared" si="66"/>
        <v>0.23391343213139337</v>
      </c>
      <c r="L104" s="63">
        <f t="shared" si="66"/>
        <v>0.20854574040433116</v>
      </c>
      <c r="M104" s="63">
        <f t="shared" si="66"/>
        <v>0.21645662341097927</v>
      </c>
      <c r="N104" s="63">
        <f t="shared" si="66"/>
        <v>0.21081030252677291</v>
      </c>
      <c r="O104" s="63">
        <f t="shared" si="66"/>
        <v>0.2006522575928178</v>
      </c>
      <c r="P104" s="63">
        <f t="shared" si="66"/>
        <v>0.18186759187296397</v>
      </c>
      <c r="R104" s="109"/>
      <c r="S104" s="109"/>
    </row>
    <row r="105" spans="1:19" x14ac:dyDescent="0.2">
      <c r="A105" s="68" t="s">
        <v>10</v>
      </c>
      <c r="B105" s="43">
        <v>12.781314265595039</v>
      </c>
      <c r="C105" s="43">
        <v>15.096469166014398</v>
      </c>
      <c r="D105" s="43">
        <v>18.262957117552975</v>
      </c>
      <c r="E105" s="43">
        <v>22.315135270512069</v>
      </c>
      <c r="F105" s="43">
        <v>25.474535676253023</v>
      </c>
      <c r="G105" s="43">
        <v>29.216638041801613</v>
      </c>
      <c r="H105" s="43">
        <v>33.823670749752573</v>
      </c>
      <c r="I105" s="43">
        <v>38.476111982797939</v>
      </c>
      <c r="J105" s="43">
        <v>43.226941227470689</v>
      </c>
      <c r="K105" s="43">
        <v>45.50413691476151</v>
      </c>
      <c r="L105" s="43">
        <v>49.396160407258165</v>
      </c>
      <c r="M105" s="43">
        <v>53.816639917448086</v>
      </c>
      <c r="N105" s="43">
        <v>58.144811818658773</v>
      </c>
      <c r="O105" s="43">
        <v>62.003366764881818</v>
      </c>
      <c r="P105" s="43">
        <v>64.702878593539751</v>
      </c>
      <c r="R105" s="57">
        <f>(J105/D105)^(1/6)-1</f>
        <v>0.15442015645610763</v>
      </c>
      <c r="S105" s="57">
        <f>(P105/J105)^(1/6)-1</f>
        <v>6.9534626386298815E-2</v>
      </c>
    </row>
    <row r="106" spans="1:19" x14ac:dyDescent="0.2">
      <c r="A106" s="62" t="s">
        <v>4</v>
      </c>
      <c r="B106" s="75"/>
      <c r="C106" s="63">
        <f t="shared" ref="C106:P106" si="67">C105/B105-1</f>
        <v>0.18113590295258852</v>
      </c>
      <c r="D106" s="63">
        <f t="shared" si="67"/>
        <v>0.20975023475469778</v>
      </c>
      <c r="E106" s="63">
        <f t="shared" si="67"/>
        <v>0.2218796291792442</v>
      </c>
      <c r="F106" s="63">
        <f t="shared" si="67"/>
        <v>0.14158105552314915</v>
      </c>
      <c r="G106" s="63">
        <f t="shared" si="67"/>
        <v>0.14689580265978797</v>
      </c>
      <c r="H106" s="63">
        <f t="shared" si="67"/>
        <v>0.15768524432412323</v>
      </c>
      <c r="I106" s="63">
        <f t="shared" si="67"/>
        <v>0.13754986167725147</v>
      </c>
      <c r="J106" s="63">
        <f t="shared" si="67"/>
        <v>0.12347477434302023</v>
      </c>
      <c r="K106" s="63">
        <f t="shared" si="67"/>
        <v>5.2680009795457394E-2</v>
      </c>
      <c r="L106" s="63">
        <f t="shared" si="67"/>
        <v>8.5531201257309952E-2</v>
      </c>
      <c r="M106" s="63">
        <f t="shared" si="67"/>
        <v>8.9490346491392092E-2</v>
      </c>
      <c r="N106" s="63">
        <f t="shared" si="67"/>
        <v>8.0424417203487142E-2</v>
      </c>
      <c r="O106" s="63">
        <f t="shared" si="67"/>
        <v>6.6361121921884481E-2</v>
      </c>
      <c r="P106" s="63">
        <f t="shared" si="67"/>
        <v>4.3538149128168113E-2</v>
      </c>
      <c r="R106" s="109"/>
      <c r="S106" s="109"/>
    </row>
    <row r="107" spans="1:19" x14ac:dyDescent="0.2">
      <c r="A107" s="68" t="s">
        <v>11</v>
      </c>
      <c r="B107" s="43">
        <v>40.549572870863983</v>
      </c>
      <c r="C107" s="43">
        <v>51.674636044079101</v>
      </c>
      <c r="D107" s="43">
        <v>66.955864385516364</v>
      </c>
      <c r="E107" s="43">
        <v>87.087444150765833</v>
      </c>
      <c r="F107" s="43">
        <v>105.27263376505971</v>
      </c>
      <c r="G107" s="43">
        <v>127.26835167668284</v>
      </c>
      <c r="H107" s="43">
        <v>154.69411886971415</v>
      </c>
      <c r="I107" s="43">
        <v>184.11879025372323</v>
      </c>
      <c r="J107" s="43">
        <v>215.76464943230962</v>
      </c>
      <c r="K107" s="43">
        <v>251.98496534222906</v>
      </c>
      <c r="L107" s="43">
        <v>294.3534905809334</v>
      </c>
      <c r="M107" s="43">
        <v>346.66046040646734</v>
      </c>
      <c r="N107" s="43">
        <v>406.97663261493415</v>
      </c>
      <c r="O107" s="43">
        <v>474.43446906632232</v>
      </c>
      <c r="P107" s="43">
        <v>545.11781285026404</v>
      </c>
      <c r="R107" s="57">
        <f>(J107/D107)^(1/6)-1</f>
        <v>0.21534229449518927</v>
      </c>
      <c r="S107" s="57">
        <f>(P107/J107)^(1/6)-1</f>
        <v>0.16703804368234798</v>
      </c>
    </row>
    <row r="108" spans="1:19" x14ac:dyDescent="0.2">
      <c r="A108" s="62" t="s">
        <v>4</v>
      </c>
      <c r="B108" s="75"/>
      <c r="C108" s="63">
        <f t="shared" ref="C108:O108" si="68">C107/B107-1</f>
        <v>0.2743570988686983</v>
      </c>
      <c r="D108" s="63">
        <f t="shared" si="68"/>
        <v>0.2957200961880444</v>
      </c>
      <c r="E108" s="63">
        <f t="shared" si="68"/>
        <v>0.30066940289705602</v>
      </c>
      <c r="F108" s="63">
        <f t="shared" si="68"/>
        <v>0.2088152866538564</v>
      </c>
      <c r="G108" s="63">
        <f t="shared" si="68"/>
        <v>0.20894051117512347</v>
      </c>
      <c r="H108" s="63">
        <f t="shared" si="68"/>
        <v>0.21549557947214337</v>
      </c>
      <c r="I108" s="63">
        <f t="shared" si="68"/>
        <v>0.19021195892256904</v>
      </c>
      <c r="J108" s="63">
        <f t="shared" si="68"/>
        <v>0.17187740118744599</v>
      </c>
      <c r="K108" s="63">
        <f t="shared" si="68"/>
        <v>0.16786955604274079</v>
      </c>
      <c r="L108" s="63">
        <f t="shared" si="68"/>
        <v>0.16813909981161879</v>
      </c>
      <c r="M108" s="63">
        <f t="shared" si="68"/>
        <v>0.17770120450177562</v>
      </c>
      <c r="N108" s="63">
        <f t="shared" si="68"/>
        <v>0.17399207321695909</v>
      </c>
      <c r="O108" s="63">
        <f t="shared" si="68"/>
        <v>0.16575358643554905</v>
      </c>
      <c r="P108" s="63">
        <f>P107/O107-1</f>
        <v>0.14898441911913607</v>
      </c>
      <c r="R108" s="109"/>
      <c r="S108" s="109"/>
    </row>
    <row r="109" spans="1:19" x14ac:dyDescent="0.2">
      <c r="A109" s="68" t="s">
        <v>22</v>
      </c>
      <c r="B109" s="43">
        <v>5.9834170544930529</v>
      </c>
      <c r="C109" s="43">
        <v>7.815107634216786</v>
      </c>
      <c r="D109" s="43">
        <v>10.053863106100206</v>
      </c>
      <c r="E109" s="43">
        <v>13.22788916638935</v>
      </c>
      <c r="F109" s="43">
        <v>16.172846420620836</v>
      </c>
      <c r="G109" s="43">
        <v>20.60370321141729</v>
      </c>
      <c r="H109" s="43">
        <v>25.508557749367629</v>
      </c>
      <c r="I109" s="43">
        <v>29.80031795645521</v>
      </c>
      <c r="J109" s="43">
        <v>35.352304398560179</v>
      </c>
      <c r="K109" s="43">
        <v>42.165168222358567</v>
      </c>
      <c r="L109" s="43">
        <v>49.864851644626377</v>
      </c>
      <c r="M109" s="43">
        <v>59.433063595940311</v>
      </c>
      <c r="N109" s="43">
        <v>70.591185403263296</v>
      </c>
      <c r="O109" s="43">
        <v>83.229860169245811</v>
      </c>
      <c r="P109" s="43">
        <v>96.690906159548106</v>
      </c>
      <c r="R109" s="57">
        <f>(J109/D109)^(1/6)-1</f>
        <v>0.23314494435801381</v>
      </c>
      <c r="S109" s="57">
        <f>(P109/J109)^(1/6)-1</f>
        <v>0.18257306689328212</v>
      </c>
    </row>
    <row r="110" spans="1:19" x14ac:dyDescent="0.2">
      <c r="A110" s="62" t="s">
        <v>4</v>
      </c>
      <c r="B110" s="63"/>
      <c r="C110" s="63">
        <f>C109/B109-1</f>
        <v>0.30612784685437977</v>
      </c>
      <c r="D110" s="63">
        <f t="shared" ref="D110:P110" si="69">D109/C109-1</f>
        <v>0.28646508489294575</v>
      </c>
      <c r="E110" s="63">
        <f t="shared" si="69"/>
        <v>0.31570213626275612</v>
      </c>
      <c r="F110" s="63">
        <f t="shared" si="69"/>
        <v>0.22263244098796253</v>
      </c>
      <c r="G110" s="63">
        <f t="shared" si="69"/>
        <v>0.27396889054402851</v>
      </c>
      <c r="H110" s="63">
        <f t="shared" si="69"/>
        <v>0.23805693994040711</v>
      </c>
      <c r="I110" s="63">
        <f t="shared" si="69"/>
        <v>0.16824785819943022</v>
      </c>
      <c r="J110" s="63">
        <f t="shared" si="69"/>
        <v>0.1863062820409378</v>
      </c>
      <c r="K110" s="63">
        <f t="shared" si="69"/>
        <v>0.19271342956856463</v>
      </c>
      <c r="L110" s="63">
        <f t="shared" si="69"/>
        <v>0.18260767706803471</v>
      </c>
      <c r="M110" s="63">
        <f t="shared" si="69"/>
        <v>0.19188289217230703</v>
      </c>
      <c r="N110" s="63">
        <f t="shared" si="69"/>
        <v>0.18774266598777789</v>
      </c>
      <c r="O110" s="63">
        <f t="shared" si="69"/>
        <v>0.17904040984411984</v>
      </c>
      <c r="P110" s="63">
        <f t="shared" si="69"/>
        <v>0.16173337264930643</v>
      </c>
      <c r="R110" s="109"/>
      <c r="S110" s="109"/>
    </row>
    <row r="111" spans="1:19" x14ac:dyDescent="0.2">
      <c r="A111" s="77" t="s">
        <v>23</v>
      </c>
      <c r="B111" s="56">
        <f>B109+B107+B105+B103</f>
        <v>59.315624471999989</v>
      </c>
      <c r="C111" s="56">
        <f t="shared" ref="C111:P111" si="70">C109+C107+C105+C103</f>
        <v>74.588060742000039</v>
      </c>
      <c r="D111" s="56">
        <f t="shared" si="70"/>
        <v>95.275259118000065</v>
      </c>
      <c r="E111" s="56">
        <f t="shared" si="70"/>
        <v>122.63401690800009</v>
      </c>
      <c r="F111" s="56">
        <f t="shared" si="70"/>
        <v>146.92451338500007</v>
      </c>
      <c r="G111" s="56">
        <f t="shared" si="70"/>
        <v>177.09434956200016</v>
      </c>
      <c r="H111" s="56">
        <f t="shared" si="70"/>
        <v>214.03345743000025</v>
      </c>
      <c r="I111" s="56">
        <f t="shared" si="70"/>
        <v>252.40392992100035</v>
      </c>
      <c r="J111" s="56">
        <f t="shared" si="70"/>
        <v>294.35436030000034</v>
      </c>
      <c r="K111" s="56">
        <f t="shared" si="70"/>
        <v>339.66718368160366</v>
      </c>
      <c r="L111" s="56">
        <f t="shared" si="70"/>
        <v>393.63010882839762</v>
      </c>
      <c r="M111" s="56">
        <f t="shared" si="70"/>
        <v>459.9291481798349</v>
      </c>
      <c r="N111" s="56">
        <f t="shared" si="70"/>
        <v>535.73561617442488</v>
      </c>
      <c r="O111" s="56">
        <f t="shared" si="70"/>
        <v>619.6952945985455</v>
      </c>
      <c r="P111" s="56">
        <f t="shared" si="70"/>
        <v>706.5442154920222</v>
      </c>
      <c r="R111" s="57">
        <f>(J111/D111)^(1/6)-1</f>
        <v>0.20683636795354055</v>
      </c>
      <c r="S111" s="57">
        <f>(P111/J111)^(1/6)-1</f>
        <v>0.15711932101909554</v>
      </c>
    </row>
    <row r="112" spans="1:19" x14ac:dyDescent="0.2">
      <c r="A112" s="74" t="s">
        <v>4</v>
      </c>
      <c r="B112" s="66"/>
      <c r="C112" s="59">
        <f t="shared" ref="C112:P112" si="71">C111/B111-1</f>
        <v>0.25747745903289654</v>
      </c>
      <c r="D112" s="59">
        <f t="shared" si="71"/>
        <v>0.27735267776376449</v>
      </c>
      <c r="E112" s="59">
        <f t="shared" si="71"/>
        <v>0.28715490299654522</v>
      </c>
      <c r="F112" s="59">
        <f t="shared" si="71"/>
        <v>0.19807307213318048</v>
      </c>
      <c r="G112" s="59">
        <f t="shared" si="71"/>
        <v>0.20534242708664441</v>
      </c>
      <c r="H112" s="59">
        <f t="shared" si="71"/>
        <v>0.20858433913538188</v>
      </c>
      <c r="I112" s="59">
        <f t="shared" si="71"/>
        <v>0.17927324518200227</v>
      </c>
      <c r="J112" s="59">
        <f t="shared" si="71"/>
        <v>0.16620355472329607</v>
      </c>
      <c r="K112" s="59">
        <f t="shared" si="71"/>
        <v>0.1539397049713187</v>
      </c>
      <c r="L112" s="59">
        <f t="shared" si="71"/>
        <v>0.15886999904405719</v>
      </c>
      <c r="M112" s="59">
        <f t="shared" si="71"/>
        <v>0.16842979707210404</v>
      </c>
      <c r="N112" s="59">
        <f t="shared" si="71"/>
        <v>0.16482205638540925</v>
      </c>
      <c r="O112" s="59">
        <f t="shared" si="71"/>
        <v>0.15671849302023078</v>
      </c>
      <c r="P112" s="59">
        <f t="shared" si="71"/>
        <v>0.1401477817412502</v>
      </c>
      <c r="R112" s="109"/>
      <c r="S112" s="109"/>
    </row>
    <row r="113" spans="1:19" ht="17.100000000000001" customHeight="1" x14ac:dyDescent="0.2">
      <c r="B113" s="66"/>
      <c r="C113" s="66"/>
      <c r="D113" s="66"/>
      <c r="E113" s="66"/>
      <c r="F113" s="66"/>
      <c r="G113" s="66"/>
      <c r="H113" s="66"/>
      <c r="I113" s="66"/>
      <c r="J113" s="66"/>
      <c r="K113" s="66"/>
      <c r="L113" s="66"/>
      <c r="M113" s="66"/>
      <c r="N113" s="66"/>
      <c r="O113" s="66"/>
      <c r="R113" s="109"/>
      <c r="S113" s="109"/>
    </row>
    <row r="114" spans="1:19" x14ac:dyDescent="0.2">
      <c r="A114" s="67" t="s">
        <v>33</v>
      </c>
      <c r="B114" s="66"/>
      <c r="C114" s="66"/>
      <c r="D114" s="66"/>
      <c r="E114" s="66"/>
      <c r="F114" s="66"/>
      <c r="G114" s="66"/>
      <c r="H114" s="66"/>
      <c r="I114" s="66"/>
      <c r="J114" s="66"/>
      <c r="K114" s="66"/>
      <c r="L114" s="66"/>
      <c r="M114" s="66"/>
      <c r="N114" s="66"/>
      <c r="O114" s="66"/>
      <c r="R114" s="109"/>
      <c r="S114" s="109"/>
    </row>
    <row r="115" spans="1:19" x14ac:dyDescent="0.2">
      <c r="A115" s="68" t="s">
        <v>82</v>
      </c>
      <c r="B115" s="112">
        <f t="shared" ref="B115:P115" si="72">(B103*1000000)/(B34*1000)</f>
        <v>5.0326493659049072E-2</v>
      </c>
      <c r="C115" s="112">
        <f t="shared" si="72"/>
        <v>5.9950910665112343E-2</v>
      </c>
      <c r="D115" s="112">
        <f t="shared" si="72"/>
        <v>7.7304157562690781E-2</v>
      </c>
      <c r="E115" s="112">
        <f t="shared" si="72"/>
        <v>8.9128544460368761E-2</v>
      </c>
      <c r="F115" s="112">
        <f t="shared" si="72"/>
        <v>9.8925378480990839E-2</v>
      </c>
      <c r="G115" s="112">
        <f t="shared" si="72"/>
        <v>8.828570665949681E-2</v>
      </c>
      <c r="H115" s="112">
        <f t="shared" si="72"/>
        <v>9.814382021959582E-2</v>
      </c>
      <c r="I115" s="112">
        <f t="shared" si="72"/>
        <v>0.10682054907116355</v>
      </c>
      <c r="J115" s="112">
        <f t="shared" si="72"/>
        <v>0.11382000107624236</v>
      </c>
      <c r="K115" s="112">
        <f t="shared" si="72"/>
        <v>0.12484757831376393</v>
      </c>
      <c r="L115" s="112">
        <f t="shared" si="72"/>
        <v>0.1339683981108884</v>
      </c>
      <c r="M115" s="112">
        <f t="shared" si="72"/>
        <v>0.14513828818980729</v>
      </c>
      <c r="N115" s="112">
        <f t="shared" si="72"/>
        <v>0.15736751828355566</v>
      </c>
      <c r="O115" s="112">
        <f t="shared" si="72"/>
        <v>0.17037422946103886</v>
      </c>
      <c r="P115" s="112">
        <f t="shared" si="72"/>
        <v>0.18315715255547629</v>
      </c>
      <c r="R115" s="57">
        <f>(J115/D115)^(1/6)-1</f>
        <v>6.6602561373256375E-2</v>
      </c>
      <c r="S115" s="57">
        <f>(P115/J115)^(1/6)-1</f>
        <v>8.2515731267091219E-2</v>
      </c>
    </row>
    <row r="116" spans="1:19" x14ac:dyDescent="0.2">
      <c r="A116" s="62" t="s">
        <v>4</v>
      </c>
      <c r="B116" s="75"/>
      <c r="C116" s="13">
        <f>C115/B115-1</f>
        <v>0.19123956998209701</v>
      </c>
      <c r="D116" s="13">
        <f t="shared" ref="D116:P116" si="73">D115/C115-1</f>
        <v>0.28945760297978151</v>
      </c>
      <c r="E116" s="13">
        <f t="shared" si="73"/>
        <v>0.15295926209517052</v>
      </c>
      <c r="F116" s="13">
        <f t="shared" si="73"/>
        <v>0.10991802996377054</v>
      </c>
      <c r="G116" s="13">
        <f t="shared" si="73"/>
        <v>-0.10755250052986665</v>
      </c>
      <c r="H116" s="13">
        <f t="shared" si="73"/>
        <v>0.11166149009963866</v>
      </c>
      <c r="I116" s="13">
        <f t="shared" si="73"/>
        <v>8.8408305608581594E-2</v>
      </c>
      <c r="J116" s="13">
        <f t="shared" si="73"/>
        <v>6.5525332587607288E-2</v>
      </c>
      <c r="K116" s="13">
        <f t="shared" si="73"/>
        <v>9.6886110817506976E-2</v>
      </c>
      <c r="L116" s="13">
        <f t="shared" si="73"/>
        <v>7.3055640488294049E-2</v>
      </c>
      <c r="M116" s="13">
        <f t="shared" si="73"/>
        <v>8.3377051875124675E-2</v>
      </c>
      <c r="N116" s="13">
        <f t="shared" si="73"/>
        <v>8.4259158946089929E-2</v>
      </c>
      <c r="O116" s="13">
        <f t="shared" si="73"/>
        <v>8.2651816075836049E-2</v>
      </c>
      <c r="P116" s="13">
        <f t="shared" si="73"/>
        <v>7.5028501287283111E-2</v>
      </c>
      <c r="R116" s="109"/>
      <c r="S116" s="109"/>
    </row>
    <row r="117" spans="1:19" x14ac:dyDescent="0.2">
      <c r="A117" s="68" t="s">
        <v>10</v>
      </c>
      <c r="B117" s="112">
        <f t="shared" ref="B117:P117" si="74">(B105*1000000)/(B36*1000)</f>
        <v>1783.4268856054232</v>
      </c>
      <c r="C117" s="112">
        <f t="shared" si="74"/>
        <v>1748.2966133198372</v>
      </c>
      <c r="D117" s="112">
        <f t="shared" si="74"/>
        <v>1850.4114926945426</v>
      </c>
      <c r="E117" s="112">
        <f t="shared" si="74"/>
        <v>1915.7375258585123</v>
      </c>
      <c r="F117" s="112">
        <f t="shared" si="74"/>
        <v>2013.7453349922869</v>
      </c>
      <c r="G117" s="112">
        <f t="shared" si="74"/>
        <v>1909.4853901497474</v>
      </c>
      <c r="H117" s="112">
        <f t="shared" si="74"/>
        <v>1849.2400079808369</v>
      </c>
      <c r="I117" s="112">
        <f t="shared" si="74"/>
        <v>1881.4119991426685</v>
      </c>
      <c r="J117" s="112">
        <f t="shared" si="74"/>
        <v>1912.1686793291274</v>
      </c>
      <c r="K117" s="112">
        <f t="shared" si="74"/>
        <v>1852.4808702440421</v>
      </c>
      <c r="L117" s="112">
        <f t="shared" si="74"/>
        <v>1854.973120953927</v>
      </c>
      <c r="M117" s="112">
        <f t="shared" si="74"/>
        <v>1874.5264465120927</v>
      </c>
      <c r="N117" s="112">
        <f t="shared" si="74"/>
        <v>1893.6499545123347</v>
      </c>
      <c r="O117" s="112">
        <f t="shared" si="74"/>
        <v>1904.5495680131735</v>
      </c>
      <c r="P117" s="112">
        <f t="shared" si="74"/>
        <v>1897.5180939043619</v>
      </c>
      <c r="R117" s="57">
        <f>(J117/D117)^(1/6)-1</f>
        <v>5.4866617825184427E-3</v>
      </c>
      <c r="S117" s="57">
        <f>(P117/J117)^(1/6)-1</f>
        <v>-1.2810564536777092E-3</v>
      </c>
    </row>
    <row r="118" spans="1:19" x14ac:dyDescent="0.2">
      <c r="A118" s="62" t="s">
        <v>4</v>
      </c>
      <c r="B118" s="75"/>
      <c r="C118" s="13">
        <f>C117/B117-1</f>
        <v>-1.9698184752698911E-2</v>
      </c>
      <c r="D118" s="13">
        <f t="shared" ref="D118:P118" si="75">D117/C117-1</f>
        <v>5.8408212082959876E-2</v>
      </c>
      <c r="E118" s="13">
        <f t="shared" si="75"/>
        <v>3.5303516770122778E-2</v>
      </c>
      <c r="F118" s="13">
        <f t="shared" si="75"/>
        <v>5.1159309566613853E-2</v>
      </c>
      <c r="G118" s="13">
        <f t="shared" si="75"/>
        <v>-5.1774145931386517E-2</v>
      </c>
      <c r="H118" s="13">
        <f t="shared" si="75"/>
        <v>-3.155058555550716E-2</v>
      </c>
      <c r="I118" s="13">
        <f t="shared" si="75"/>
        <v>1.7397412462949902E-2</v>
      </c>
      <c r="J118" s="13">
        <f t="shared" si="75"/>
        <v>1.6347658142115806E-2</v>
      </c>
      <c r="K118" s="13">
        <f t="shared" si="75"/>
        <v>-3.1214719564398696E-2</v>
      </c>
      <c r="L118" s="13">
        <f t="shared" si="75"/>
        <v>1.3453584055400647E-3</v>
      </c>
      <c r="M118" s="13">
        <f t="shared" si="75"/>
        <v>1.0541029051736484E-2</v>
      </c>
      <c r="N118" s="13">
        <f t="shared" si="75"/>
        <v>1.0201780847544084E-2</v>
      </c>
      <c r="O118" s="13">
        <f t="shared" si="75"/>
        <v>5.7558755644708803E-3</v>
      </c>
      <c r="P118" s="13">
        <f t="shared" si="75"/>
        <v>-3.691935472252772E-3</v>
      </c>
      <c r="R118" s="109"/>
      <c r="S118" s="109"/>
    </row>
    <row r="119" spans="1:19" x14ac:dyDescent="0.2">
      <c r="A119" s="68" t="s">
        <v>11</v>
      </c>
      <c r="B119" s="112">
        <f t="shared" ref="B119:P119" si="76">(B107*1000000)/(B38*1000)</f>
        <v>117023.68995227023</v>
      </c>
      <c r="C119" s="112">
        <f t="shared" si="76"/>
        <v>112801.25336248107</v>
      </c>
      <c r="D119" s="112">
        <f t="shared" si="76"/>
        <v>112741.17145159529</v>
      </c>
      <c r="E119" s="112">
        <f t="shared" si="76"/>
        <v>120839.12957735609</v>
      </c>
      <c r="F119" s="112">
        <f t="shared" si="76"/>
        <v>127987.28462082474</v>
      </c>
      <c r="G119" s="112">
        <f t="shared" si="76"/>
        <v>138229.5597530799</v>
      </c>
      <c r="H119" s="112">
        <f t="shared" si="76"/>
        <v>149408.48812706844</v>
      </c>
      <c r="I119" s="112">
        <f t="shared" si="76"/>
        <v>162042.25022533166</v>
      </c>
      <c r="J119" s="112">
        <f t="shared" si="76"/>
        <v>180278.33983503556</v>
      </c>
      <c r="K119" s="112">
        <f t="shared" si="76"/>
        <v>202548.35836497982</v>
      </c>
      <c r="L119" s="112">
        <f t="shared" si="76"/>
        <v>228744.57365212534</v>
      </c>
      <c r="M119" s="112">
        <f t="shared" si="76"/>
        <v>261371.27770042029</v>
      </c>
      <c r="N119" s="112">
        <f t="shared" si="76"/>
        <v>298870.12897982</v>
      </c>
      <c r="O119" s="112">
        <f t="shared" si="76"/>
        <v>340482.67087046552</v>
      </c>
      <c r="P119" s="112">
        <f t="shared" si="76"/>
        <v>383869.84966820304</v>
      </c>
      <c r="R119" s="57">
        <f>(J119/D119)^(1/6)-1</f>
        <v>8.1376268547366681E-2</v>
      </c>
      <c r="S119" s="57">
        <f>(P119/J119)^(1/6)-1</f>
        <v>0.13424465687150389</v>
      </c>
    </row>
    <row r="120" spans="1:19" x14ac:dyDescent="0.2">
      <c r="A120" s="62" t="s">
        <v>4</v>
      </c>
      <c r="B120" s="75"/>
      <c r="C120" s="13">
        <f>C119/B119-1</f>
        <v>-3.6081895823925403E-2</v>
      </c>
      <c r="D120" s="13">
        <f t="shared" ref="D120:P120" si="77">D119/C119-1</f>
        <v>-5.3263513564616449E-4</v>
      </c>
      <c r="E120" s="13">
        <f t="shared" si="77"/>
        <v>7.1827869282319767E-2</v>
      </c>
      <c r="F120" s="13">
        <f t="shared" si="77"/>
        <v>5.915430761931062E-2</v>
      </c>
      <c r="G120" s="13">
        <f t="shared" si="77"/>
        <v>8.002572413813569E-2</v>
      </c>
      <c r="H120" s="13">
        <f t="shared" si="77"/>
        <v>8.0872198348584057E-2</v>
      </c>
      <c r="I120" s="13">
        <f t="shared" si="77"/>
        <v>8.4558529817385653E-2</v>
      </c>
      <c r="J120" s="13">
        <f t="shared" si="77"/>
        <v>0.11253910374822174</v>
      </c>
      <c r="K120" s="13">
        <f t="shared" si="77"/>
        <v>0.12353130470539364</v>
      </c>
      <c r="L120" s="13">
        <f t="shared" si="77"/>
        <v>0.12933314048362488</v>
      </c>
      <c r="M120" s="13">
        <f t="shared" si="77"/>
        <v>0.14263378373256463</v>
      </c>
      <c r="N120" s="13">
        <f t="shared" si="77"/>
        <v>0.14346967122523813</v>
      </c>
      <c r="O120" s="13">
        <f t="shared" si="77"/>
        <v>0.13923285686892872</v>
      </c>
      <c r="P120" s="13">
        <f t="shared" si="77"/>
        <v>0.12742844940335862</v>
      </c>
      <c r="R120" s="109"/>
      <c r="S120" s="109"/>
    </row>
    <row r="121" spans="1:19" x14ac:dyDescent="0.2">
      <c r="A121" s="77" t="s">
        <v>23</v>
      </c>
      <c r="B121" s="56">
        <f t="shared" ref="B121:P121" si="78">(B111*1000000)/(B40*1000)</f>
        <v>1757.6282130738898</v>
      </c>
      <c r="C121" s="56">
        <f t="shared" si="78"/>
        <v>1868.5986955661365</v>
      </c>
      <c r="D121" s="56">
        <f t="shared" si="78"/>
        <v>2176.8648610110731</v>
      </c>
      <c r="E121" s="56">
        <f t="shared" si="78"/>
        <v>2350.1983995072706</v>
      </c>
      <c r="F121" s="56">
        <f t="shared" si="78"/>
        <v>2492.9229284936509</v>
      </c>
      <c r="G121" s="56">
        <f t="shared" si="78"/>
        <v>2205.5907892817818</v>
      </c>
      <c r="H121" s="56">
        <f t="shared" si="78"/>
        <v>2332.2487117302417</v>
      </c>
      <c r="I121" s="56">
        <f t="shared" si="78"/>
        <v>2447.6014621155532</v>
      </c>
      <c r="J121" s="56">
        <f t="shared" si="78"/>
        <v>2543.0485058475479</v>
      </c>
      <c r="K121" s="56">
        <f t="shared" si="78"/>
        <v>2628.1953207072174</v>
      </c>
      <c r="L121" s="56">
        <f t="shared" si="78"/>
        <v>2725.8289999234844</v>
      </c>
      <c r="M121" s="56">
        <f t="shared" si="78"/>
        <v>2859.5986613386008</v>
      </c>
      <c r="N121" s="56">
        <f t="shared" si="78"/>
        <v>3007.474156588969</v>
      </c>
      <c r="O121" s="56">
        <f t="shared" si="78"/>
        <v>3162.7286286079429</v>
      </c>
      <c r="P121" s="56">
        <f t="shared" si="78"/>
        <v>3307.7038871216205</v>
      </c>
      <c r="R121" s="109"/>
      <c r="S121" s="109"/>
    </row>
    <row r="122" spans="1:19" x14ac:dyDescent="0.2">
      <c r="A122" s="74" t="s">
        <v>4</v>
      </c>
      <c r="B122" s="66"/>
      <c r="C122" s="59">
        <f t="shared" ref="C122:P122" si="79">C121/B121-1</f>
        <v>6.313649363773699E-2</v>
      </c>
      <c r="D122" s="59">
        <f t="shared" si="79"/>
        <v>0.1649718402225151</v>
      </c>
      <c r="E122" s="59">
        <f t="shared" si="79"/>
        <v>7.9625309591193627E-2</v>
      </c>
      <c r="F122" s="59">
        <f t="shared" si="79"/>
        <v>6.0728715080524021E-2</v>
      </c>
      <c r="G122" s="59">
        <f t="shared" si="79"/>
        <v>-0.11525913453950609</v>
      </c>
      <c r="H122" s="59">
        <f t="shared" si="79"/>
        <v>5.742584846833898E-2</v>
      </c>
      <c r="I122" s="59">
        <f t="shared" si="79"/>
        <v>4.9459883847351005E-2</v>
      </c>
      <c r="J122" s="59">
        <f t="shared" si="79"/>
        <v>3.8996154075466194E-2</v>
      </c>
      <c r="K122" s="59">
        <f t="shared" si="79"/>
        <v>3.3482182767603952E-2</v>
      </c>
      <c r="L122" s="59">
        <f t="shared" si="79"/>
        <v>3.7148562911981209E-2</v>
      </c>
      <c r="M122" s="59">
        <f t="shared" si="79"/>
        <v>4.9074854445701144E-2</v>
      </c>
      <c r="N122" s="59">
        <f t="shared" si="79"/>
        <v>5.171197526758764E-2</v>
      </c>
      <c r="O122" s="59">
        <f t="shared" si="79"/>
        <v>5.1622878181291298E-2</v>
      </c>
      <c r="P122" s="59">
        <f t="shared" si="79"/>
        <v>4.5838665133115741E-2</v>
      </c>
      <c r="R122" s="109"/>
      <c r="S122" s="109"/>
    </row>
    <row r="123" spans="1:19" x14ac:dyDescent="0.2">
      <c r="R123" s="109"/>
      <c r="S123" s="109"/>
    </row>
    <row r="124" spans="1:19" x14ac:dyDescent="0.2">
      <c r="A124" s="67" t="s">
        <v>51</v>
      </c>
      <c r="R124" s="109"/>
      <c r="S124" s="109"/>
    </row>
    <row r="125" spans="1:19" x14ac:dyDescent="0.2">
      <c r="A125" s="68" t="s">
        <v>52</v>
      </c>
      <c r="B125" s="46">
        <v>28.525005104278605</v>
      </c>
      <c r="C125" s="46">
        <v>37.183985911286882</v>
      </c>
      <c r="D125" s="46">
        <v>49.23758763266585</v>
      </c>
      <c r="E125" s="46">
        <v>65.698822256604174</v>
      </c>
      <c r="F125" s="46">
        <v>81.596380325244283</v>
      </c>
      <c r="G125" s="46">
        <v>101.95565977638446</v>
      </c>
      <c r="H125" s="46">
        <v>127.73746816832754</v>
      </c>
      <c r="I125" s="46">
        <v>156.15746553457521</v>
      </c>
      <c r="J125" s="46">
        <v>188.78483937606606</v>
      </c>
      <c r="K125" s="46">
        <v>225.82927164953924</v>
      </c>
      <c r="L125" s="46">
        <v>271.2969778881772</v>
      </c>
      <c r="M125" s="46">
        <v>328.60758362724539</v>
      </c>
      <c r="N125" s="46">
        <v>396.79589417910296</v>
      </c>
      <c r="O125" s="46">
        <v>475.80045254796391</v>
      </c>
      <c r="P125" s="46">
        <v>562.36204246071679</v>
      </c>
      <c r="R125" s="57">
        <f>(J125/D125)^(1/6)-1</f>
        <v>0.25106072784389344</v>
      </c>
      <c r="S125" s="57">
        <f>(P125/J125)^(1/6)-1</f>
        <v>0.19952180626703697</v>
      </c>
    </row>
    <row r="126" spans="1:19" x14ac:dyDescent="0.2">
      <c r="A126" s="62" t="s">
        <v>4</v>
      </c>
      <c r="B126" s="75"/>
      <c r="C126" s="63">
        <f t="shared" ref="C126:P126" si="80">C125/B125-1</f>
        <v>0.30355755504175086</v>
      </c>
      <c r="D126" s="63">
        <f t="shared" si="80"/>
        <v>0.32416109854753894</v>
      </c>
      <c r="E126" s="63">
        <f t="shared" si="80"/>
        <v>0.33432252503405335</v>
      </c>
      <c r="F126" s="63">
        <f t="shared" si="80"/>
        <v>0.24197630220139987</v>
      </c>
      <c r="G126" s="63">
        <f t="shared" si="80"/>
        <v>0.24951204171052455</v>
      </c>
      <c r="H126" s="63">
        <f t="shared" si="80"/>
        <v>0.25287275319966884</v>
      </c>
      <c r="I126" s="63">
        <f t="shared" si="80"/>
        <v>0.22248755806555431</v>
      </c>
      <c r="J126" s="63">
        <f t="shared" si="80"/>
        <v>0.20893893051989076</v>
      </c>
      <c r="K126" s="63">
        <f t="shared" si="80"/>
        <v>0.1962256736076109</v>
      </c>
      <c r="L126" s="63">
        <f t="shared" si="80"/>
        <v>0.20133663765784338</v>
      </c>
      <c r="M126" s="63">
        <f t="shared" si="80"/>
        <v>0.21124675322660758</v>
      </c>
      <c r="N126" s="63">
        <f t="shared" si="80"/>
        <v>0.2075068073572115</v>
      </c>
      <c r="O126" s="63">
        <f t="shared" si="80"/>
        <v>0.1991062899788989</v>
      </c>
      <c r="P126" s="63">
        <f t="shared" si="80"/>
        <v>0.18192834716572048</v>
      </c>
      <c r="R126" s="109"/>
      <c r="S126" s="109"/>
    </row>
    <row r="127" spans="1:19" x14ac:dyDescent="0.2">
      <c r="A127" s="68" t="s">
        <v>53</v>
      </c>
      <c r="B127" s="46">
        <v>30.790619367721398</v>
      </c>
      <c r="C127" s="46">
        <v>37.404074830713128</v>
      </c>
      <c r="D127" s="46">
        <v>46.037671485334215</v>
      </c>
      <c r="E127" s="46">
        <v>56.935194651395918</v>
      </c>
      <c r="F127" s="46">
        <v>65.328133059755785</v>
      </c>
      <c r="G127" s="46">
        <v>75.138689785615696</v>
      </c>
      <c r="H127" s="46">
        <v>86.295989261672631</v>
      </c>
      <c r="I127" s="46">
        <v>96.246464386425117</v>
      </c>
      <c r="J127" s="46">
        <v>105.56952092393422</v>
      </c>
      <c r="K127" s="46">
        <v>113.83791203206454</v>
      </c>
      <c r="L127" s="46">
        <v>122.33313094022066</v>
      </c>
      <c r="M127" s="46">
        <v>131.32156455258917</v>
      </c>
      <c r="N127" s="46">
        <v>138.93972199532226</v>
      </c>
      <c r="O127" s="46">
        <v>143.89484205058102</v>
      </c>
      <c r="P127" s="46">
        <v>144.18217303130496</v>
      </c>
      <c r="R127" s="57">
        <f>(J127/D127)^(1/6)-1</f>
        <v>0.14834098901817439</v>
      </c>
      <c r="S127" s="57">
        <f>(P127/J127)^(1/6)-1</f>
        <v>5.3324459904138921E-2</v>
      </c>
    </row>
    <row r="128" spans="1:19" x14ac:dyDescent="0.2">
      <c r="A128" s="62" t="s">
        <v>4</v>
      </c>
      <c r="B128" s="63"/>
      <c r="C128" s="63">
        <f t="shared" ref="C128:P128" si="81">C127/B127-1</f>
        <v>0.21478799708474794</v>
      </c>
      <c r="D128" s="63">
        <f t="shared" si="81"/>
        <v>0.23081968191155178</v>
      </c>
      <c r="E128" s="63">
        <f t="shared" si="81"/>
        <v>0.23670882593471787</v>
      </c>
      <c r="F128" s="63">
        <f t="shared" si="81"/>
        <v>0.1474121316305026</v>
      </c>
      <c r="G128" s="63">
        <f t="shared" si="81"/>
        <v>0.15017353575505021</v>
      </c>
      <c r="H128" s="63">
        <f t="shared" si="81"/>
        <v>0.14848940682743783</v>
      </c>
      <c r="I128" s="63">
        <f t="shared" si="81"/>
        <v>0.11530634517184768</v>
      </c>
      <c r="J128" s="63">
        <f t="shared" si="81"/>
        <v>9.6866483324285602E-2</v>
      </c>
      <c r="K128" s="63">
        <f t="shared" si="81"/>
        <v>7.8321764044831932E-2</v>
      </c>
      <c r="L128" s="63">
        <f t="shared" si="81"/>
        <v>7.4625568551918597E-2</v>
      </c>
      <c r="M128" s="63">
        <f t="shared" si="81"/>
        <v>7.3475055721093252E-2</v>
      </c>
      <c r="N128" s="63">
        <f t="shared" si="81"/>
        <v>5.8011473353124066E-2</v>
      </c>
      <c r="O128" s="63">
        <f t="shared" si="81"/>
        <v>3.5663811501116971E-2</v>
      </c>
      <c r="P128" s="63">
        <f t="shared" si="81"/>
        <v>1.9968122319695691E-3</v>
      </c>
      <c r="R128" s="109"/>
      <c r="S128" s="109"/>
    </row>
    <row r="129" spans="1:19" x14ac:dyDescent="0.2">
      <c r="A129" s="77" t="s">
        <v>23</v>
      </c>
      <c r="B129" s="56">
        <f t="shared" ref="B129:P129" si="82">B125+B127</f>
        <v>59.315624472000003</v>
      </c>
      <c r="C129" s="56">
        <f t="shared" si="82"/>
        <v>74.58806074200001</v>
      </c>
      <c r="D129" s="56">
        <f t="shared" si="82"/>
        <v>95.275259118000065</v>
      </c>
      <c r="E129" s="56">
        <f t="shared" si="82"/>
        <v>122.63401690800009</v>
      </c>
      <c r="F129" s="56">
        <f t="shared" si="82"/>
        <v>146.92451338500007</v>
      </c>
      <c r="G129" s="56">
        <f t="shared" si="82"/>
        <v>177.09434956200016</v>
      </c>
      <c r="H129" s="56">
        <f t="shared" si="82"/>
        <v>214.03345743000017</v>
      </c>
      <c r="I129" s="56">
        <f t="shared" si="82"/>
        <v>252.40392992100033</v>
      </c>
      <c r="J129" s="56">
        <f t="shared" si="82"/>
        <v>294.35436030000028</v>
      </c>
      <c r="K129" s="56">
        <f t="shared" si="82"/>
        <v>339.66718368160377</v>
      </c>
      <c r="L129" s="56">
        <f t="shared" si="82"/>
        <v>393.63010882839785</v>
      </c>
      <c r="M129" s="56">
        <f t="shared" si="82"/>
        <v>459.92914817983456</v>
      </c>
      <c r="N129" s="56">
        <f t="shared" si="82"/>
        <v>535.73561617442522</v>
      </c>
      <c r="O129" s="56">
        <f t="shared" si="82"/>
        <v>619.69529459854493</v>
      </c>
      <c r="P129" s="56">
        <f t="shared" si="82"/>
        <v>706.54421549202175</v>
      </c>
      <c r="R129" s="57">
        <f>(J129/D129)^(1/6)-1</f>
        <v>0.20683636795354055</v>
      </c>
      <c r="S129" s="57">
        <f>(P129/J129)^(1/6)-1</f>
        <v>0.15711932101909554</v>
      </c>
    </row>
    <row r="130" spans="1:19" x14ac:dyDescent="0.2">
      <c r="A130" s="74" t="s">
        <v>4</v>
      </c>
      <c r="B130" s="66"/>
      <c r="C130" s="59">
        <f t="shared" ref="C130:P130" si="83">C129/B129-1</f>
        <v>0.25747745903289565</v>
      </c>
      <c r="D130" s="59">
        <f t="shared" si="83"/>
        <v>0.27735267776376493</v>
      </c>
      <c r="E130" s="59">
        <f t="shared" si="83"/>
        <v>0.28715490299654522</v>
      </c>
      <c r="F130" s="59">
        <f t="shared" si="83"/>
        <v>0.19807307213318048</v>
      </c>
      <c r="G130" s="59">
        <f t="shared" si="83"/>
        <v>0.20534242708664441</v>
      </c>
      <c r="H130" s="59">
        <f t="shared" si="83"/>
        <v>0.20858433913538121</v>
      </c>
      <c r="I130" s="59">
        <f t="shared" si="83"/>
        <v>0.17927324518200272</v>
      </c>
      <c r="J130" s="59">
        <f t="shared" si="83"/>
        <v>0.16620355472329607</v>
      </c>
      <c r="K130" s="59">
        <f t="shared" si="83"/>
        <v>0.15393970497131937</v>
      </c>
      <c r="L130" s="59">
        <f t="shared" si="83"/>
        <v>0.15886999904405741</v>
      </c>
      <c r="M130" s="59">
        <f t="shared" si="83"/>
        <v>0.16842979707210248</v>
      </c>
      <c r="N130" s="59">
        <f t="shared" si="83"/>
        <v>0.16482205638541081</v>
      </c>
      <c r="O130" s="59">
        <f t="shared" si="83"/>
        <v>0.156718493020229</v>
      </c>
      <c r="P130" s="59">
        <f t="shared" si="83"/>
        <v>0.14014778174125042</v>
      </c>
      <c r="R130" s="109"/>
      <c r="S130" s="109"/>
    </row>
    <row r="131" spans="1:19" x14ac:dyDescent="0.2">
      <c r="R131" s="109"/>
      <c r="S131" s="109"/>
    </row>
    <row r="132" spans="1:19" x14ac:dyDescent="0.2">
      <c r="A132" s="67" t="s">
        <v>34</v>
      </c>
      <c r="R132" s="109"/>
      <c r="S132" s="109"/>
    </row>
    <row r="133" spans="1:19" x14ac:dyDescent="0.2">
      <c r="A133" s="79" t="s">
        <v>35</v>
      </c>
      <c r="B133" s="45">
        <v>78255.7</v>
      </c>
      <c r="C133" s="45">
        <v>83698.7</v>
      </c>
      <c r="D133" s="45">
        <v>89112.2</v>
      </c>
      <c r="E133" s="45">
        <v>95006.3</v>
      </c>
      <c r="F133" s="45">
        <v>102097</v>
      </c>
      <c r="G133" s="45">
        <v>115569.7</v>
      </c>
      <c r="H133" s="45">
        <v>128169.5</v>
      </c>
      <c r="I133" s="45">
        <v>157306.79999999999</v>
      </c>
      <c r="J133" s="45">
        <v>175501.7</v>
      </c>
      <c r="K133" s="45">
        <v>195510</v>
      </c>
      <c r="L133" s="45">
        <v>216186.6</v>
      </c>
      <c r="M133" s="45">
        <v>246654.4</v>
      </c>
      <c r="N133" s="45">
        <v>274360.2</v>
      </c>
      <c r="O133" s="45">
        <v>291913</v>
      </c>
      <c r="P133" s="45">
        <v>308660.5</v>
      </c>
      <c r="R133" s="57">
        <f>(J133/D133)^(1/6)-1</f>
        <v>0.11958574527015919</v>
      </c>
      <c r="S133" s="57">
        <f>(P133/J133)^(1/6)-1</f>
        <v>9.866836916796573E-2</v>
      </c>
    </row>
    <row r="134" spans="1:19" x14ac:dyDescent="0.2">
      <c r="A134" s="80" t="s">
        <v>36</v>
      </c>
      <c r="B134" s="75"/>
      <c r="C134" s="63">
        <f t="shared" ref="C134:P134" si="84">C133/B133-1</f>
        <v>6.9554038875123458E-2</v>
      </c>
      <c r="D134" s="63">
        <f t="shared" si="84"/>
        <v>6.4678423918173245E-2</v>
      </c>
      <c r="E134" s="63">
        <f t="shared" si="84"/>
        <v>6.614245860836121E-2</v>
      </c>
      <c r="F134" s="63">
        <f t="shared" si="84"/>
        <v>7.4633997955924958E-2</v>
      </c>
      <c r="G134" s="63">
        <f t="shared" si="84"/>
        <v>0.13195980293250531</v>
      </c>
      <c r="H134" s="63">
        <f t="shared" si="84"/>
        <v>0.1090233858874774</v>
      </c>
      <c r="I134" s="63">
        <f t="shared" si="84"/>
        <v>0.22733411615087817</v>
      </c>
      <c r="J134" s="63">
        <f t="shared" si="84"/>
        <v>0.11566505707318453</v>
      </c>
      <c r="K134" s="63">
        <f t="shared" si="84"/>
        <v>0.11400630307284776</v>
      </c>
      <c r="L134" s="63">
        <f t="shared" si="84"/>
        <v>0.10575725026852845</v>
      </c>
      <c r="M134" s="63">
        <f t="shared" si="84"/>
        <v>0.14093287928113951</v>
      </c>
      <c r="N134" s="63">
        <f t="shared" si="84"/>
        <v>0.11232639677216394</v>
      </c>
      <c r="O134" s="63">
        <f t="shared" si="84"/>
        <v>6.3977209522372291E-2</v>
      </c>
      <c r="P134" s="63">
        <f t="shared" si="84"/>
        <v>5.7371545631746512E-2</v>
      </c>
      <c r="R134" s="109"/>
      <c r="S134" s="109"/>
    </row>
    <row r="135" spans="1:19" x14ac:dyDescent="0.2">
      <c r="A135" s="79" t="s">
        <v>37</v>
      </c>
      <c r="B135" s="45">
        <v>40253.9</v>
      </c>
      <c r="C135" s="45">
        <v>42385.4</v>
      </c>
      <c r="D135" s="45">
        <v>44505.3</v>
      </c>
      <c r="E135" s="45">
        <v>46813.5</v>
      </c>
      <c r="F135" s="45">
        <v>49590.2</v>
      </c>
      <c r="G135" s="45">
        <v>54866.2</v>
      </c>
      <c r="H135" s="45">
        <v>59800.4</v>
      </c>
      <c r="I135" s="45">
        <v>71817.7</v>
      </c>
      <c r="J135" s="45">
        <v>78335.899999999994</v>
      </c>
      <c r="K135" s="45">
        <v>86360.2</v>
      </c>
      <c r="L135" s="45">
        <v>94564</v>
      </c>
      <c r="M135" s="45">
        <v>106843.4</v>
      </c>
      <c r="N135" s="45">
        <v>117679.5</v>
      </c>
      <c r="O135" s="45">
        <v>124042.3</v>
      </c>
      <c r="P135" s="45">
        <v>130075.1</v>
      </c>
      <c r="R135" s="57">
        <f>(J135/D135)^(1/6)-1</f>
        <v>9.8815686628202615E-2</v>
      </c>
      <c r="S135" s="57">
        <f>(P135/J135)^(1/6)-1</f>
        <v>8.819206608033503E-2</v>
      </c>
    </row>
    <row r="136" spans="1:19" x14ac:dyDescent="0.2">
      <c r="A136" s="80" t="s">
        <v>36</v>
      </c>
      <c r="B136" s="75"/>
      <c r="C136" s="63">
        <f t="shared" ref="C136:P136" si="85">C135/B135-1</f>
        <v>5.2951391045339635E-2</v>
      </c>
      <c r="D136" s="63">
        <f t="shared" si="85"/>
        <v>5.0014863608695448E-2</v>
      </c>
      <c r="E136" s="63">
        <f t="shared" si="85"/>
        <v>5.1863485921901376E-2</v>
      </c>
      <c r="F136" s="63">
        <f t="shared" si="85"/>
        <v>5.931408674848071E-2</v>
      </c>
      <c r="G136" s="63">
        <f t="shared" si="85"/>
        <v>0.10639198873971067</v>
      </c>
      <c r="H136" s="63">
        <f t="shared" si="85"/>
        <v>8.9931506100294989E-2</v>
      </c>
      <c r="I136" s="63">
        <f t="shared" si="85"/>
        <v>0.20095684978695783</v>
      </c>
      <c r="J136" s="63">
        <f t="shared" si="85"/>
        <v>9.0760355734032183E-2</v>
      </c>
      <c r="K136" s="63">
        <f t="shared" si="85"/>
        <v>0.10243451597543407</v>
      </c>
      <c r="L136" s="63">
        <f t="shared" si="85"/>
        <v>9.4995148228003146E-2</v>
      </c>
      <c r="M136" s="63">
        <f t="shared" si="85"/>
        <v>0.12985279810498707</v>
      </c>
      <c r="N136" s="63">
        <f t="shared" si="85"/>
        <v>0.10142039658041591</v>
      </c>
      <c r="O136" s="63">
        <f t="shared" si="85"/>
        <v>5.4068890503443656E-2</v>
      </c>
      <c r="P136" s="63">
        <f t="shared" si="85"/>
        <v>4.8635022085208091E-2</v>
      </c>
      <c r="R136" s="109"/>
      <c r="S136" s="109"/>
    </row>
    <row r="137" spans="1:19" x14ac:dyDescent="0.2">
      <c r="A137" s="79" t="s">
        <v>38</v>
      </c>
      <c r="B137" s="43">
        <v>347.12090421825258</v>
      </c>
      <c r="C137" s="43">
        <v>407.70178899002656</v>
      </c>
      <c r="D137" s="43">
        <v>497.07773888422719</v>
      </c>
      <c r="E137" s="43">
        <v>620.84804121426487</v>
      </c>
      <c r="F137" s="43">
        <v>748.35322044733311</v>
      </c>
      <c r="G137" s="43">
        <v>904.95786064317497</v>
      </c>
      <c r="H137" s="43">
        <v>1080.7618700089895</v>
      </c>
      <c r="I137" s="43">
        <v>1302.8404721140801</v>
      </c>
      <c r="J137" s="43">
        <v>1517.1691575956895</v>
      </c>
      <c r="K137" s="43">
        <v>1758.658599403248</v>
      </c>
      <c r="L137" s="43">
        <v>2083.2535339022647</v>
      </c>
      <c r="M137" s="43">
        <v>2499.3241943274961</v>
      </c>
      <c r="N137" s="43">
        <v>2903.6419145861155</v>
      </c>
      <c r="O137" s="43">
        <v>3301.8097566145425</v>
      </c>
      <c r="P137" s="43">
        <v>3707.7658473300685</v>
      </c>
      <c r="R137" s="57">
        <f>(J137/D137)^(1/6)-1</f>
        <v>0.20439316409026098</v>
      </c>
      <c r="S137" s="57">
        <f>(P137/J137)^(1/6)-1</f>
        <v>0.16059238242128138</v>
      </c>
    </row>
    <row r="138" spans="1:19" x14ac:dyDescent="0.2">
      <c r="A138" s="80" t="s">
        <v>36</v>
      </c>
      <c r="B138" s="75"/>
      <c r="C138" s="63">
        <f t="shared" ref="C138:P138" si="86">C137/B137-1</f>
        <v>0.1745238734849679</v>
      </c>
      <c r="D138" s="63">
        <f t="shared" si="86"/>
        <v>0.21921892988403591</v>
      </c>
      <c r="E138" s="63">
        <f t="shared" si="86"/>
        <v>0.24899586653761752</v>
      </c>
      <c r="F138" s="63">
        <f t="shared" si="86"/>
        <v>0.20537260451638306</v>
      </c>
      <c r="G138" s="63">
        <f t="shared" si="86"/>
        <v>0.20926567283592412</v>
      </c>
      <c r="H138" s="63">
        <f t="shared" si="86"/>
        <v>0.19426761953409244</v>
      </c>
      <c r="I138" s="63">
        <f t="shared" si="86"/>
        <v>0.20548338007450551</v>
      </c>
      <c r="J138" s="63">
        <f t="shared" si="86"/>
        <v>0.16450877146441778</v>
      </c>
      <c r="K138" s="63">
        <f t="shared" si="86"/>
        <v>0.15917107238737649</v>
      </c>
      <c r="L138" s="63">
        <f t="shared" si="86"/>
        <v>0.18456961152617057</v>
      </c>
      <c r="M138" s="63">
        <f t="shared" si="86"/>
        <v>0.19972156708447519</v>
      </c>
      <c r="N138" s="63">
        <f t="shared" si="86"/>
        <v>0.16177081835812457</v>
      </c>
      <c r="O138" s="63">
        <f t="shared" si="86"/>
        <v>0.1371270472534083</v>
      </c>
      <c r="P138" s="63">
        <f t="shared" si="86"/>
        <v>0.12294957027801834</v>
      </c>
      <c r="R138" s="109"/>
      <c r="S138" s="109"/>
    </row>
    <row r="139" spans="1:19" x14ac:dyDescent="0.2">
      <c r="A139" s="79" t="s">
        <v>60</v>
      </c>
      <c r="B139" s="46">
        <v>110.77207317161256</v>
      </c>
      <c r="C139" s="46">
        <v>119.49064531892657</v>
      </c>
      <c r="D139" s="46">
        <v>129.25519538412721</v>
      </c>
      <c r="E139" s="46">
        <v>140.93667644766484</v>
      </c>
      <c r="F139" s="46">
        <v>154.61526541503287</v>
      </c>
      <c r="G139" s="46">
        <v>178.5344673514746</v>
      </c>
      <c r="H139" s="46">
        <v>199.30035618778939</v>
      </c>
      <c r="I139" s="46">
        <v>249.28014654827956</v>
      </c>
      <c r="J139" s="46">
        <v>273.57887948498933</v>
      </c>
      <c r="K139" s="46">
        <v>307.79454765550213</v>
      </c>
      <c r="L139" s="46">
        <v>342.87231246585679</v>
      </c>
      <c r="M139" s="46">
        <v>394.61031589954371</v>
      </c>
      <c r="N139" s="46">
        <v>442.3190722267579</v>
      </c>
      <c r="O139" s="46">
        <v>474.29824449242568</v>
      </c>
      <c r="P139" s="46">
        <v>505.22658149891919</v>
      </c>
      <c r="R139" s="57">
        <f>(J139/D139)^(1/6)-1</f>
        <v>0.13311092360903531</v>
      </c>
      <c r="S139" s="57">
        <f>(P139/J139)^(1/6)-1</f>
        <v>0.10764503281056781</v>
      </c>
    </row>
    <row r="140" spans="1:19" x14ac:dyDescent="0.2">
      <c r="A140" s="80" t="s">
        <v>36</v>
      </c>
      <c r="B140" s="75"/>
      <c r="C140" s="63">
        <f t="shared" ref="C140:P140" si="87">C139/B139-1</f>
        <v>7.8707312210423597E-2</v>
      </c>
      <c r="D140" s="63">
        <f t="shared" si="87"/>
        <v>8.1718113071852283E-2</v>
      </c>
      <c r="E140" s="63">
        <f t="shared" si="87"/>
        <v>9.0375330978549995E-2</v>
      </c>
      <c r="F140" s="63">
        <f t="shared" si="87"/>
        <v>9.7054856919713162E-2</v>
      </c>
      <c r="G140" s="63">
        <f t="shared" si="87"/>
        <v>0.15470142532327302</v>
      </c>
      <c r="H140" s="63">
        <f t="shared" si="87"/>
        <v>0.11631305228829403</v>
      </c>
      <c r="I140" s="63">
        <f t="shared" si="87"/>
        <v>0.25077622196217786</v>
      </c>
      <c r="J140" s="63">
        <f t="shared" si="87"/>
        <v>9.7475604347832423E-2</v>
      </c>
      <c r="K140" s="63">
        <f t="shared" si="87"/>
        <v>0.12506692122916641</v>
      </c>
      <c r="L140" s="63">
        <f t="shared" si="87"/>
        <v>0.11396486740114486</v>
      </c>
      <c r="M140" s="63">
        <f t="shared" si="87"/>
        <v>0.15089583367522263</v>
      </c>
      <c r="N140" s="63">
        <f t="shared" si="87"/>
        <v>0.12090093544173697</v>
      </c>
      <c r="O140" s="63">
        <f t="shared" si="87"/>
        <v>7.2298877153715413E-2</v>
      </c>
      <c r="P140" s="63">
        <f t="shared" si="87"/>
        <v>6.5208626356169086E-2</v>
      </c>
      <c r="R140" s="109"/>
      <c r="S140" s="109"/>
    </row>
    <row r="141" spans="1:19" x14ac:dyDescent="0.2">
      <c r="A141" s="79" t="s">
        <v>39</v>
      </c>
      <c r="B141" s="46">
        <v>69.099999999999994</v>
      </c>
      <c r="C141" s="46">
        <v>72.900000000000006</v>
      </c>
      <c r="D141" s="46">
        <v>76.7</v>
      </c>
      <c r="E141" s="46">
        <v>80.900000000000006</v>
      </c>
      <c r="F141" s="46">
        <v>85.9</v>
      </c>
      <c r="G141" s="46">
        <v>95.4</v>
      </c>
      <c r="H141" s="46">
        <v>104.3</v>
      </c>
      <c r="I141" s="46">
        <v>125.9</v>
      </c>
      <c r="J141" s="46">
        <v>137.6</v>
      </c>
      <c r="K141" s="46">
        <v>168.9</v>
      </c>
      <c r="L141" s="46">
        <v>200.8</v>
      </c>
      <c r="M141" s="46">
        <v>232.6</v>
      </c>
      <c r="N141" s="46">
        <v>266.2</v>
      </c>
      <c r="O141" s="46">
        <v>281.39999999999998</v>
      </c>
      <c r="P141" s="46">
        <v>295.89999999999998</v>
      </c>
      <c r="R141" s="57">
        <f>(J141/D141)^(1/6)-1</f>
        <v>0.10231024798435828</v>
      </c>
      <c r="S141" s="57">
        <f>(P141/J141)^(1/6)-1</f>
        <v>0.13611184699911671</v>
      </c>
    </row>
    <row r="142" spans="1:19" x14ac:dyDescent="0.2">
      <c r="A142" s="80" t="s">
        <v>36</v>
      </c>
      <c r="B142" s="75"/>
      <c r="C142" s="63">
        <f t="shared" ref="C142:P142" si="88">C141/B141-1</f>
        <v>5.4992764109985659E-2</v>
      </c>
      <c r="D142" s="63">
        <f t="shared" si="88"/>
        <v>5.2126200274348333E-2</v>
      </c>
      <c r="E142" s="63">
        <f t="shared" si="88"/>
        <v>5.4758800521512496E-2</v>
      </c>
      <c r="F142" s="63">
        <f t="shared" si="88"/>
        <v>6.180469715698389E-2</v>
      </c>
      <c r="G142" s="63">
        <f t="shared" si="88"/>
        <v>0.11059371362048886</v>
      </c>
      <c r="H142" s="63">
        <f t="shared" si="88"/>
        <v>9.3291404612159123E-2</v>
      </c>
      <c r="I142" s="63">
        <f t="shared" si="88"/>
        <v>0.2070949185043145</v>
      </c>
      <c r="J142" s="63">
        <f t="shared" si="88"/>
        <v>9.2930897537728319E-2</v>
      </c>
      <c r="K142" s="63">
        <f t="shared" si="88"/>
        <v>0.22747093023255816</v>
      </c>
      <c r="L142" s="63">
        <f t="shared" si="88"/>
        <v>0.18886915334517473</v>
      </c>
      <c r="M142" s="63">
        <f t="shared" si="88"/>
        <v>0.15836653386454169</v>
      </c>
      <c r="N142" s="63">
        <f t="shared" si="88"/>
        <v>0.14445399828030947</v>
      </c>
      <c r="O142" s="63">
        <f t="shared" si="88"/>
        <v>5.709992486851978E-2</v>
      </c>
      <c r="P142" s="63">
        <f t="shared" si="88"/>
        <v>5.1528073916133676E-2</v>
      </c>
      <c r="R142" s="109"/>
      <c r="S142" s="109"/>
    </row>
    <row r="143" spans="1:19" x14ac:dyDescent="0.2">
      <c r="C143" s="114"/>
      <c r="D143" s="114"/>
      <c r="E143" s="114"/>
      <c r="F143" s="114"/>
      <c r="G143" s="114"/>
      <c r="H143" s="114"/>
      <c r="I143" s="114"/>
      <c r="J143" s="114"/>
      <c r="K143" s="114"/>
      <c r="L143" s="114"/>
      <c r="M143" s="114"/>
      <c r="N143" s="114"/>
      <c r="O143" s="114"/>
      <c r="P143" s="114"/>
      <c r="R143" s="109"/>
      <c r="S143" s="109"/>
    </row>
    <row r="144" spans="1:19" x14ac:dyDescent="0.2">
      <c r="A144" s="67" t="s">
        <v>176</v>
      </c>
      <c r="B144" s="113"/>
      <c r="C144" s="114"/>
      <c r="D144" s="114"/>
      <c r="E144" s="114"/>
      <c r="F144" s="114"/>
      <c r="G144" s="114"/>
      <c r="H144" s="114"/>
      <c r="I144" s="114"/>
      <c r="J144" s="114"/>
      <c r="K144" s="114"/>
      <c r="L144" s="114"/>
      <c r="M144" s="114"/>
      <c r="N144" s="114"/>
      <c r="O144" s="114"/>
      <c r="P144" s="114"/>
      <c r="R144" s="109"/>
      <c r="S144" s="109"/>
    </row>
    <row r="145" spans="1:19" x14ac:dyDescent="0.2">
      <c r="A145" s="76" t="s">
        <v>178</v>
      </c>
      <c r="B145" s="56">
        <f>B147+B153+B159+B165+B171</f>
        <v>347.12090421825258</v>
      </c>
      <c r="C145" s="56">
        <f t="shared" ref="C145:P145" si="89">C147+C153+C159+C165+C171</f>
        <v>407.70178899002656</v>
      </c>
      <c r="D145" s="56">
        <f t="shared" si="89"/>
        <v>497.07773888422719</v>
      </c>
      <c r="E145" s="56">
        <f t="shared" si="89"/>
        <v>620.84804121426487</v>
      </c>
      <c r="F145" s="56">
        <f t="shared" si="89"/>
        <v>748.35322044733311</v>
      </c>
      <c r="G145" s="56">
        <f t="shared" si="89"/>
        <v>904.95786064317485</v>
      </c>
      <c r="H145" s="56">
        <f t="shared" si="89"/>
        <v>1080.7618700089895</v>
      </c>
      <c r="I145" s="56">
        <f t="shared" si="89"/>
        <v>1302.8404721140801</v>
      </c>
      <c r="J145" s="56">
        <f t="shared" si="89"/>
        <v>1517.1691575956895</v>
      </c>
      <c r="K145" s="56">
        <f t="shared" si="89"/>
        <v>1758.658599403248</v>
      </c>
      <c r="L145" s="56">
        <f t="shared" si="89"/>
        <v>2083.2535339022647</v>
      </c>
      <c r="M145" s="56">
        <f t="shared" si="89"/>
        <v>2499.3241943274961</v>
      </c>
      <c r="N145" s="56">
        <f t="shared" si="89"/>
        <v>2903.6419145861155</v>
      </c>
      <c r="O145" s="56">
        <f t="shared" si="89"/>
        <v>3301.8097566145425</v>
      </c>
      <c r="P145" s="56">
        <f t="shared" si="89"/>
        <v>3707.7658473300685</v>
      </c>
      <c r="R145" s="57">
        <f>(J145/D145)^(1/6)-1</f>
        <v>0.20439316409026098</v>
      </c>
      <c r="S145" s="57">
        <f>(P145/J145)^(1/6)-1</f>
        <v>0.16059238242128138</v>
      </c>
    </row>
    <row r="146" spans="1:19" x14ac:dyDescent="0.2">
      <c r="A146" s="58" t="s">
        <v>4</v>
      </c>
      <c r="B146" s="66"/>
      <c r="C146" s="59">
        <f t="shared" ref="C146:P146" si="90">C145/B145-1</f>
        <v>0.1745238734849679</v>
      </c>
      <c r="D146" s="59">
        <f t="shared" si="90"/>
        <v>0.21921892988403591</v>
      </c>
      <c r="E146" s="59">
        <f t="shared" si="90"/>
        <v>0.24899586653761752</v>
      </c>
      <c r="F146" s="59">
        <f t="shared" si="90"/>
        <v>0.20537260451638306</v>
      </c>
      <c r="G146" s="59">
        <f t="shared" si="90"/>
        <v>0.20926567283592412</v>
      </c>
      <c r="H146" s="59">
        <f t="shared" si="90"/>
        <v>0.19426761953409244</v>
      </c>
      <c r="I146" s="59">
        <f t="shared" si="90"/>
        <v>0.20548338007450551</v>
      </c>
      <c r="J146" s="59">
        <f t="shared" si="90"/>
        <v>0.16450877146441778</v>
      </c>
      <c r="K146" s="59">
        <f t="shared" si="90"/>
        <v>0.15917107238737649</v>
      </c>
      <c r="L146" s="59">
        <f t="shared" si="90"/>
        <v>0.18456961152617057</v>
      </c>
      <c r="M146" s="59">
        <f t="shared" si="90"/>
        <v>0.19972156708447519</v>
      </c>
      <c r="N146" s="59">
        <f t="shared" si="90"/>
        <v>0.16177081835812457</v>
      </c>
      <c r="O146" s="59">
        <f t="shared" si="90"/>
        <v>0.1371270472534083</v>
      </c>
      <c r="P146" s="59">
        <f t="shared" si="90"/>
        <v>0.12294957027801834</v>
      </c>
      <c r="R146" s="109"/>
      <c r="S146" s="109"/>
    </row>
    <row r="147" spans="1:19" x14ac:dyDescent="0.2">
      <c r="A147" s="68" t="s">
        <v>26</v>
      </c>
      <c r="B147" s="46">
        <f t="shared" ref="B147:P147" si="91">B149+B151</f>
        <v>115.2196066476</v>
      </c>
      <c r="C147" s="46">
        <f t="shared" si="91"/>
        <v>142.18616443459996</v>
      </c>
      <c r="D147" s="46">
        <f t="shared" si="91"/>
        <v>179.31434972229994</v>
      </c>
      <c r="E147" s="46">
        <f t="shared" si="91"/>
        <v>233.34933627589999</v>
      </c>
      <c r="F147" s="46">
        <f t="shared" si="91"/>
        <v>290.67710661600017</v>
      </c>
      <c r="G147" s="46">
        <f t="shared" si="91"/>
        <v>354.38306681960012</v>
      </c>
      <c r="H147" s="46">
        <f t="shared" si="91"/>
        <v>427.69339924999997</v>
      </c>
      <c r="I147" s="46">
        <f t="shared" si="91"/>
        <v>509.02867688400005</v>
      </c>
      <c r="J147" s="46">
        <f t="shared" si="91"/>
        <v>598.508376752</v>
      </c>
      <c r="K147" s="46">
        <f t="shared" si="91"/>
        <v>694.61431375534198</v>
      </c>
      <c r="L147" s="46">
        <f t="shared" si="91"/>
        <v>839.38527932596094</v>
      </c>
      <c r="M147" s="46">
        <f t="shared" si="91"/>
        <v>1024.2173057286986</v>
      </c>
      <c r="N147" s="46">
        <f t="shared" si="91"/>
        <v>1198.0915943177904</v>
      </c>
      <c r="O147" s="46">
        <f t="shared" si="91"/>
        <v>1372.4813666684931</v>
      </c>
      <c r="P147" s="46">
        <f t="shared" si="91"/>
        <v>1549.7919693698148</v>
      </c>
      <c r="R147" s="57">
        <f>(J147/D147)^(1/6)-1</f>
        <v>0.22248216337005688</v>
      </c>
      <c r="S147" s="57">
        <f>(P147/J147)^(1/6)-1</f>
        <v>0.17183697042024892</v>
      </c>
    </row>
    <row r="148" spans="1:19" x14ac:dyDescent="0.2">
      <c r="A148" s="62" t="s">
        <v>4</v>
      </c>
      <c r="B148" s="75"/>
      <c r="C148" s="63">
        <f t="shared" ref="C148:P148" si="92">C147/B147-1</f>
        <v>0.23404486937260049</v>
      </c>
      <c r="D148" s="63">
        <f t="shared" si="92"/>
        <v>0.2611237558544417</v>
      </c>
      <c r="E148" s="63">
        <f t="shared" si="92"/>
        <v>0.30134223299631513</v>
      </c>
      <c r="F148" s="63">
        <f t="shared" si="92"/>
        <v>0.24567359502715203</v>
      </c>
      <c r="G148" s="63">
        <f t="shared" si="92"/>
        <v>0.21916400966436922</v>
      </c>
      <c r="H148" s="63">
        <f t="shared" si="92"/>
        <v>0.2068674812493756</v>
      </c>
      <c r="I148" s="63">
        <f t="shared" si="92"/>
        <v>0.19017192637676672</v>
      </c>
      <c r="J148" s="63">
        <f t="shared" si="92"/>
        <v>0.17578518447280134</v>
      </c>
      <c r="K148" s="63">
        <f t="shared" si="92"/>
        <v>0.16057575923146139</v>
      </c>
      <c r="L148" s="63">
        <f t="shared" si="92"/>
        <v>0.20841920862231245</v>
      </c>
      <c r="M148" s="63">
        <f t="shared" si="92"/>
        <v>0.22019927077010526</v>
      </c>
      <c r="N148" s="63">
        <f t="shared" si="92"/>
        <v>0.16976308408046825</v>
      </c>
      <c r="O148" s="63">
        <f t="shared" si="92"/>
        <v>0.14555629400772374</v>
      </c>
      <c r="P148" s="63">
        <f t="shared" si="92"/>
        <v>0.12918980687637194</v>
      </c>
      <c r="R148" s="109"/>
      <c r="S148" s="109"/>
    </row>
    <row r="149" spans="1:19" x14ac:dyDescent="0.2">
      <c r="A149" s="82" t="s">
        <v>30</v>
      </c>
      <c r="B149" s="46">
        <f t="shared" ref="B149:P149" si="93">B79</f>
        <v>76.327872507122535</v>
      </c>
      <c r="C149" s="46">
        <f t="shared" si="93"/>
        <v>92.142330120365997</v>
      </c>
      <c r="D149" s="46">
        <f t="shared" si="93"/>
        <v>114.45569614497443</v>
      </c>
      <c r="E149" s="46">
        <f t="shared" si="93"/>
        <v>144.97403927367088</v>
      </c>
      <c r="F149" s="46">
        <f t="shared" si="93"/>
        <v>176.79820717505839</v>
      </c>
      <c r="G149" s="46">
        <f t="shared" si="93"/>
        <v>207.68363770441206</v>
      </c>
      <c r="H149" s="46">
        <f t="shared" si="93"/>
        <v>246.04547189974187</v>
      </c>
      <c r="I149" s="46">
        <f t="shared" si="93"/>
        <v>289.34951222441504</v>
      </c>
      <c r="J149" s="46">
        <f t="shared" si="93"/>
        <v>334.05053641752664</v>
      </c>
      <c r="K149" s="46">
        <f t="shared" si="93"/>
        <v>380.258738587957</v>
      </c>
      <c r="L149" s="46">
        <f t="shared" si="93"/>
        <v>451.06272089144073</v>
      </c>
      <c r="M149" s="46">
        <f t="shared" si="93"/>
        <v>540.72577658828141</v>
      </c>
      <c r="N149" s="46">
        <f t="shared" si="93"/>
        <v>621.97974044923603</v>
      </c>
      <c r="O149" s="46">
        <f t="shared" si="93"/>
        <v>701.30699884847638</v>
      </c>
      <c r="P149" s="46">
        <f t="shared" si="93"/>
        <v>780.23746603089887</v>
      </c>
      <c r="R149" s="57">
        <f>(J149/D149)^(1/6)-1</f>
        <v>0.19544369841409082</v>
      </c>
      <c r="S149" s="57">
        <f>(P149/J149)^(1/6)-1</f>
        <v>0.15186726943908035</v>
      </c>
    </row>
    <row r="150" spans="1:19" x14ac:dyDescent="0.2">
      <c r="A150" s="83" t="s">
        <v>4</v>
      </c>
      <c r="B150" s="75"/>
      <c r="C150" s="63">
        <f t="shared" ref="C150:P150" si="94">C149/B149-1</f>
        <v>0.20719112289901354</v>
      </c>
      <c r="D150" s="63">
        <f t="shared" si="94"/>
        <v>0.24216194658264412</v>
      </c>
      <c r="E150" s="63">
        <f t="shared" si="94"/>
        <v>0.26663891930761263</v>
      </c>
      <c r="F150" s="63">
        <f t="shared" si="94"/>
        <v>0.21951632210034711</v>
      </c>
      <c r="G150" s="63">
        <f t="shared" si="94"/>
        <v>0.17469312060824338</v>
      </c>
      <c r="H150" s="63">
        <f t="shared" si="94"/>
        <v>0.18471283833119623</v>
      </c>
      <c r="I150" s="63">
        <f t="shared" si="94"/>
        <v>0.17600015147736037</v>
      </c>
      <c r="J150" s="63">
        <f t="shared" si="94"/>
        <v>0.15448798876302305</v>
      </c>
      <c r="K150" s="63">
        <f t="shared" si="94"/>
        <v>0.13832698089930662</v>
      </c>
      <c r="L150" s="63">
        <f t="shared" si="94"/>
        <v>0.18619948766044248</v>
      </c>
      <c r="M150" s="63">
        <f t="shared" si="94"/>
        <v>0.19878179140949293</v>
      </c>
      <c r="N150" s="63">
        <f t="shared" si="94"/>
        <v>0.15026833818359453</v>
      </c>
      <c r="O150" s="63">
        <f t="shared" si="94"/>
        <v>0.12753993939086317</v>
      </c>
      <c r="P150" s="63">
        <f t="shared" si="94"/>
        <v>0.11254766787159376</v>
      </c>
      <c r="R150" s="109"/>
      <c r="S150" s="109"/>
    </row>
    <row r="151" spans="1:19" x14ac:dyDescent="0.2">
      <c r="A151" s="82" t="s">
        <v>31</v>
      </c>
      <c r="B151" s="46">
        <f t="shared" ref="B151:P151" si="95">B81</f>
        <v>38.891734140477467</v>
      </c>
      <c r="C151" s="46">
        <f t="shared" si="95"/>
        <v>50.043834314233962</v>
      </c>
      <c r="D151" s="46">
        <f t="shared" si="95"/>
        <v>64.858653577325512</v>
      </c>
      <c r="E151" s="46">
        <f t="shared" si="95"/>
        <v>88.375297002229104</v>
      </c>
      <c r="F151" s="46">
        <f t="shared" si="95"/>
        <v>113.87889944094178</v>
      </c>
      <c r="G151" s="46">
        <f t="shared" si="95"/>
        <v>146.69942911518805</v>
      </c>
      <c r="H151" s="46">
        <f t="shared" si="95"/>
        <v>181.6479273502581</v>
      </c>
      <c r="I151" s="46">
        <f t="shared" si="95"/>
        <v>219.67916465958501</v>
      </c>
      <c r="J151" s="46">
        <f t="shared" si="95"/>
        <v>264.45784033447336</v>
      </c>
      <c r="K151" s="46">
        <f t="shared" si="95"/>
        <v>314.35557516738498</v>
      </c>
      <c r="L151" s="46">
        <f t="shared" si="95"/>
        <v>388.3225584345202</v>
      </c>
      <c r="M151" s="46">
        <f t="shared" si="95"/>
        <v>483.49152914041724</v>
      </c>
      <c r="N151" s="46">
        <f t="shared" si="95"/>
        <v>576.11185386855436</v>
      </c>
      <c r="O151" s="46">
        <f t="shared" si="95"/>
        <v>671.17436782001676</v>
      </c>
      <c r="P151" s="46">
        <f t="shared" si="95"/>
        <v>769.55450333891588</v>
      </c>
      <c r="R151" s="57">
        <f>(J151/D151)^(1/6)-1</f>
        <v>0.26395443966052978</v>
      </c>
      <c r="S151" s="57">
        <f>(P151/J151)^(1/6)-1</f>
        <v>0.19485119656204275</v>
      </c>
    </row>
    <row r="152" spans="1:19" x14ac:dyDescent="0.2">
      <c r="A152" s="83" t="s">
        <v>4</v>
      </c>
      <c r="B152" s="75"/>
      <c r="C152" s="63">
        <f t="shared" ref="C152:P152" si="96">C151/B151-1</f>
        <v>0.28674731071324722</v>
      </c>
      <c r="D152" s="63">
        <f t="shared" si="96"/>
        <v>0.29603685381233413</v>
      </c>
      <c r="E152" s="63">
        <f t="shared" si="96"/>
        <v>0.36258297278506824</v>
      </c>
      <c r="F152" s="63">
        <f t="shared" si="96"/>
        <v>0.28858293328360074</v>
      </c>
      <c r="G152" s="63">
        <f t="shared" si="96"/>
        <v>0.28820553970375506</v>
      </c>
      <c r="H152" s="63">
        <f t="shared" si="96"/>
        <v>0.2382319988963868</v>
      </c>
      <c r="I152" s="63">
        <f t="shared" si="96"/>
        <v>0.20936785717347672</v>
      </c>
      <c r="J152" s="63">
        <f t="shared" si="96"/>
        <v>0.2038366985975999</v>
      </c>
      <c r="K152" s="63">
        <f t="shared" si="96"/>
        <v>0.18867935535510472</v>
      </c>
      <c r="L152" s="63">
        <f t="shared" si="96"/>
        <v>0.23529718926648591</v>
      </c>
      <c r="M152" s="63">
        <f t="shared" si="96"/>
        <v>0.24507711086772899</v>
      </c>
      <c r="N152" s="63">
        <f t="shared" si="96"/>
        <v>0.19156555833109135</v>
      </c>
      <c r="O152" s="63">
        <f t="shared" si="96"/>
        <v>0.16500704388066945</v>
      </c>
      <c r="P152" s="63">
        <f t="shared" si="96"/>
        <v>0.14657910110369543</v>
      </c>
      <c r="R152" s="109"/>
      <c r="S152" s="109"/>
    </row>
    <row r="153" spans="1:19" x14ac:dyDescent="0.2">
      <c r="A153" s="68" t="s">
        <v>55</v>
      </c>
      <c r="B153" s="46">
        <f t="shared" ref="B153:P153" si="97">B155+B157</f>
        <v>25.485830966049999</v>
      </c>
      <c r="C153" s="46">
        <f t="shared" si="97"/>
        <v>30.305916156464001</v>
      </c>
      <c r="D153" s="46">
        <f t="shared" si="97"/>
        <v>40.578906365869543</v>
      </c>
      <c r="E153" s="46">
        <f t="shared" si="97"/>
        <v>55.351196636855583</v>
      </c>
      <c r="F153" s="46">
        <f t="shared" si="97"/>
        <v>71.568334880165565</v>
      </c>
      <c r="G153" s="46">
        <f t="shared" si="97"/>
        <v>91.722691746933748</v>
      </c>
      <c r="H153" s="46">
        <f t="shared" si="97"/>
        <v>116.61924707712463</v>
      </c>
      <c r="I153" s="46">
        <f t="shared" si="97"/>
        <v>146.91930836048147</v>
      </c>
      <c r="J153" s="46">
        <f t="shared" si="97"/>
        <v>185.28567166748999</v>
      </c>
      <c r="K153" s="46">
        <f t="shared" si="97"/>
        <v>231.04034635247666</v>
      </c>
      <c r="L153" s="46">
        <f t="shared" si="97"/>
        <v>293.95937567580432</v>
      </c>
      <c r="M153" s="46">
        <f t="shared" si="97"/>
        <v>375.60886059004162</v>
      </c>
      <c r="N153" s="46">
        <f t="shared" si="97"/>
        <v>460.03501187731393</v>
      </c>
      <c r="O153" s="46">
        <f t="shared" si="97"/>
        <v>551.93067929254619</v>
      </c>
      <c r="P153" s="46">
        <f t="shared" si="97"/>
        <v>653.3281552271319</v>
      </c>
      <c r="R153" s="57">
        <f>(J153/D153)^(1/6)-1</f>
        <v>0.28802289551916305</v>
      </c>
      <c r="S153" s="57">
        <f>(P153/J153)^(1/6)-1</f>
        <v>0.23371522149129453</v>
      </c>
    </row>
    <row r="154" spans="1:19" x14ac:dyDescent="0.2">
      <c r="A154" s="62" t="s">
        <v>4</v>
      </c>
      <c r="B154" s="75"/>
      <c r="C154" s="63">
        <f t="shared" ref="C154:P154" si="98">C153/B153-1</f>
        <v>0.18912803733317141</v>
      </c>
      <c r="D154" s="63">
        <f t="shared" si="98"/>
        <v>0.33897639511598787</v>
      </c>
      <c r="E154" s="63">
        <f t="shared" si="98"/>
        <v>0.36403864948442388</v>
      </c>
      <c r="F154" s="63">
        <f t="shared" si="98"/>
        <v>0.29298622665208662</v>
      </c>
      <c r="G154" s="63">
        <f t="shared" si="98"/>
        <v>0.28160997318876779</v>
      </c>
      <c r="H154" s="63">
        <f t="shared" si="98"/>
        <v>0.27143289033515705</v>
      </c>
      <c r="I154" s="63">
        <f t="shared" si="98"/>
        <v>0.25982041595002148</v>
      </c>
      <c r="J154" s="63">
        <f t="shared" si="98"/>
        <v>0.2611390138923928</v>
      </c>
      <c r="K154" s="63">
        <f t="shared" si="98"/>
        <v>0.24694124631016856</v>
      </c>
      <c r="L154" s="63">
        <f t="shared" si="98"/>
        <v>0.27232918542866957</v>
      </c>
      <c r="M154" s="63">
        <f t="shared" si="98"/>
        <v>0.27775771644135316</v>
      </c>
      <c r="N154" s="63">
        <f t="shared" si="98"/>
        <v>0.22477145814570987</v>
      </c>
      <c r="O154" s="63">
        <f t="shared" si="98"/>
        <v>0.1997579858981251</v>
      </c>
      <c r="P154" s="63">
        <f t="shared" si="98"/>
        <v>0.18371415059687379</v>
      </c>
      <c r="R154" s="109"/>
      <c r="S154" s="109"/>
    </row>
    <row r="155" spans="1:19" x14ac:dyDescent="0.2">
      <c r="A155" s="82" t="s">
        <v>28</v>
      </c>
      <c r="B155" s="46">
        <f t="shared" ref="B155:P155" si="99">B95</f>
        <v>3.8019549761699998</v>
      </c>
      <c r="C155" s="46">
        <f t="shared" si="99"/>
        <v>4.9870617187169977</v>
      </c>
      <c r="D155" s="46">
        <f t="shared" si="99"/>
        <v>6.7281737686547443</v>
      </c>
      <c r="E155" s="46">
        <f t="shared" si="99"/>
        <v>9.3028672852107572</v>
      </c>
      <c r="F155" s="46">
        <f t="shared" si="99"/>
        <v>12.209637378618716</v>
      </c>
      <c r="G155" s="46">
        <f t="shared" si="99"/>
        <v>15.952662002566095</v>
      </c>
      <c r="H155" s="46">
        <f t="shared" si="99"/>
        <v>20.799893126282669</v>
      </c>
      <c r="I155" s="46">
        <f t="shared" si="99"/>
        <v>26.787003493748163</v>
      </c>
      <c r="J155" s="46">
        <f t="shared" si="99"/>
        <v>34.071234814055636</v>
      </c>
      <c r="K155" s="46">
        <f t="shared" si="99"/>
        <v>42.332701342610697</v>
      </c>
      <c r="L155" s="46">
        <f t="shared" si="99"/>
        <v>52.796973851729796</v>
      </c>
      <c r="M155" s="46">
        <f t="shared" si="99"/>
        <v>65.977941598370805</v>
      </c>
      <c r="N155" s="46">
        <f t="shared" si="99"/>
        <v>78.948774691272448</v>
      </c>
      <c r="O155" s="46">
        <f t="shared" si="99"/>
        <v>92.536554518934508</v>
      </c>
      <c r="P155" s="46">
        <f t="shared" si="99"/>
        <v>107.13398029911276</v>
      </c>
      <c r="R155" s="57">
        <f>(J155/D155)^(1/6)-1</f>
        <v>0.31043387858850813</v>
      </c>
      <c r="S155" s="57">
        <f>(P155/J155)^(1/6)-1</f>
        <v>0.21038414953074969</v>
      </c>
    </row>
    <row r="156" spans="1:19" x14ac:dyDescent="0.2">
      <c r="A156" s="83" t="s">
        <v>4</v>
      </c>
      <c r="B156" s="75"/>
      <c r="C156" s="63">
        <f t="shared" ref="C156:P156" si="100">C155/B155-1</f>
        <v>0.31170983085676807</v>
      </c>
      <c r="D156" s="63">
        <f t="shared" si="100"/>
        <v>0.34912582761973043</v>
      </c>
      <c r="E156" s="63">
        <f t="shared" si="100"/>
        <v>0.38267345717957091</v>
      </c>
      <c r="F156" s="63">
        <f t="shared" si="100"/>
        <v>0.3124595895320359</v>
      </c>
      <c r="G156" s="63">
        <f t="shared" si="100"/>
        <v>0.30656312778806138</v>
      </c>
      <c r="H156" s="63">
        <f t="shared" si="100"/>
        <v>0.30385092612987497</v>
      </c>
      <c r="I156" s="63">
        <f t="shared" si="100"/>
        <v>0.28784332357459097</v>
      </c>
      <c r="J156" s="63">
        <f t="shared" si="100"/>
        <v>0.27193154777493289</v>
      </c>
      <c r="K156" s="63">
        <f t="shared" si="100"/>
        <v>0.24247628750886663</v>
      </c>
      <c r="L156" s="63">
        <f t="shared" si="100"/>
        <v>0.24719122988227804</v>
      </c>
      <c r="M156" s="63">
        <f t="shared" si="100"/>
        <v>0.249653849170546</v>
      </c>
      <c r="N156" s="63">
        <f t="shared" si="100"/>
        <v>0.19659347925492021</v>
      </c>
      <c r="O156" s="63">
        <f t="shared" si="100"/>
        <v>0.17210881208475737</v>
      </c>
      <c r="P156" s="63">
        <f t="shared" si="100"/>
        <v>0.15774766908131843</v>
      </c>
      <c r="R156" s="109"/>
      <c r="S156" s="109"/>
    </row>
    <row r="157" spans="1:19" x14ac:dyDescent="0.2">
      <c r="A157" s="82" t="s">
        <v>27</v>
      </c>
      <c r="B157" s="46">
        <f t="shared" ref="B157:P157" si="101">B87</f>
        <v>21.683875989880001</v>
      </c>
      <c r="C157" s="46">
        <f t="shared" si="101"/>
        <v>25.318854437747003</v>
      </c>
      <c r="D157" s="46">
        <f t="shared" si="101"/>
        <v>33.850732597214801</v>
      </c>
      <c r="E157" s="46">
        <f t="shared" si="101"/>
        <v>46.048329351644824</v>
      </c>
      <c r="F157" s="46">
        <f t="shared" si="101"/>
        <v>59.358697501546857</v>
      </c>
      <c r="G157" s="46">
        <f t="shared" si="101"/>
        <v>75.770029744367648</v>
      </c>
      <c r="H157" s="46">
        <f t="shared" si="101"/>
        <v>95.819353950841958</v>
      </c>
      <c r="I157" s="46">
        <f t="shared" si="101"/>
        <v>120.13230486673329</v>
      </c>
      <c r="J157" s="46">
        <f t="shared" si="101"/>
        <v>151.21443685343436</v>
      </c>
      <c r="K157" s="46">
        <f t="shared" si="101"/>
        <v>188.70764500986596</v>
      </c>
      <c r="L157" s="46">
        <f t="shared" si="101"/>
        <v>241.16240182407452</v>
      </c>
      <c r="M157" s="46">
        <f t="shared" si="101"/>
        <v>309.6309189916708</v>
      </c>
      <c r="N157" s="46">
        <f t="shared" si="101"/>
        <v>381.0862371860415</v>
      </c>
      <c r="O157" s="46">
        <f t="shared" si="101"/>
        <v>459.39412477361168</v>
      </c>
      <c r="P157" s="46">
        <f t="shared" si="101"/>
        <v>546.19417492801915</v>
      </c>
      <c r="R157" s="57">
        <f>(J157/D157)^(1/6)-1</f>
        <v>0.28332758864361374</v>
      </c>
      <c r="S157" s="57">
        <f>(P157/J157)^(1/6)-1</f>
        <v>0.23867955083568604</v>
      </c>
    </row>
    <row r="158" spans="1:19" x14ac:dyDescent="0.2">
      <c r="A158" s="83" t="s">
        <v>4</v>
      </c>
      <c r="B158" s="75"/>
      <c r="C158" s="63">
        <f t="shared" ref="C158:P158" si="102">C157/B157-1</f>
        <v>0.16763508745223721</v>
      </c>
      <c r="D158" s="63">
        <f t="shared" si="102"/>
        <v>0.33697725860566252</v>
      </c>
      <c r="E158" s="63">
        <f t="shared" si="102"/>
        <v>0.36033479391916101</v>
      </c>
      <c r="F158" s="63">
        <f t="shared" si="102"/>
        <v>0.28905214016035941</v>
      </c>
      <c r="G158" s="63">
        <f t="shared" si="102"/>
        <v>0.27647729706995539</v>
      </c>
      <c r="H158" s="63">
        <f t="shared" si="102"/>
        <v>0.26460757999061846</v>
      </c>
      <c r="I158" s="63">
        <f t="shared" si="102"/>
        <v>0.25373737051456824</v>
      </c>
      <c r="J158" s="63">
        <f t="shared" si="102"/>
        <v>0.25873250347757426</v>
      </c>
      <c r="K158" s="63">
        <f t="shared" si="102"/>
        <v>0.24794727895440394</v>
      </c>
      <c r="L158" s="63">
        <f t="shared" si="102"/>
        <v>0.27796837171841204</v>
      </c>
      <c r="M158" s="63">
        <f t="shared" si="102"/>
        <v>0.28391041327222877</v>
      </c>
      <c r="N158" s="63">
        <f t="shared" si="102"/>
        <v>0.23077578436633095</v>
      </c>
      <c r="O158" s="63">
        <f t="shared" si="102"/>
        <v>0.2054860027635721</v>
      </c>
      <c r="P158" s="63">
        <f t="shared" si="102"/>
        <v>0.18894462395918166</v>
      </c>
      <c r="R158" s="109"/>
      <c r="S158" s="109"/>
    </row>
    <row r="159" spans="1:19" x14ac:dyDescent="0.2">
      <c r="A159" s="68" t="s">
        <v>56</v>
      </c>
      <c r="B159" s="46">
        <f t="shared" ref="B159:P159" si="103">B161+B163</f>
        <v>36.327768960989999</v>
      </c>
      <c r="C159" s="46">
        <f t="shared" si="103"/>
        <v>41.131002338036005</v>
      </c>
      <c r="D159" s="46">
        <f t="shared" si="103"/>
        <v>52.654028293930423</v>
      </c>
      <c r="E159" s="46">
        <f t="shared" si="103"/>
        <v>68.576814945844333</v>
      </c>
      <c r="F159" s="46">
        <f t="shared" si="103"/>
        <v>84.568000151134399</v>
      </c>
      <c r="G159" s="46">
        <f t="shared" si="103"/>
        <v>103.22328516316624</v>
      </c>
      <c r="H159" s="46">
        <f t="shared" si="103"/>
        <v>123.11541006407522</v>
      </c>
      <c r="I159" s="46">
        <f t="shared" si="103"/>
        <v>145.20841040031857</v>
      </c>
      <c r="J159" s="46">
        <f t="shared" si="103"/>
        <v>165.44186939121008</v>
      </c>
      <c r="K159" s="46">
        <f t="shared" si="103"/>
        <v>185.54220795832344</v>
      </c>
      <c r="L159" s="46">
        <f t="shared" si="103"/>
        <v>213.40645760624497</v>
      </c>
      <c r="M159" s="46">
        <f t="shared" si="103"/>
        <v>244.95856392937742</v>
      </c>
      <c r="N159" s="46">
        <f t="shared" si="103"/>
        <v>267.46061998982799</v>
      </c>
      <c r="O159" s="46">
        <f t="shared" si="103"/>
        <v>283.40417156253238</v>
      </c>
      <c r="P159" s="46">
        <f t="shared" si="103"/>
        <v>292.87492574218101</v>
      </c>
      <c r="R159" s="57">
        <f>(J159/D159)^(1/6)-1</f>
        <v>0.21023294472909648</v>
      </c>
      <c r="S159" s="57">
        <f>(P159/J159)^(1/6)-1</f>
        <v>9.9865198436244862E-2</v>
      </c>
    </row>
    <row r="160" spans="1:19" x14ac:dyDescent="0.2">
      <c r="A160" s="62" t="s">
        <v>4</v>
      </c>
      <c r="B160" s="75"/>
      <c r="C160" s="63">
        <f t="shared" ref="C160:P160" si="104">C159/B159-1</f>
        <v>0.13221933288014132</v>
      </c>
      <c r="D160" s="63">
        <f t="shared" si="104"/>
        <v>0.28015427052305197</v>
      </c>
      <c r="E160" s="63">
        <f t="shared" si="104"/>
        <v>0.30240395973178313</v>
      </c>
      <c r="F160" s="63">
        <f t="shared" si="104"/>
        <v>0.23318646714517777</v>
      </c>
      <c r="G160" s="63">
        <f t="shared" si="104"/>
        <v>0.22059508299465924</v>
      </c>
      <c r="H160" s="63">
        <f t="shared" si="104"/>
        <v>0.19270966690766778</v>
      </c>
      <c r="I160" s="63">
        <f t="shared" si="104"/>
        <v>0.17944951265438736</v>
      </c>
      <c r="J160" s="63">
        <f t="shared" si="104"/>
        <v>0.13934082010202298</v>
      </c>
      <c r="K160" s="63">
        <f t="shared" si="104"/>
        <v>0.12149487092401823</v>
      </c>
      <c r="L160" s="63">
        <f t="shared" si="104"/>
        <v>0.15017741760505721</v>
      </c>
      <c r="M160" s="63">
        <f t="shared" si="104"/>
        <v>0.14784981990258728</v>
      </c>
      <c r="N160" s="63">
        <f t="shared" si="104"/>
        <v>9.1860662879041044E-2</v>
      </c>
      <c r="O160" s="63">
        <f t="shared" si="104"/>
        <v>5.9610837562968255E-2</v>
      </c>
      <c r="P160" s="63">
        <f t="shared" si="104"/>
        <v>3.3417836185798411E-2</v>
      </c>
      <c r="R160" s="109"/>
      <c r="S160" s="109"/>
    </row>
    <row r="161" spans="1:19" x14ac:dyDescent="0.2">
      <c r="A161" s="82" t="s">
        <v>28</v>
      </c>
      <c r="B161" s="46">
        <f t="shared" ref="B161:P161" si="105">B97</f>
        <v>3.8019549761699998</v>
      </c>
      <c r="C161" s="46">
        <f t="shared" si="105"/>
        <v>4.6965532690829974</v>
      </c>
      <c r="D161" s="46">
        <f t="shared" si="105"/>
        <v>5.9557243718952497</v>
      </c>
      <c r="E161" s="46">
        <f t="shared" si="105"/>
        <v>7.7240155230492338</v>
      </c>
      <c r="F161" s="46">
        <f t="shared" si="105"/>
        <v>9.4865719626812677</v>
      </c>
      <c r="G161" s="46">
        <f t="shared" si="105"/>
        <v>11.56915075288387</v>
      </c>
      <c r="H161" s="46">
        <f t="shared" si="105"/>
        <v>13.375669778447273</v>
      </c>
      <c r="I161" s="46">
        <f t="shared" si="105"/>
        <v>15.129920807451757</v>
      </c>
      <c r="J161" s="46">
        <f t="shared" si="105"/>
        <v>16.705392237744274</v>
      </c>
      <c r="K161" s="46">
        <f t="shared" si="105"/>
        <v>17.751827296953721</v>
      </c>
      <c r="L161" s="46">
        <f t="shared" si="105"/>
        <v>20.670572394226379</v>
      </c>
      <c r="M161" s="46">
        <f t="shared" si="105"/>
        <v>24.030883848074513</v>
      </c>
      <c r="N161" s="46">
        <f t="shared" si="105"/>
        <v>26.643356293640093</v>
      </c>
      <c r="O161" s="46">
        <f t="shared" si="105"/>
        <v>28.802138828343857</v>
      </c>
      <c r="P161" s="46">
        <f t="shared" si="105"/>
        <v>30.591107340283699</v>
      </c>
      <c r="R161" s="57">
        <f>(J161/D161)^(1/6)-1</f>
        <v>0.18755485938668737</v>
      </c>
      <c r="S161" s="57">
        <f>(P161/J161)^(1/6)-1</f>
        <v>0.10608818536267339</v>
      </c>
    </row>
    <row r="162" spans="1:19" x14ac:dyDescent="0.2">
      <c r="A162" s="83" t="s">
        <v>4</v>
      </c>
      <c r="B162" s="75"/>
      <c r="C162" s="63">
        <f t="shared" ref="C162:P162" si="106">C161/B161-1</f>
        <v>0.23529954944763576</v>
      </c>
      <c r="D162" s="63">
        <f t="shared" si="106"/>
        <v>0.26810535954127612</v>
      </c>
      <c r="E162" s="63">
        <f t="shared" si="106"/>
        <v>0.29690614285282524</v>
      </c>
      <c r="F162" s="63">
        <f t="shared" si="106"/>
        <v>0.22819172674787991</v>
      </c>
      <c r="G162" s="63">
        <f t="shared" si="106"/>
        <v>0.21952911951705523</v>
      </c>
      <c r="H162" s="63">
        <f t="shared" si="106"/>
        <v>0.15614966596516067</v>
      </c>
      <c r="I162" s="63">
        <f t="shared" si="106"/>
        <v>0.131152387735467</v>
      </c>
      <c r="J162" s="63">
        <f t="shared" si="106"/>
        <v>0.10412952257599195</v>
      </c>
      <c r="K162" s="63">
        <f t="shared" si="106"/>
        <v>6.2640556074171405E-2</v>
      </c>
      <c r="L162" s="63">
        <f t="shared" si="106"/>
        <v>0.16441941713648411</v>
      </c>
      <c r="M162" s="63">
        <f t="shared" si="106"/>
        <v>0.16256499286815695</v>
      </c>
      <c r="N162" s="63">
        <f t="shared" si="106"/>
        <v>0.10871312358221497</v>
      </c>
      <c r="O162" s="63">
        <f t="shared" si="106"/>
        <v>8.102517231355999E-2</v>
      </c>
      <c r="P162" s="63">
        <f t="shared" si="106"/>
        <v>6.2112349454386262E-2</v>
      </c>
      <c r="R162" s="109"/>
      <c r="S162" s="109"/>
    </row>
    <row r="163" spans="1:19" x14ac:dyDescent="0.2">
      <c r="A163" s="82" t="s">
        <v>27</v>
      </c>
      <c r="B163" s="46">
        <f t="shared" ref="B163:P163" si="107">B89</f>
        <v>32.525813984819997</v>
      </c>
      <c r="C163" s="46">
        <f t="shared" si="107"/>
        <v>36.434449068953008</v>
      </c>
      <c r="D163" s="46">
        <f t="shared" si="107"/>
        <v>46.698303922035173</v>
      </c>
      <c r="E163" s="46">
        <f t="shared" si="107"/>
        <v>60.852799422795094</v>
      </c>
      <c r="F163" s="46">
        <f t="shared" si="107"/>
        <v>75.081428188453131</v>
      </c>
      <c r="G163" s="46">
        <f t="shared" si="107"/>
        <v>91.654134410282367</v>
      </c>
      <c r="H163" s="46">
        <f t="shared" si="107"/>
        <v>109.73974028562795</v>
      </c>
      <c r="I163" s="46">
        <f t="shared" si="107"/>
        <v>130.07848959286682</v>
      </c>
      <c r="J163" s="46">
        <f t="shared" si="107"/>
        <v>148.73647715346581</v>
      </c>
      <c r="K163" s="46">
        <f t="shared" si="107"/>
        <v>167.79038066136971</v>
      </c>
      <c r="L163" s="46">
        <f t="shared" si="107"/>
        <v>192.73588521201859</v>
      </c>
      <c r="M163" s="46">
        <f t="shared" si="107"/>
        <v>220.9276800813029</v>
      </c>
      <c r="N163" s="46">
        <f t="shared" si="107"/>
        <v>240.81726369618789</v>
      </c>
      <c r="O163" s="46">
        <f t="shared" si="107"/>
        <v>254.60203273418855</v>
      </c>
      <c r="P163" s="46">
        <f t="shared" si="107"/>
        <v>262.28381840189729</v>
      </c>
      <c r="R163" s="57">
        <f>(J163/D163)^(1/6)-1</f>
        <v>0.21297745967729953</v>
      </c>
      <c r="S163" s="57">
        <f>(P163/J163)^(1/6)-1</f>
        <v>9.9155155106072312E-2</v>
      </c>
    </row>
    <row r="164" spans="1:19" x14ac:dyDescent="0.2">
      <c r="A164" s="83" t="s">
        <v>4</v>
      </c>
      <c r="B164" s="75"/>
      <c r="C164" s="63">
        <f t="shared" ref="C164:P164" si="108">C163/B163-1</f>
        <v>0.12017024649889452</v>
      </c>
      <c r="D164" s="63">
        <f t="shared" si="108"/>
        <v>0.28170742567446516</v>
      </c>
      <c r="E164" s="63">
        <f t="shared" si="108"/>
        <v>0.3031051304216843</v>
      </c>
      <c r="F164" s="63">
        <f t="shared" si="108"/>
        <v>0.23382044705618066</v>
      </c>
      <c r="G164" s="63">
        <f t="shared" si="108"/>
        <v>0.22072976795582555</v>
      </c>
      <c r="H164" s="63">
        <f t="shared" si="108"/>
        <v>0.19732449596203505</v>
      </c>
      <c r="I164" s="63">
        <f t="shared" si="108"/>
        <v>0.18533622600437782</v>
      </c>
      <c r="J164" s="63">
        <f t="shared" si="108"/>
        <v>0.14343637921224883</v>
      </c>
      <c r="K164" s="63">
        <f t="shared" si="108"/>
        <v>0.12810511498295174</v>
      </c>
      <c r="L164" s="63">
        <f t="shared" si="108"/>
        <v>0.1486706475801689</v>
      </c>
      <c r="M164" s="63">
        <f t="shared" si="108"/>
        <v>0.14627164442299878</v>
      </c>
      <c r="N164" s="63">
        <f t="shared" si="108"/>
        <v>9.0027576479169591E-2</v>
      </c>
      <c r="O164" s="63">
        <f t="shared" si="108"/>
        <v>5.7241614768081428E-2</v>
      </c>
      <c r="P164" s="63">
        <f t="shared" si="108"/>
        <v>3.0171737378580588E-2</v>
      </c>
      <c r="R164" s="109"/>
      <c r="S164" s="109"/>
    </row>
    <row r="165" spans="1:19" x14ac:dyDescent="0.2">
      <c r="A165" s="68" t="s">
        <v>57</v>
      </c>
      <c r="B165" s="46">
        <f t="shared" ref="B165:P165" si="109">B167+B169</f>
        <v>59.315624472000003</v>
      </c>
      <c r="C165" s="46">
        <f t="shared" si="109"/>
        <v>74.58806074200001</v>
      </c>
      <c r="D165" s="46">
        <f t="shared" si="109"/>
        <v>95.275259118000065</v>
      </c>
      <c r="E165" s="46">
        <f t="shared" si="109"/>
        <v>122.63401690800009</v>
      </c>
      <c r="F165" s="46">
        <f t="shared" si="109"/>
        <v>146.92451338500007</v>
      </c>
      <c r="G165" s="46">
        <f t="shared" si="109"/>
        <v>177.09434956200016</v>
      </c>
      <c r="H165" s="46">
        <f t="shared" si="109"/>
        <v>214.03345743000017</v>
      </c>
      <c r="I165" s="46">
        <f t="shared" si="109"/>
        <v>252.40392992100033</v>
      </c>
      <c r="J165" s="46">
        <f t="shared" si="109"/>
        <v>294.35436030000028</v>
      </c>
      <c r="K165" s="46">
        <f t="shared" si="109"/>
        <v>339.66718368160377</v>
      </c>
      <c r="L165" s="46">
        <f t="shared" si="109"/>
        <v>393.63010882839785</v>
      </c>
      <c r="M165" s="46">
        <f t="shared" si="109"/>
        <v>459.92914817983456</v>
      </c>
      <c r="N165" s="46">
        <f t="shared" si="109"/>
        <v>535.73561617442522</v>
      </c>
      <c r="O165" s="46">
        <f t="shared" si="109"/>
        <v>619.69529459854493</v>
      </c>
      <c r="P165" s="46">
        <f t="shared" si="109"/>
        <v>706.54421549202175</v>
      </c>
      <c r="R165" s="57">
        <f>(J165/D165)^(1/6)-1</f>
        <v>0.20683636795354055</v>
      </c>
      <c r="S165" s="57">
        <f>(P165/J165)^(1/6)-1</f>
        <v>0.15711932101909554</v>
      </c>
    </row>
    <row r="166" spans="1:19" x14ac:dyDescent="0.2">
      <c r="A166" s="62" t="s">
        <v>4</v>
      </c>
      <c r="B166" s="75"/>
      <c r="C166" s="63">
        <f t="shared" ref="C166:P166" si="110">C165/B165-1</f>
        <v>0.25747745903289565</v>
      </c>
      <c r="D166" s="63">
        <f t="shared" si="110"/>
        <v>0.27735267776376493</v>
      </c>
      <c r="E166" s="63">
        <f t="shared" si="110"/>
        <v>0.28715490299654522</v>
      </c>
      <c r="F166" s="63">
        <f t="shared" si="110"/>
        <v>0.19807307213318048</v>
      </c>
      <c r="G166" s="63">
        <f t="shared" si="110"/>
        <v>0.20534242708664441</v>
      </c>
      <c r="H166" s="63">
        <f t="shared" si="110"/>
        <v>0.20858433913538121</v>
      </c>
      <c r="I166" s="63">
        <f t="shared" si="110"/>
        <v>0.17927324518200272</v>
      </c>
      <c r="J166" s="63">
        <f t="shared" si="110"/>
        <v>0.16620355472329607</v>
      </c>
      <c r="K166" s="63">
        <f t="shared" si="110"/>
        <v>0.15393970497131937</v>
      </c>
      <c r="L166" s="63">
        <f t="shared" si="110"/>
        <v>0.15886999904405741</v>
      </c>
      <c r="M166" s="63">
        <f t="shared" si="110"/>
        <v>0.16842979707210248</v>
      </c>
      <c r="N166" s="63">
        <f t="shared" si="110"/>
        <v>0.16482205638541081</v>
      </c>
      <c r="O166" s="63">
        <f t="shared" si="110"/>
        <v>0.156718493020229</v>
      </c>
      <c r="P166" s="63">
        <f t="shared" si="110"/>
        <v>0.14014778174125042</v>
      </c>
      <c r="R166" s="109"/>
      <c r="S166" s="109"/>
    </row>
    <row r="167" spans="1:19" x14ac:dyDescent="0.2">
      <c r="A167" s="82" t="s">
        <v>58</v>
      </c>
      <c r="B167" s="46">
        <f t="shared" ref="B167:P167" si="111">B125</f>
        <v>28.525005104278605</v>
      </c>
      <c r="C167" s="46">
        <f t="shared" si="111"/>
        <v>37.183985911286882</v>
      </c>
      <c r="D167" s="46">
        <f t="shared" si="111"/>
        <v>49.23758763266585</v>
      </c>
      <c r="E167" s="46">
        <f t="shared" si="111"/>
        <v>65.698822256604174</v>
      </c>
      <c r="F167" s="46">
        <f t="shared" si="111"/>
        <v>81.596380325244283</v>
      </c>
      <c r="G167" s="46">
        <f t="shared" si="111"/>
        <v>101.95565977638446</v>
      </c>
      <c r="H167" s="46">
        <f t="shared" si="111"/>
        <v>127.73746816832754</v>
      </c>
      <c r="I167" s="46">
        <f t="shared" si="111"/>
        <v>156.15746553457521</v>
      </c>
      <c r="J167" s="46">
        <f t="shared" si="111"/>
        <v>188.78483937606606</v>
      </c>
      <c r="K167" s="46">
        <f t="shared" si="111"/>
        <v>225.82927164953924</v>
      </c>
      <c r="L167" s="46">
        <f t="shared" si="111"/>
        <v>271.2969778881772</v>
      </c>
      <c r="M167" s="46">
        <f t="shared" si="111"/>
        <v>328.60758362724539</v>
      </c>
      <c r="N167" s="46">
        <f t="shared" si="111"/>
        <v>396.79589417910296</v>
      </c>
      <c r="O167" s="46">
        <f t="shared" si="111"/>
        <v>475.80045254796391</v>
      </c>
      <c r="P167" s="46">
        <f t="shared" si="111"/>
        <v>562.36204246071679</v>
      </c>
      <c r="R167" s="57">
        <f>(J167/D167)^(1/6)-1</f>
        <v>0.25106072784389344</v>
      </c>
      <c r="S167" s="57">
        <f>(P167/J167)^(1/6)-1</f>
        <v>0.19952180626703697</v>
      </c>
    </row>
    <row r="168" spans="1:19" x14ac:dyDescent="0.2">
      <c r="A168" s="83" t="s">
        <v>4</v>
      </c>
      <c r="B168" s="75"/>
      <c r="C168" s="63">
        <f t="shared" ref="C168:P168" si="112">C167/B167-1</f>
        <v>0.30355755504175086</v>
      </c>
      <c r="D168" s="63">
        <f t="shared" si="112"/>
        <v>0.32416109854753894</v>
      </c>
      <c r="E168" s="63">
        <f t="shared" si="112"/>
        <v>0.33432252503405335</v>
      </c>
      <c r="F168" s="63">
        <f t="shared" si="112"/>
        <v>0.24197630220139987</v>
      </c>
      <c r="G168" s="63">
        <f t="shared" si="112"/>
        <v>0.24951204171052455</v>
      </c>
      <c r="H168" s="63">
        <f t="shared" si="112"/>
        <v>0.25287275319966884</v>
      </c>
      <c r="I168" s="63">
        <f t="shared" si="112"/>
        <v>0.22248755806555431</v>
      </c>
      <c r="J168" s="63">
        <f t="shared" si="112"/>
        <v>0.20893893051989076</v>
      </c>
      <c r="K168" s="63">
        <f t="shared" si="112"/>
        <v>0.1962256736076109</v>
      </c>
      <c r="L168" s="63">
        <f t="shared" si="112"/>
        <v>0.20133663765784338</v>
      </c>
      <c r="M168" s="63">
        <f t="shared" si="112"/>
        <v>0.21124675322660758</v>
      </c>
      <c r="N168" s="63">
        <f t="shared" si="112"/>
        <v>0.2075068073572115</v>
      </c>
      <c r="O168" s="63">
        <f t="shared" si="112"/>
        <v>0.1991062899788989</v>
      </c>
      <c r="P168" s="63">
        <f t="shared" si="112"/>
        <v>0.18192834716572048</v>
      </c>
      <c r="R168" s="109"/>
      <c r="S168" s="109"/>
    </row>
    <row r="169" spans="1:19" x14ac:dyDescent="0.2">
      <c r="A169" s="82" t="s">
        <v>53</v>
      </c>
      <c r="B169" s="46">
        <f t="shared" ref="B169:P169" si="113">B127</f>
        <v>30.790619367721398</v>
      </c>
      <c r="C169" s="46">
        <f t="shared" si="113"/>
        <v>37.404074830713128</v>
      </c>
      <c r="D169" s="46">
        <f t="shared" si="113"/>
        <v>46.037671485334215</v>
      </c>
      <c r="E169" s="46">
        <f t="shared" si="113"/>
        <v>56.935194651395918</v>
      </c>
      <c r="F169" s="46">
        <f t="shared" si="113"/>
        <v>65.328133059755785</v>
      </c>
      <c r="G169" s="46">
        <f t="shared" si="113"/>
        <v>75.138689785615696</v>
      </c>
      <c r="H169" s="46">
        <f t="shared" si="113"/>
        <v>86.295989261672631</v>
      </c>
      <c r="I169" s="46">
        <f t="shared" si="113"/>
        <v>96.246464386425117</v>
      </c>
      <c r="J169" s="46">
        <f t="shared" si="113"/>
        <v>105.56952092393422</v>
      </c>
      <c r="K169" s="46">
        <f t="shared" si="113"/>
        <v>113.83791203206454</v>
      </c>
      <c r="L169" s="46">
        <f t="shared" si="113"/>
        <v>122.33313094022066</v>
      </c>
      <c r="M169" s="46">
        <f t="shared" si="113"/>
        <v>131.32156455258917</v>
      </c>
      <c r="N169" s="46">
        <f t="shared" si="113"/>
        <v>138.93972199532226</v>
      </c>
      <c r="O169" s="46">
        <f t="shared" si="113"/>
        <v>143.89484205058102</v>
      </c>
      <c r="P169" s="46">
        <f t="shared" si="113"/>
        <v>144.18217303130496</v>
      </c>
      <c r="R169" s="57">
        <f>(J169/D169)^(1/6)-1</f>
        <v>0.14834098901817439</v>
      </c>
      <c r="S169" s="57">
        <f>(P169/J169)^(1/6)-1</f>
        <v>5.3324459904138921E-2</v>
      </c>
    </row>
    <row r="170" spans="1:19" x14ac:dyDescent="0.2">
      <c r="A170" s="83" t="s">
        <v>4</v>
      </c>
      <c r="B170" s="75"/>
      <c r="C170" s="63">
        <f t="shared" ref="C170:P170" si="114">C169/B169-1</f>
        <v>0.21478799708474794</v>
      </c>
      <c r="D170" s="63">
        <f t="shared" si="114"/>
        <v>0.23081968191155178</v>
      </c>
      <c r="E170" s="63">
        <f t="shared" si="114"/>
        <v>0.23670882593471787</v>
      </c>
      <c r="F170" s="63">
        <f t="shared" si="114"/>
        <v>0.1474121316305026</v>
      </c>
      <c r="G170" s="63">
        <f t="shared" si="114"/>
        <v>0.15017353575505021</v>
      </c>
      <c r="H170" s="63">
        <f t="shared" si="114"/>
        <v>0.14848940682743783</v>
      </c>
      <c r="I170" s="63">
        <f t="shared" si="114"/>
        <v>0.11530634517184768</v>
      </c>
      <c r="J170" s="63">
        <f t="shared" si="114"/>
        <v>9.6866483324285602E-2</v>
      </c>
      <c r="K170" s="63">
        <f t="shared" si="114"/>
        <v>7.8321764044831932E-2</v>
      </c>
      <c r="L170" s="63">
        <f t="shared" si="114"/>
        <v>7.4625568551918597E-2</v>
      </c>
      <c r="M170" s="63">
        <f t="shared" si="114"/>
        <v>7.3475055721093252E-2</v>
      </c>
      <c r="N170" s="63">
        <f t="shared" si="114"/>
        <v>5.8011473353124066E-2</v>
      </c>
      <c r="O170" s="63">
        <f t="shared" si="114"/>
        <v>3.5663811501116971E-2</v>
      </c>
      <c r="P170" s="63">
        <f t="shared" si="114"/>
        <v>1.9968122319695691E-3</v>
      </c>
      <c r="R170" s="109"/>
      <c r="S170" s="109"/>
    </row>
    <row r="171" spans="1:19" x14ac:dyDescent="0.2">
      <c r="A171" s="68" t="s">
        <v>59</v>
      </c>
      <c r="B171" s="46">
        <f t="shared" ref="B171:P171" si="115">B139</f>
        <v>110.77207317161256</v>
      </c>
      <c r="C171" s="46">
        <f t="shared" si="115"/>
        <v>119.49064531892657</v>
      </c>
      <c r="D171" s="46">
        <f t="shared" si="115"/>
        <v>129.25519538412721</v>
      </c>
      <c r="E171" s="46">
        <f t="shared" si="115"/>
        <v>140.93667644766484</v>
      </c>
      <c r="F171" s="46">
        <f t="shared" si="115"/>
        <v>154.61526541503287</v>
      </c>
      <c r="G171" s="46">
        <f t="shared" si="115"/>
        <v>178.5344673514746</v>
      </c>
      <c r="H171" s="46">
        <f t="shared" si="115"/>
        <v>199.30035618778939</v>
      </c>
      <c r="I171" s="46">
        <f t="shared" si="115"/>
        <v>249.28014654827956</v>
      </c>
      <c r="J171" s="46">
        <f t="shared" si="115"/>
        <v>273.57887948498933</v>
      </c>
      <c r="K171" s="46">
        <f t="shared" si="115"/>
        <v>307.79454765550213</v>
      </c>
      <c r="L171" s="46">
        <f t="shared" si="115"/>
        <v>342.87231246585679</v>
      </c>
      <c r="M171" s="46">
        <f t="shared" si="115"/>
        <v>394.61031589954371</v>
      </c>
      <c r="N171" s="46">
        <f t="shared" si="115"/>
        <v>442.3190722267579</v>
      </c>
      <c r="O171" s="46">
        <f t="shared" si="115"/>
        <v>474.29824449242568</v>
      </c>
      <c r="P171" s="46">
        <f t="shared" si="115"/>
        <v>505.22658149891919</v>
      </c>
      <c r="R171" s="57">
        <f>(J171/D171)^(1/6)-1</f>
        <v>0.13311092360903531</v>
      </c>
      <c r="S171" s="57">
        <f>(P171/J171)^(1/6)-1</f>
        <v>0.10764503281056781</v>
      </c>
    </row>
    <row r="172" spans="1:19" x14ac:dyDescent="0.2">
      <c r="A172" s="62" t="s">
        <v>4</v>
      </c>
      <c r="B172" s="75"/>
      <c r="C172" s="63">
        <f t="shared" ref="C172:P172" si="116">C171/B171-1</f>
        <v>7.8707312210423597E-2</v>
      </c>
      <c r="D172" s="63">
        <f t="shared" si="116"/>
        <v>8.1718113071852283E-2</v>
      </c>
      <c r="E172" s="63">
        <f t="shared" si="116"/>
        <v>9.0375330978549995E-2</v>
      </c>
      <c r="F172" s="63">
        <f t="shared" si="116"/>
        <v>9.7054856919713162E-2</v>
      </c>
      <c r="G172" s="63">
        <f t="shared" si="116"/>
        <v>0.15470142532327302</v>
      </c>
      <c r="H172" s="63">
        <f t="shared" si="116"/>
        <v>0.11631305228829403</v>
      </c>
      <c r="I172" s="63">
        <f t="shared" si="116"/>
        <v>0.25077622196217786</v>
      </c>
      <c r="J172" s="63">
        <f t="shared" si="116"/>
        <v>9.7475604347832423E-2</v>
      </c>
      <c r="K172" s="63">
        <f t="shared" si="116"/>
        <v>0.12506692122916641</v>
      </c>
      <c r="L172" s="63">
        <f t="shared" si="116"/>
        <v>0.11396486740114486</v>
      </c>
      <c r="M172" s="63">
        <f t="shared" si="116"/>
        <v>0.15089583367522263</v>
      </c>
      <c r="N172" s="63">
        <f t="shared" si="116"/>
        <v>0.12090093544173697</v>
      </c>
      <c r="O172" s="63">
        <f t="shared" si="116"/>
        <v>7.2298877153715413E-2</v>
      </c>
      <c r="P172" s="63">
        <f t="shared" si="116"/>
        <v>6.5208626356169086E-2</v>
      </c>
      <c r="R172" s="109"/>
      <c r="S172" s="109"/>
    </row>
    <row r="173" spans="1:19" x14ac:dyDescent="0.2">
      <c r="R173" s="109"/>
      <c r="S173" s="109"/>
    </row>
    <row r="174" spans="1:19" x14ac:dyDescent="0.2">
      <c r="A174" s="67" t="s">
        <v>61</v>
      </c>
      <c r="R174" s="109"/>
      <c r="S174" s="109"/>
    </row>
    <row r="175" spans="1:19" x14ac:dyDescent="0.2">
      <c r="A175" s="55" t="s">
        <v>62</v>
      </c>
      <c r="B175" s="56"/>
      <c r="C175" s="56"/>
      <c r="D175" s="56"/>
      <c r="E175" s="56">
        <v>90.797826040000004</v>
      </c>
      <c r="F175" s="56">
        <v>99.92060809000003</v>
      </c>
      <c r="G175" s="56">
        <v>129.44211840000003</v>
      </c>
      <c r="H175" s="56">
        <v>183.58648260000015</v>
      </c>
      <c r="I175" s="56">
        <v>312.39178830000014</v>
      </c>
      <c r="J175" s="56">
        <v>434.4629695000005</v>
      </c>
      <c r="K175" s="56">
        <v>590.67742000083729</v>
      </c>
      <c r="L175" s="56">
        <v>795.54326543923912</v>
      </c>
      <c r="M175" s="56">
        <v>1056.0454654377133</v>
      </c>
      <c r="N175" s="56">
        <v>1414.8417701429009</v>
      </c>
      <c r="O175" s="56">
        <v>1848.2429224828882</v>
      </c>
      <c r="P175" s="56">
        <v>2354.8622089838232</v>
      </c>
      <c r="R175" s="57"/>
      <c r="S175" s="57">
        <f>(P175/J175)^(1/6)-1</f>
        <v>0.32536487188592722</v>
      </c>
    </row>
    <row r="176" spans="1:19" x14ac:dyDescent="0.2">
      <c r="A176" s="58" t="s">
        <v>4</v>
      </c>
      <c r="B176" s="66"/>
      <c r="C176" s="59"/>
      <c r="D176" s="59"/>
      <c r="E176" s="59"/>
      <c r="F176" s="59">
        <f t="shared" ref="F176:P176" si="117">F175/E175-1</f>
        <v>0.10047357351905184</v>
      </c>
      <c r="G176" s="59">
        <f t="shared" si="117"/>
        <v>0.29544966623311097</v>
      </c>
      <c r="H176" s="59">
        <f t="shared" si="117"/>
        <v>0.41829015832917738</v>
      </c>
      <c r="I176" s="59">
        <f t="shared" si="117"/>
        <v>0.70160560775404224</v>
      </c>
      <c r="J176" s="59">
        <f t="shared" si="117"/>
        <v>0.39076309228324324</v>
      </c>
      <c r="K176" s="59">
        <f t="shared" si="117"/>
        <v>0.35955757214617257</v>
      </c>
      <c r="L176" s="59">
        <f t="shared" si="117"/>
        <v>0.34683202455599438</v>
      </c>
      <c r="M176" s="59">
        <f t="shared" si="117"/>
        <v>0.32745195807124894</v>
      </c>
      <c r="N176" s="59">
        <f t="shared" si="117"/>
        <v>0.33975460001286262</v>
      </c>
      <c r="O176" s="59">
        <f t="shared" si="117"/>
        <v>0.30632482125277738</v>
      </c>
      <c r="P176" s="59">
        <f t="shared" si="117"/>
        <v>0.27410860354890687</v>
      </c>
      <c r="R176" s="109"/>
      <c r="S176" s="109"/>
    </row>
    <row r="177" spans="1:19" x14ac:dyDescent="0.2">
      <c r="A177" s="67"/>
      <c r="R177" s="109"/>
      <c r="S177" s="109"/>
    </row>
    <row r="178" spans="1:19" x14ac:dyDescent="0.2">
      <c r="A178" s="67" t="s">
        <v>64</v>
      </c>
      <c r="R178" s="109"/>
      <c r="S178" s="109"/>
    </row>
    <row r="179" spans="1:19" x14ac:dyDescent="0.2">
      <c r="A179" s="129" t="s">
        <v>75</v>
      </c>
      <c r="E179" s="43">
        <v>19.959154646758034</v>
      </c>
      <c r="F179" s="43">
        <v>21.88705002634693</v>
      </c>
      <c r="G179" s="43">
        <v>28.427120878518387</v>
      </c>
      <c r="H179" s="43">
        <v>40.548045249305382</v>
      </c>
      <c r="I179" s="43">
        <v>69.324667118140113</v>
      </c>
      <c r="J179" s="43">
        <v>96.205906628002239</v>
      </c>
      <c r="K179" s="43">
        <v>129.91378930692539</v>
      </c>
      <c r="L179" s="43">
        <v>174.1483418215731</v>
      </c>
      <c r="M179" s="43">
        <v>230.02965151178702</v>
      </c>
      <c r="N179" s="43">
        <v>306.31051694423269</v>
      </c>
      <c r="O179" s="43">
        <v>397.51333883824435</v>
      </c>
      <c r="P179" s="43">
        <v>503.06988792204726</v>
      </c>
      <c r="R179" s="57"/>
      <c r="S179" s="57">
        <f>(P179/J179)^(1/6)-1</f>
        <v>0.31746098913742893</v>
      </c>
    </row>
    <row r="180" spans="1:19" x14ac:dyDescent="0.2">
      <c r="A180" s="12" t="s">
        <v>4</v>
      </c>
      <c r="E180" s="63"/>
      <c r="F180" s="63">
        <f t="shared" ref="F180:P180" si="118">F179/E179-1</f>
        <v>9.6592035770515228E-2</v>
      </c>
      <c r="G180" s="63">
        <f t="shared" si="118"/>
        <v>0.29881006550899869</v>
      </c>
      <c r="H180" s="63">
        <f t="shared" si="118"/>
        <v>0.42638592992181823</v>
      </c>
      <c r="I180" s="63">
        <f t="shared" si="118"/>
        <v>0.70969196398752898</v>
      </c>
      <c r="J180" s="63">
        <f t="shared" si="118"/>
        <v>0.38775865254502095</v>
      </c>
      <c r="K180" s="63">
        <f t="shared" si="118"/>
        <v>0.35037227817269945</v>
      </c>
      <c r="L180" s="63">
        <f t="shared" si="118"/>
        <v>0.34049158869611751</v>
      </c>
      <c r="M180" s="63">
        <f t="shared" si="118"/>
        <v>0.32088338657549875</v>
      </c>
      <c r="N180" s="63">
        <f t="shared" si="118"/>
        <v>0.33161318521815408</v>
      </c>
      <c r="O180" s="63">
        <f t="shared" si="118"/>
        <v>0.29774629615677273</v>
      </c>
      <c r="P180" s="63">
        <f t="shared" si="118"/>
        <v>0.26554215612562326</v>
      </c>
      <c r="R180" s="109"/>
      <c r="S180" s="109"/>
    </row>
    <row r="181" spans="1:19" x14ac:dyDescent="0.2">
      <c r="A181" s="129" t="s">
        <v>69</v>
      </c>
      <c r="E181" s="43">
        <v>15.149016392543086</v>
      </c>
      <c r="F181" s="43">
        <v>16.713958749089464</v>
      </c>
      <c r="G181" s="43">
        <v>21.390371564490174</v>
      </c>
      <c r="H181" s="43">
        <v>30.234455409965445</v>
      </c>
      <c r="I181" s="43">
        <v>50.399775816197497</v>
      </c>
      <c r="J181" s="43">
        <v>70.356714624712836</v>
      </c>
      <c r="K181" s="43">
        <v>95.955681704678568</v>
      </c>
      <c r="L181" s="43">
        <v>129.89532010498624</v>
      </c>
      <c r="M181" s="43">
        <v>173.32518020411717</v>
      </c>
      <c r="N181" s="43">
        <v>233.59740722248608</v>
      </c>
      <c r="O181" s="43">
        <v>307.04747642246895</v>
      </c>
      <c r="P181" s="43">
        <v>393.6315210026824</v>
      </c>
      <c r="R181" s="57"/>
      <c r="S181" s="57">
        <f>(P181/J181)^(1/6)-1</f>
        <v>0.33238802106934684</v>
      </c>
    </row>
    <row r="182" spans="1:19" x14ac:dyDescent="0.2">
      <c r="A182" s="12" t="s">
        <v>4</v>
      </c>
      <c r="E182" s="63"/>
      <c r="F182" s="63">
        <f t="shared" ref="F182:P182" si="119">F181/E181-1</f>
        <v>0.10330323210401327</v>
      </c>
      <c r="G182" s="63">
        <f t="shared" si="119"/>
        <v>0.27979085539238091</v>
      </c>
      <c r="H182" s="63">
        <f t="shared" si="119"/>
        <v>0.41346097326131526</v>
      </c>
      <c r="I182" s="63">
        <f t="shared" si="119"/>
        <v>0.66696489593741615</v>
      </c>
      <c r="J182" s="63">
        <f t="shared" si="119"/>
        <v>0.39597276942850157</v>
      </c>
      <c r="K182" s="63">
        <f t="shared" si="119"/>
        <v>0.36384540148743794</v>
      </c>
      <c r="L182" s="63">
        <f t="shared" si="119"/>
        <v>0.35370118576993925</v>
      </c>
      <c r="M182" s="63">
        <f t="shared" si="119"/>
        <v>0.3343450715855607</v>
      </c>
      <c r="N182" s="63">
        <f t="shared" si="119"/>
        <v>0.34774074342452166</v>
      </c>
      <c r="O182" s="63">
        <f t="shared" si="119"/>
        <v>0.31443015602491919</v>
      </c>
      <c r="P182" s="63">
        <f t="shared" si="119"/>
        <v>0.28198910992214699</v>
      </c>
      <c r="R182" s="109"/>
      <c r="S182" s="109"/>
    </row>
    <row r="183" spans="1:19" x14ac:dyDescent="0.2">
      <c r="A183" s="129" t="s">
        <v>72</v>
      </c>
      <c r="E183" s="43">
        <v>9.7722120391510892</v>
      </c>
      <c r="F183" s="43">
        <v>10.822635358158525</v>
      </c>
      <c r="G183" s="43">
        <v>13.902732440031265</v>
      </c>
      <c r="H183" s="43">
        <v>20.033957602004278</v>
      </c>
      <c r="I183" s="43">
        <v>34.7049171826011</v>
      </c>
      <c r="J183" s="43">
        <v>48.079970392802664</v>
      </c>
      <c r="K183" s="43">
        <v>65.322715228060119</v>
      </c>
      <c r="L183" s="43">
        <v>87.595640552209929</v>
      </c>
      <c r="M183" s="43">
        <v>115.77931719845631</v>
      </c>
      <c r="N183" s="43">
        <v>154.43031757601349</v>
      </c>
      <c r="O183" s="43">
        <v>200.85261435291326</v>
      </c>
      <c r="P183" s="43">
        <v>254.81814733553054</v>
      </c>
      <c r="R183" s="57"/>
      <c r="S183" s="57">
        <f>(P183/J183)^(1/6)-1</f>
        <v>0.32041675656021096</v>
      </c>
    </row>
    <row r="184" spans="1:19" x14ac:dyDescent="0.2">
      <c r="A184" s="12" t="s">
        <v>4</v>
      </c>
      <c r="E184" s="63"/>
      <c r="F184" s="63">
        <f t="shared" ref="F184:P184" si="120">F183/E183-1</f>
        <v>0.10749084391528263</v>
      </c>
      <c r="G184" s="63">
        <f t="shared" si="120"/>
        <v>0.28459769547265057</v>
      </c>
      <c r="H184" s="63">
        <f t="shared" si="120"/>
        <v>0.44100864261178474</v>
      </c>
      <c r="I184" s="63">
        <f t="shared" si="120"/>
        <v>0.73230461359911625</v>
      </c>
      <c r="J184" s="63">
        <f t="shared" si="120"/>
        <v>0.38539360690095492</v>
      </c>
      <c r="K184" s="63">
        <f t="shared" si="120"/>
        <v>0.3586263613389955</v>
      </c>
      <c r="L184" s="63">
        <f t="shared" si="120"/>
        <v>0.34096753704111515</v>
      </c>
      <c r="M184" s="63">
        <f t="shared" si="120"/>
        <v>0.32174748045192914</v>
      </c>
      <c r="N184" s="63">
        <f t="shared" si="120"/>
        <v>0.33383337639922206</v>
      </c>
      <c r="O184" s="63">
        <f t="shared" si="120"/>
        <v>0.30060351817932274</v>
      </c>
      <c r="P184" s="63">
        <f t="shared" si="120"/>
        <v>0.26868225318588945</v>
      </c>
      <c r="R184" s="109"/>
      <c r="S184" s="109"/>
    </row>
    <row r="185" spans="1:19" x14ac:dyDescent="0.2">
      <c r="A185" s="129" t="s">
        <v>74</v>
      </c>
      <c r="E185" s="43">
        <v>8.6762162515881549</v>
      </c>
      <c r="F185" s="43">
        <v>9.5844423961526033</v>
      </c>
      <c r="G185" s="43">
        <v>12.486914138078269</v>
      </c>
      <c r="H185" s="43">
        <v>17.732615115040126</v>
      </c>
      <c r="I185" s="43">
        <v>30.529983440180814</v>
      </c>
      <c r="J185" s="43">
        <v>42.736323773826946</v>
      </c>
      <c r="K185" s="43">
        <v>58.975192266004832</v>
      </c>
      <c r="L185" s="43">
        <v>80.523551452987434</v>
      </c>
      <c r="M185" s="43">
        <v>108.35541926583267</v>
      </c>
      <c r="N185" s="43">
        <v>147.20373760228159</v>
      </c>
      <c r="O185" s="43">
        <v>194.99516343523402</v>
      </c>
      <c r="P185" s="43">
        <v>251.90194667542917</v>
      </c>
      <c r="R185" s="57"/>
      <c r="S185" s="57">
        <f>(P185/J185)^(1/6)-1</f>
        <v>0.344019986820852</v>
      </c>
    </row>
    <row r="186" spans="1:19" x14ac:dyDescent="0.2">
      <c r="A186" s="12" t="s">
        <v>4</v>
      </c>
      <c r="E186" s="63"/>
      <c r="F186" s="63">
        <f t="shared" ref="F186:P186" si="121">F185/E185-1</f>
        <v>0.10467998010056512</v>
      </c>
      <c r="G186" s="63">
        <f t="shared" si="121"/>
        <v>0.30283157036770114</v>
      </c>
      <c r="H186" s="63">
        <f t="shared" si="121"/>
        <v>0.42009586347401351</v>
      </c>
      <c r="I186" s="63">
        <f t="shared" si="121"/>
        <v>0.72168533756120667</v>
      </c>
      <c r="J186" s="63">
        <f t="shared" si="121"/>
        <v>0.39981483637430504</v>
      </c>
      <c r="K186" s="63">
        <f t="shared" si="121"/>
        <v>0.37997813237560396</v>
      </c>
      <c r="L186" s="63">
        <f t="shared" si="121"/>
        <v>0.36538005827585507</v>
      </c>
      <c r="M186" s="63">
        <f t="shared" si="121"/>
        <v>0.34563636738121861</v>
      </c>
      <c r="N186" s="63">
        <f t="shared" si="121"/>
        <v>0.35852676866249578</v>
      </c>
      <c r="O186" s="63">
        <f t="shared" si="121"/>
        <v>0.32466176886130693</v>
      </c>
      <c r="P186" s="63">
        <f t="shared" si="121"/>
        <v>0.29183689604227681</v>
      </c>
      <c r="R186" s="109"/>
      <c r="S186" s="109"/>
    </row>
    <row r="187" spans="1:19" x14ac:dyDescent="0.2">
      <c r="A187" s="129" t="s">
        <v>66</v>
      </c>
      <c r="E187" s="43">
        <v>6.3398014636472944</v>
      </c>
      <c r="F187" s="43">
        <v>7.0448908251939777</v>
      </c>
      <c r="G187" s="43">
        <v>9.2370486804196261</v>
      </c>
      <c r="H187" s="43">
        <v>13.221806199205957</v>
      </c>
      <c r="I187" s="43">
        <v>22.497443207458527</v>
      </c>
      <c r="J187" s="43">
        <v>31.254499760452155</v>
      </c>
      <c r="K187" s="43">
        <v>42.133719089418634</v>
      </c>
      <c r="L187" s="43">
        <v>56.336322902799964</v>
      </c>
      <c r="M187" s="43">
        <v>74.238690374451565</v>
      </c>
      <c r="N187" s="43">
        <v>98.706361313435707</v>
      </c>
      <c r="O187" s="43">
        <v>127.94957358576113</v>
      </c>
      <c r="P187" s="43">
        <v>161.765150465809</v>
      </c>
      <c r="R187" s="57"/>
      <c r="S187" s="57">
        <f>(P187/J187)^(1/6)-1</f>
        <v>0.31521090850366096</v>
      </c>
    </row>
    <row r="188" spans="1:19" x14ac:dyDescent="0.2">
      <c r="A188" s="12" t="s">
        <v>4</v>
      </c>
      <c r="E188" s="63"/>
      <c r="F188" s="63">
        <f t="shared" ref="F188:P188" si="122">F187/E187-1</f>
        <v>0.11121631577734692</v>
      </c>
      <c r="G188" s="63">
        <f t="shared" si="122"/>
        <v>0.31116988319904704</v>
      </c>
      <c r="H188" s="63">
        <f t="shared" si="122"/>
        <v>0.43138860220939201</v>
      </c>
      <c r="I188" s="63">
        <f t="shared" si="122"/>
        <v>0.70154083855877603</v>
      </c>
      <c r="J188" s="63">
        <f t="shared" si="122"/>
        <v>0.38924674560753725</v>
      </c>
      <c r="K188" s="63">
        <f t="shared" si="122"/>
        <v>0.34808489697001921</v>
      </c>
      <c r="L188" s="63">
        <f t="shared" si="122"/>
        <v>0.33708402961627337</v>
      </c>
      <c r="M188" s="63">
        <f t="shared" si="122"/>
        <v>0.31777664123623239</v>
      </c>
      <c r="N188" s="63">
        <f t="shared" si="122"/>
        <v>0.32958112293700181</v>
      </c>
      <c r="O188" s="63">
        <f t="shared" si="122"/>
        <v>0.2962647177264035</v>
      </c>
      <c r="P188" s="63">
        <f t="shared" si="122"/>
        <v>0.26428831243726036</v>
      </c>
      <c r="R188" s="109"/>
      <c r="S188" s="109"/>
    </row>
    <row r="189" spans="1:19" x14ac:dyDescent="0.2">
      <c r="A189" s="129" t="s">
        <v>67</v>
      </c>
      <c r="E189" s="43">
        <v>4.6920539511141879</v>
      </c>
      <c r="F189" s="43">
        <v>5.1160483616860866</v>
      </c>
      <c r="G189" s="43">
        <v>6.6095395317107757</v>
      </c>
      <c r="H189" s="43">
        <v>9.318409841083156</v>
      </c>
      <c r="I189" s="43">
        <v>16.186490089348606</v>
      </c>
      <c r="J189" s="43">
        <v>22.262478538258446</v>
      </c>
      <c r="K189" s="43">
        <v>30.356124607314978</v>
      </c>
      <c r="L189" s="43">
        <v>40.886070969902278</v>
      </c>
      <c r="M189" s="43">
        <v>54.263771674020532</v>
      </c>
      <c r="N189" s="43">
        <v>72.628145450914815</v>
      </c>
      <c r="O189" s="43">
        <v>94.743926080531963</v>
      </c>
      <c r="P189" s="43">
        <v>120.52274253856962</v>
      </c>
      <c r="R189" s="57"/>
      <c r="S189" s="57">
        <f>(P189/J189)^(1/6)-1</f>
        <v>0.32510181440932162</v>
      </c>
    </row>
    <row r="190" spans="1:19" x14ac:dyDescent="0.2">
      <c r="A190" s="12" t="s">
        <v>4</v>
      </c>
      <c r="E190" s="63"/>
      <c r="F190" s="63">
        <f t="shared" ref="F190:P190" si="123">F189/E189-1</f>
        <v>9.0364351090041373E-2</v>
      </c>
      <c r="G190" s="63">
        <f t="shared" si="123"/>
        <v>0.29192280143584926</v>
      </c>
      <c r="H190" s="63">
        <f t="shared" si="123"/>
        <v>0.40984251571171582</v>
      </c>
      <c r="I190" s="63">
        <f t="shared" si="123"/>
        <v>0.73704423452007295</v>
      </c>
      <c r="J190" s="63">
        <f t="shared" si="123"/>
        <v>0.37537405672080171</v>
      </c>
      <c r="K190" s="63">
        <f t="shared" si="123"/>
        <v>0.36355547991421822</v>
      </c>
      <c r="L190" s="63">
        <f t="shared" si="123"/>
        <v>0.34688045654055188</v>
      </c>
      <c r="M190" s="63">
        <f t="shared" si="123"/>
        <v>0.32719457719393152</v>
      </c>
      <c r="N190" s="63">
        <f t="shared" si="123"/>
        <v>0.33842789047570876</v>
      </c>
      <c r="O190" s="63">
        <f t="shared" si="123"/>
        <v>0.30450702674989727</v>
      </c>
      <c r="P190" s="63">
        <f t="shared" si="123"/>
        <v>0.27208938371548763</v>
      </c>
      <c r="R190" s="109"/>
      <c r="S190" s="109"/>
    </row>
    <row r="191" spans="1:19" x14ac:dyDescent="0.2">
      <c r="A191" s="129" t="s">
        <v>70</v>
      </c>
      <c r="E191" s="43">
        <v>5.4629883614181631</v>
      </c>
      <c r="F191" s="43">
        <v>5.9887125598581799</v>
      </c>
      <c r="G191" s="43">
        <v>7.8450897961984429</v>
      </c>
      <c r="H191" s="43">
        <v>10.971929131097907</v>
      </c>
      <c r="I191" s="43">
        <v>18.603199929062203</v>
      </c>
      <c r="J191" s="43">
        <v>25.890587202502253</v>
      </c>
      <c r="K191" s="43">
        <v>35.175233590754736</v>
      </c>
      <c r="L191" s="43">
        <v>47.316375945132606</v>
      </c>
      <c r="M191" s="43">
        <v>62.735807952574106</v>
      </c>
      <c r="N191" s="43">
        <v>84.001848882689444</v>
      </c>
      <c r="O191" s="43">
        <v>109.68942383556197</v>
      </c>
      <c r="P191" s="43">
        <v>139.69468899804718</v>
      </c>
      <c r="R191" s="57"/>
      <c r="S191" s="57">
        <f>(P191/J191)^(1/6)-1</f>
        <v>0.32436084558153455</v>
      </c>
    </row>
    <row r="192" spans="1:19" x14ac:dyDescent="0.2">
      <c r="A192" s="12" t="s">
        <v>4</v>
      </c>
      <c r="E192" s="63"/>
      <c r="F192" s="63">
        <f t="shared" ref="F192:P192" si="124">F191/E191-1</f>
        <v>9.6233812642343208E-2</v>
      </c>
      <c r="G192" s="63">
        <f t="shared" si="124"/>
        <v>0.30997935161947798</v>
      </c>
      <c r="H192" s="63">
        <f t="shared" si="124"/>
        <v>0.39857279089586228</v>
      </c>
      <c r="I192" s="63">
        <f t="shared" si="124"/>
        <v>0.69552680360784214</v>
      </c>
      <c r="J192" s="63">
        <f t="shared" si="124"/>
        <v>0.39172762219555479</v>
      </c>
      <c r="K192" s="63">
        <f t="shared" si="124"/>
        <v>0.35861088493794946</v>
      </c>
      <c r="L192" s="63">
        <f t="shared" si="124"/>
        <v>0.34516166958928118</v>
      </c>
      <c r="M192" s="63">
        <f t="shared" si="124"/>
        <v>0.32587939586331904</v>
      </c>
      <c r="N192" s="63">
        <f t="shared" si="124"/>
        <v>0.33897771662065246</v>
      </c>
      <c r="O192" s="63">
        <f t="shared" si="124"/>
        <v>0.30579773296116164</v>
      </c>
      <c r="P192" s="63">
        <f t="shared" si="124"/>
        <v>0.27354747717033168</v>
      </c>
      <c r="R192" s="109"/>
      <c r="S192" s="109"/>
    </row>
    <row r="193" spans="1:19" x14ac:dyDescent="0.2">
      <c r="A193" s="129" t="s">
        <v>68</v>
      </c>
      <c r="E193" s="43">
        <v>5.5306478214327086</v>
      </c>
      <c r="F193" s="43">
        <v>5.9376745867600382</v>
      </c>
      <c r="G193" s="43">
        <v>7.7463870893955535</v>
      </c>
      <c r="H193" s="43">
        <v>10.820348189000095</v>
      </c>
      <c r="I193" s="43">
        <v>17.869182693634151</v>
      </c>
      <c r="J193" s="43">
        <v>24.912487787984197</v>
      </c>
      <c r="K193" s="43">
        <v>34.103295044719658</v>
      </c>
      <c r="L193" s="43">
        <v>46.260002239009765</v>
      </c>
      <c r="M193" s="43">
        <v>61.865363643470999</v>
      </c>
      <c r="N193" s="43">
        <v>83.609402710258195</v>
      </c>
      <c r="O193" s="43">
        <v>110.2368292789247</v>
      </c>
      <c r="P193" s="43">
        <v>141.78221028627732</v>
      </c>
      <c r="R193" s="57"/>
      <c r="S193" s="57">
        <f>(P193/J193)^(1/6)-1</f>
        <v>0.33618761069001879</v>
      </c>
    </row>
    <row r="194" spans="1:19" x14ac:dyDescent="0.2">
      <c r="A194" s="12" t="s">
        <v>4</v>
      </c>
      <c r="E194" s="63"/>
      <c r="F194" s="63">
        <f t="shared" ref="F194:P194" si="125">F193/E193-1</f>
        <v>7.3594771981321028E-2</v>
      </c>
      <c r="G194" s="63">
        <f t="shared" si="125"/>
        <v>0.30461630663772366</v>
      </c>
      <c r="H194" s="63">
        <f t="shared" si="125"/>
        <v>0.39682513462471447</v>
      </c>
      <c r="I194" s="63">
        <f t="shared" si="125"/>
        <v>0.65144248424462559</v>
      </c>
      <c r="J194" s="63">
        <f t="shared" si="125"/>
        <v>0.39415933090544786</v>
      </c>
      <c r="K194" s="63">
        <f t="shared" si="125"/>
        <v>0.36892370344355463</v>
      </c>
      <c r="L194" s="63">
        <f t="shared" si="125"/>
        <v>0.35646723222342636</v>
      </c>
      <c r="M194" s="63">
        <f t="shared" si="125"/>
        <v>0.33734026478930157</v>
      </c>
      <c r="N194" s="63">
        <f t="shared" si="125"/>
        <v>0.3514735513735554</v>
      </c>
      <c r="O194" s="63">
        <f t="shared" si="125"/>
        <v>0.3184740675751716</v>
      </c>
      <c r="P194" s="63">
        <f t="shared" si="125"/>
        <v>0.28616009017762556</v>
      </c>
      <c r="R194" s="109"/>
      <c r="S194" s="109"/>
    </row>
    <row r="195" spans="1:19" x14ac:dyDescent="0.2">
      <c r="A195" s="129" t="s">
        <v>73</v>
      </c>
      <c r="E195" s="43">
        <v>0.86631006065411698</v>
      </c>
      <c r="F195" s="43">
        <v>0.95466206710034629</v>
      </c>
      <c r="G195" s="43">
        <v>1.225460509948147</v>
      </c>
      <c r="H195" s="43">
        <v>1.7405668281288686</v>
      </c>
      <c r="I195" s="43">
        <v>2.795021758665845</v>
      </c>
      <c r="J195" s="43">
        <v>3.8499829384017574</v>
      </c>
      <c r="K195" s="43">
        <v>5.2492049557559248</v>
      </c>
      <c r="L195" s="43">
        <v>7.0764649392030305</v>
      </c>
      <c r="M195" s="43">
        <v>9.4108431122259528</v>
      </c>
      <c r="N195" s="43">
        <v>12.663713593037562</v>
      </c>
      <c r="O195" s="43">
        <v>16.639393345988061</v>
      </c>
      <c r="P195" s="43">
        <v>21.340559528826414</v>
      </c>
      <c r="R195" s="57"/>
      <c r="S195" s="57">
        <f>(P195/J195)^(1/6)-1</f>
        <v>0.33032524585208756</v>
      </c>
    </row>
    <row r="196" spans="1:19" x14ac:dyDescent="0.2">
      <c r="A196" s="12" t="s">
        <v>4</v>
      </c>
      <c r="E196" s="63"/>
      <c r="F196" s="63">
        <f t="shared" ref="F196:P196" si="126">F195/E195-1</f>
        <v>0.10198658708813579</v>
      </c>
      <c r="G196" s="63">
        <f t="shared" si="126"/>
        <v>0.28365895344549874</v>
      </c>
      <c r="H196" s="63">
        <f t="shared" si="126"/>
        <v>0.4203369378279822</v>
      </c>
      <c r="I196" s="63">
        <f t="shared" si="126"/>
        <v>0.60581122970758261</v>
      </c>
      <c r="J196" s="63">
        <f t="shared" si="126"/>
        <v>0.37744292203273577</v>
      </c>
      <c r="K196" s="63">
        <f t="shared" si="126"/>
        <v>0.36343590081856991</v>
      </c>
      <c r="L196" s="63">
        <f t="shared" si="126"/>
        <v>0.34810223621454428</v>
      </c>
      <c r="M196" s="63">
        <f t="shared" si="126"/>
        <v>0.32987914065547908</v>
      </c>
      <c r="N196" s="63">
        <f t="shared" si="126"/>
        <v>0.34565133453193919</v>
      </c>
      <c r="O196" s="63">
        <f t="shared" si="126"/>
        <v>0.31394264594994525</v>
      </c>
      <c r="P196" s="63">
        <f t="shared" si="126"/>
        <v>0.28253230662233575</v>
      </c>
      <c r="R196" s="109"/>
      <c r="S196" s="109"/>
    </row>
    <row r="197" spans="1:19" x14ac:dyDescent="0.2">
      <c r="A197" s="129" t="s">
        <v>65</v>
      </c>
      <c r="E197" s="43">
        <v>1.1487717200289849</v>
      </c>
      <c r="F197" s="43">
        <v>1.3691398086571149</v>
      </c>
      <c r="G197" s="43">
        <v>1.9098465246794036</v>
      </c>
      <c r="H197" s="43">
        <v>2.902223592144757</v>
      </c>
      <c r="I197" s="43">
        <v>5.268298351920869</v>
      </c>
      <c r="J197" s="43">
        <v>7.7865265725031936</v>
      </c>
      <c r="K197" s="43">
        <v>11.212158700034452</v>
      </c>
      <c r="L197" s="43">
        <v>15.945417228842217</v>
      </c>
      <c r="M197" s="43">
        <v>22.289840070711328</v>
      </c>
      <c r="N197" s="43">
        <v>31.37023532368795</v>
      </c>
      <c r="O197" s="43">
        <v>42.952287336089412</v>
      </c>
      <c r="P197" s="43">
        <v>57.243646217058377</v>
      </c>
      <c r="R197" s="57"/>
      <c r="S197" s="57">
        <f>(P197/J197)^(1/6)-1</f>
        <v>0.39443171929813348</v>
      </c>
    </row>
    <row r="198" spans="1:19" x14ac:dyDescent="0.2">
      <c r="A198" s="12" t="s">
        <v>4</v>
      </c>
      <c r="E198" s="63"/>
      <c r="F198" s="63">
        <f t="shared" ref="F198:P198" si="127">F197/E197-1</f>
        <v>0.19182931193898978</v>
      </c>
      <c r="G198" s="63">
        <f t="shared" si="127"/>
        <v>0.39492439895720133</v>
      </c>
      <c r="H198" s="63">
        <f t="shared" si="127"/>
        <v>0.51961089786098835</v>
      </c>
      <c r="I198" s="63">
        <f t="shared" si="127"/>
        <v>0.81526274067242754</v>
      </c>
      <c r="J198" s="63">
        <f t="shared" si="127"/>
        <v>0.47799650899880342</v>
      </c>
      <c r="K198" s="63">
        <f t="shared" si="127"/>
        <v>0.4399435480806424</v>
      </c>
      <c r="L198" s="63">
        <f t="shared" si="127"/>
        <v>0.42215407892801426</v>
      </c>
      <c r="M198" s="63">
        <f t="shared" si="127"/>
        <v>0.39788377756546001</v>
      </c>
      <c r="N198" s="63">
        <f t="shared" si="127"/>
        <v>0.4073782146561109</v>
      </c>
      <c r="O198" s="63">
        <f t="shared" si="127"/>
        <v>0.36920513642611241</v>
      </c>
      <c r="P198" s="63">
        <f t="shared" si="127"/>
        <v>0.33272637541146888</v>
      </c>
      <c r="R198" s="109"/>
      <c r="S198" s="109"/>
    </row>
    <row r="199" spans="1:19" x14ac:dyDescent="0.2">
      <c r="A199" s="129" t="s">
        <v>71</v>
      </c>
      <c r="E199" s="43">
        <v>0.69219255485784204</v>
      </c>
      <c r="F199" s="43">
        <v>0.822504480127632</v>
      </c>
      <c r="G199" s="43">
        <v>1.0211362544888016</v>
      </c>
      <c r="H199" s="43">
        <v>1.4992286187194106</v>
      </c>
      <c r="I199" s="43">
        <v>2.6569839029749982</v>
      </c>
      <c r="J199" s="43">
        <v>3.7995603368408868</v>
      </c>
      <c r="K199" s="43">
        <v>5.2257835499120073</v>
      </c>
      <c r="L199" s="43">
        <v>7.0042213861009692</v>
      </c>
      <c r="M199" s="43">
        <v>9.2429836913884991</v>
      </c>
      <c r="N199" s="43">
        <v>12.310392061832767</v>
      </c>
      <c r="O199" s="43">
        <v>15.967824139144428</v>
      </c>
      <c r="P199" s="43">
        <v>20.167221109893116</v>
      </c>
      <c r="R199" s="57"/>
      <c r="S199" s="57">
        <f>(P199/J199)^(1/6)-1</f>
        <v>0.32074442368694234</v>
      </c>
    </row>
    <row r="200" spans="1:19" x14ac:dyDescent="0.2">
      <c r="A200" s="12" t="s">
        <v>4</v>
      </c>
      <c r="E200" s="63"/>
      <c r="F200" s="63">
        <f t="shared" ref="F200:P200" si="128">F199/E199-1</f>
        <v>0.18825964589658528</v>
      </c>
      <c r="G200" s="63">
        <f t="shared" si="128"/>
        <v>0.24149628258601941</v>
      </c>
      <c r="H200" s="63">
        <f t="shared" si="128"/>
        <v>0.46819644501795721</v>
      </c>
      <c r="I200" s="63">
        <f t="shared" si="128"/>
        <v>0.77223398072837091</v>
      </c>
      <c r="J200" s="63">
        <f t="shared" si="128"/>
        <v>0.43002760859279476</v>
      </c>
      <c r="K200" s="63">
        <f t="shared" si="128"/>
        <v>0.3753653282571483</v>
      </c>
      <c r="L200" s="63">
        <f t="shared" si="128"/>
        <v>0.34031984279542304</v>
      </c>
      <c r="M200" s="63">
        <f t="shared" si="128"/>
        <v>0.31963043168939276</v>
      </c>
      <c r="N200" s="63">
        <f t="shared" si="128"/>
        <v>0.33186344073095242</v>
      </c>
      <c r="O200" s="63">
        <f t="shared" si="128"/>
        <v>0.29710118564389121</v>
      </c>
      <c r="P200" s="63">
        <f t="shared" si="128"/>
        <v>0.26299118365501339</v>
      </c>
      <c r="R200" s="109"/>
      <c r="S200" s="109"/>
    </row>
    <row r="201" spans="1:19" x14ac:dyDescent="0.2">
      <c r="A201" s="129" t="s">
        <v>80</v>
      </c>
      <c r="E201" s="46">
        <v>3.420411228244213</v>
      </c>
      <c r="F201" s="46">
        <v>3.6341624954388942</v>
      </c>
      <c r="G201" s="46">
        <v>4.539284325507043</v>
      </c>
      <c r="H201" s="46">
        <v>6.1984874185620384</v>
      </c>
      <c r="I201" s="46">
        <v>10.139062051543172</v>
      </c>
      <c r="J201" s="46">
        <v>13.532147401403257</v>
      </c>
      <c r="K201" s="46">
        <v>17.622922112794264</v>
      </c>
      <c r="L201" s="46">
        <v>22.68971390663906</v>
      </c>
      <c r="M201" s="46">
        <v>28.729306982124044</v>
      </c>
      <c r="N201" s="46">
        <v>36.624368932236166</v>
      </c>
      <c r="O201" s="46">
        <v>45.401554164823246</v>
      </c>
      <c r="P201" s="46">
        <v>54.729864461679696</v>
      </c>
      <c r="R201" s="57"/>
      <c r="S201" s="57">
        <f>(P201/J201)^(1/6)-1</f>
        <v>0.26224291636952191</v>
      </c>
    </row>
    <row r="202" spans="1:19" x14ac:dyDescent="0.2">
      <c r="A202" s="12" t="s">
        <v>4</v>
      </c>
      <c r="E202" s="63"/>
      <c r="F202" s="63">
        <f t="shared" ref="F202:P202" si="129">F201/E201-1</f>
        <v>6.2492856247698958E-2</v>
      </c>
      <c r="G202" s="63">
        <f t="shared" si="129"/>
        <v>0.2490592622658272</v>
      </c>
      <c r="H202" s="63">
        <f t="shared" si="129"/>
        <v>0.36552085616925112</v>
      </c>
      <c r="I202" s="63">
        <f t="shared" si="129"/>
        <v>0.63573164981841512</v>
      </c>
      <c r="J202" s="63">
        <f t="shared" si="129"/>
        <v>0.33465475727546767</v>
      </c>
      <c r="K202" s="63">
        <f t="shared" si="129"/>
        <v>0.30230048417642874</v>
      </c>
      <c r="L202" s="63">
        <f t="shared" si="129"/>
        <v>0.28751144455018052</v>
      </c>
      <c r="M202" s="63">
        <f t="shared" si="129"/>
        <v>0.26618198450346187</v>
      </c>
      <c r="N202" s="63">
        <f t="shared" si="129"/>
        <v>0.27480864592468546</v>
      </c>
      <c r="O202" s="63">
        <f t="shared" si="129"/>
        <v>0.23965423810651787</v>
      </c>
      <c r="P202" s="63">
        <f t="shared" si="129"/>
        <v>0.20546235626629605</v>
      </c>
      <c r="R202" s="109"/>
      <c r="S202" s="109"/>
    </row>
    <row r="203" spans="1:19" x14ac:dyDescent="0.2">
      <c r="A203" s="129" t="s">
        <v>76</v>
      </c>
      <c r="E203" s="43">
        <v>9.0880495485621289</v>
      </c>
      <c r="F203" s="43">
        <v>10.044726375430226</v>
      </c>
      <c r="G203" s="43">
        <v>13.101186666534138</v>
      </c>
      <c r="H203" s="43">
        <v>18.364409405742688</v>
      </c>
      <c r="I203" s="43">
        <v>31.41676275827227</v>
      </c>
      <c r="J203" s="43">
        <v>43.795783542309579</v>
      </c>
      <c r="K203" s="43">
        <v>59.431599844463541</v>
      </c>
      <c r="L203" s="43">
        <v>79.86582198985262</v>
      </c>
      <c r="M203" s="43">
        <v>105.77928975655324</v>
      </c>
      <c r="N203" s="43">
        <v>141.38532252979465</v>
      </c>
      <c r="O203" s="43">
        <v>184.25351766720274</v>
      </c>
      <c r="P203" s="43">
        <v>234.19462244197277</v>
      </c>
      <c r="R203" s="109"/>
      <c r="S203" s="109"/>
    </row>
    <row r="204" spans="1:19" x14ac:dyDescent="0.2">
      <c r="A204" s="12" t="s">
        <v>4</v>
      </c>
      <c r="F204" s="63">
        <f t="shared" ref="F204:P204" si="130">F203/E203-1</f>
        <v>0.10526756283139527</v>
      </c>
      <c r="G204" s="63">
        <f t="shared" si="130"/>
        <v>0.30428507227236445</v>
      </c>
      <c r="H204" s="63">
        <f t="shared" si="130"/>
        <v>0.40173633680474174</v>
      </c>
      <c r="I204" s="63">
        <f t="shared" si="130"/>
        <v>0.71074179757983469</v>
      </c>
      <c r="J204" s="63">
        <f t="shared" si="130"/>
        <v>0.3940259815845546</v>
      </c>
      <c r="K204" s="63">
        <f t="shared" si="130"/>
        <v>0.35701647595935215</v>
      </c>
      <c r="L204" s="63">
        <f t="shared" si="130"/>
        <v>0.34382756309550477</v>
      </c>
      <c r="M204" s="63">
        <f t="shared" si="130"/>
        <v>0.32446254381496331</v>
      </c>
      <c r="N204" s="63">
        <f t="shared" si="130"/>
        <v>0.33660684293860599</v>
      </c>
      <c r="O204" s="63">
        <f t="shared" si="130"/>
        <v>0.30320116947340359</v>
      </c>
      <c r="P204" s="63">
        <f t="shared" si="130"/>
        <v>0.27104559743045598</v>
      </c>
      <c r="R204" s="109"/>
      <c r="S204" s="109"/>
    </row>
    <row r="205" spans="1:19" x14ac:dyDescent="0.2">
      <c r="A205" s="23" t="s">
        <v>23</v>
      </c>
      <c r="E205" s="56">
        <f t="shared" ref="E205:P205" si="131">E203+E201+E199+E197+E195+E193+E191+E189+E187+E185+E183+E181+E179</f>
        <v>90.797826040000004</v>
      </c>
      <c r="F205" s="56">
        <f t="shared" si="131"/>
        <v>99.920608090000016</v>
      </c>
      <c r="G205" s="56">
        <f t="shared" si="131"/>
        <v>129.44211840000003</v>
      </c>
      <c r="H205" s="56">
        <f t="shared" si="131"/>
        <v>183.5864826000001</v>
      </c>
      <c r="I205" s="56">
        <f t="shared" si="131"/>
        <v>312.39178830000014</v>
      </c>
      <c r="J205" s="56">
        <f t="shared" si="131"/>
        <v>434.46296950000038</v>
      </c>
      <c r="K205" s="56">
        <f t="shared" si="131"/>
        <v>590.67742000083717</v>
      </c>
      <c r="L205" s="56">
        <f t="shared" si="131"/>
        <v>795.54326543923924</v>
      </c>
      <c r="M205" s="56">
        <f t="shared" si="131"/>
        <v>1056.0454654377133</v>
      </c>
      <c r="N205" s="56">
        <f t="shared" si="131"/>
        <v>1414.8417701429009</v>
      </c>
      <c r="O205" s="56">
        <f t="shared" si="131"/>
        <v>1848.2429224828882</v>
      </c>
      <c r="P205" s="56">
        <f t="shared" si="131"/>
        <v>2354.8622089838227</v>
      </c>
      <c r="R205" s="57"/>
      <c r="S205" s="57">
        <f>(P205/J205)^(1/6)-1</f>
        <v>0.32536487188592722</v>
      </c>
    </row>
    <row r="206" spans="1:19" x14ac:dyDescent="0.2">
      <c r="A206" s="19" t="s">
        <v>4</v>
      </c>
      <c r="E206" s="59"/>
      <c r="F206" s="59">
        <f t="shared" ref="F206:P206" si="132">F205/E205-1</f>
        <v>0.10047357351905184</v>
      </c>
      <c r="G206" s="59">
        <f t="shared" si="132"/>
        <v>0.2954496662331112</v>
      </c>
      <c r="H206" s="59">
        <f t="shared" si="132"/>
        <v>0.41829015832917693</v>
      </c>
      <c r="I206" s="59">
        <f t="shared" si="132"/>
        <v>0.70160560775404268</v>
      </c>
      <c r="J206" s="59">
        <f t="shared" si="132"/>
        <v>0.39076309228324302</v>
      </c>
      <c r="K206" s="59">
        <f t="shared" si="132"/>
        <v>0.35955757214617257</v>
      </c>
      <c r="L206" s="59">
        <f t="shared" si="132"/>
        <v>0.34683202455599482</v>
      </c>
      <c r="M206" s="59">
        <f t="shared" si="132"/>
        <v>0.32745195807124872</v>
      </c>
      <c r="N206" s="59">
        <f t="shared" si="132"/>
        <v>0.33975460001286262</v>
      </c>
      <c r="O206" s="59">
        <f t="shared" si="132"/>
        <v>0.30632482125277738</v>
      </c>
      <c r="P206" s="59">
        <f t="shared" si="132"/>
        <v>0.27410860354890665</v>
      </c>
      <c r="R206" s="109"/>
      <c r="S206" s="109"/>
    </row>
    <row r="207" spans="1:19" x14ac:dyDescent="0.2">
      <c r="R207" s="109"/>
      <c r="S207" s="109"/>
    </row>
    <row r="208" spans="1:19" x14ac:dyDescent="0.2">
      <c r="A208" s="67" t="s">
        <v>63</v>
      </c>
      <c r="R208" s="109"/>
      <c r="S208" s="109"/>
    </row>
    <row r="209" spans="1:19" x14ac:dyDescent="0.2">
      <c r="A209" s="68" t="s">
        <v>82</v>
      </c>
      <c r="E209" s="46">
        <v>3.420411228244213</v>
      </c>
      <c r="F209" s="46">
        <v>3.6341624954388942</v>
      </c>
      <c r="G209" s="46">
        <v>4.539284325507043</v>
      </c>
      <c r="H209" s="46">
        <v>6.1984874185620384</v>
      </c>
      <c r="I209" s="46">
        <v>10.139062051543172</v>
      </c>
      <c r="J209" s="46">
        <v>13.532147401403257</v>
      </c>
      <c r="K209" s="46">
        <v>17.622922112794264</v>
      </c>
      <c r="L209" s="46">
        <v>22.68971390663906</v>
      </c>
      <c r="M209" s="46">
        <v>28.729306982124044</v>
      </c>
      <c r="N209" s="46">
        <v>36.624368932236166</v>
      </c>
      <c r="O209" s="46">
        <v>45.401554164823246</v>
      </c>
      <c r="P209" s="46">
        <v>54.729864461679696</v>
      </c>
      <c r="R209" s="57"/>
      <c r="S209" s="57">
        <f>(P209/J209)^(1/6)-1</f>
        <v>0.26224291636952191</v>
      </c>
    </row>
    <row r="210" spans="1:19" x14ac:dyDescent="0.2">
      <c r="A210" s="62" t="s">
        <v>4</v>
      </c>
      <c r="F210" s="63">
        <f t="shared" ref="F210:P210" si="133">F209/E209-1</f>
        <v>6.2492856247698958E-2</v>
      </c>
      <c r="G210" s="63">
        <f t="shared" si="133"/>
        <v>0.2490592622658272</v>
      </c>
      <c r="H210" s="63">
        <f t="shared" si="133"/>
        <v>0.36552085616925112</v>
      </c>
      <c r="I210" s="63">
        <f t="shared" si="133"/>
        <v>0.63573164981841512</v>
      </c>
      <c r="J210" s="63">
        <f t="shared" si="133"/>
        <v>0.33465475727546767</v>
      </c>
      <c r="K210" s="63">
        <f t="shared" si="133"/>
        <v>0.30230048417642874</v>
      </c>
      <c r="L210" s="63">
        <f t="shared" si="133"/>
        <v>0.28751144455018052</v>
      </c>
      <c r="M210" s="63">
        <f t="shared" si="133"/>
        <v>0.26618198450346187</v>
      </c>
      <c r="N210" s="63">
        <f t="shared" si="133"/>
        <v>0.27480864592468546</v>
      </c>
      <c r="O210" s="63">
        <f t="shared" si="133"/>
        <v>0.23965423810651787</v>
      </c>
      <c r="P210" s="63">
        <f t="shared" si="133"/>
        <v>0.20546235626629605</v>
      </c>
      <c r="R210" s="109"/>
      <c r="S210" s="109"/>
    </row>
    <row r="211" spans="1:19" x14ac:dyDescent="0.2">
      <c r="A211" s="68" t="s">
        <v>10</v>
      </c>
      <c r="E211" s="46">
        <v>37.327320215613433</v>
      </c>
      <c r="F211" s="46">
        <v>39.804145927444068</v>
      </c>
      <c r="G211" s="46">
        <v>49.91147461865075</v>
      </c>
      <c r="H211" s="46">
        <v>68.440647231196877</v>
      </c>
      <c r="I211" s="46">
        <v>112.45599056461459</v>
      </c>
      <c r="J211" s="46">
        <v>150.82250673354082</v>
      </c>
      <c r="K211" s="46">
        <v>197.45593403718973</v>
      </c>
      <c r="L211" s="46">
        <v>255.69126403040656</v>
      </c>
      <c r="M211" s="46">
        <v>325.7889107325762</v>
      </c>
      <c r="N211" s="46">
        <v>418.18510711307931</v>
      </c>
      <c r="O211" s="46">
        <v>522.34744787252725</v>
      </c>
      <c r="P211" s="46">
        <v>634.97299762288105</v>
      </c>
      <c r="R211" s="57"/>
      <c r="S211" s="57">
        <f>(P211/J211)^(1/6)-1</f>
        <v>0.27071507966774622</v>
      </c>
    </row>
    <row r="212" spans="1:19" x14ac:dyDescent="0.2">
      <c r="A212" s="62" t="s">
        <v>4</v>
      </c>
      <c r="F212" s="63">
        <f t="shared" ref="F212:P212" si="134">F211/E211-1</f>
        <v>6.6354233240526472E-2</v>
      </c>
      <c r="G212" s="63">
        <f t="shared" si="134"/>
        <v>0.25392653091038708</v>
      </c>
      <c r="H212" s="63">
        <f t="shared" si="134"/>
        <v>0.37124073680688663</v>
      </c>
      <c r="I212" s="63">
        <f t="shared" si="134"/>
        <v>0.64311699427287827</v>
      </c>
      <c r="J212" s="63">
        <f t="shared" si="134"/>
        <v>0.34116916294362931</v>
      </c>
      <c r="K212" s="63">
        <f t="shared" si="134"/>
        <v>0.30919408723285913</v>
      </c>
      <c r="L212" s="63">
        <f t="shared" si="134"/>
        <v>0.29492823437885907</v>
      </c>
      <c r="M212" s="63">
        <f t="shared" si="134"/>
        <v>0.27414955676324437</v>
      </c>
      <c r="N212" s="63">
        <f t="shared" si="134"/>
        <v>0.28360755488189882</v>
      </c>
      <c r="O212" s="63">
        <f t="shared" si="134"/>
        <v>0.24908189934961489</v>
      </c>
      <c r="P212" s="63">
        <f t="shared" si="134"/>
        <v>0.21561424337204516</v>
      </c>
      <c r="R212" s="109"/>
      <c r="S212" s="109"/>
    </row>
    <row r="213" spans="1:19" x14ac:dyDescent="0.2">
      <c r="A213" s="68" t="s">
        <v>11</v>
      </c>
      <c r="E213" s="46">
        <v>48.901322876113383</v>
      </c>
      <c r="F213" s="46">
        <v>55.113159858459973</v>
      </c>
      <c r="G213" s="46">
        <v>73.08151293116282</v>
      </c>
      <c r="H213" s="46">
        <v>106.04512435809652</v>
      </c>
      <c r="I213" s="46">
        <v>184.52843733192148</v>
      </c>
      <c r="J213" s="46">
        <v>262.32178879255315</v>
      </c>
      <c r="K213" s="46">
        <v>364.38640515081892</v>
      </c>
      <c r="L213" s="46">
        <v>501.21687027335122</v>
      </c>
      <c r="M213" s="46">
        <v>679.23740765230173</v>
      </c>
      <c r="N213" s="46">
        <v>928.66205877389757</v>
      </c>
      <c r="O213" s="46">
        <v>1237.5416331094482</v>
      </c>
      <c r="P213" s="46">
        <v>1607.9157006822038</v>
      </c>
      <c r="R213" s="57"/>
      <c r="S213" s="57">
        <f>(P213/J213)^(1/6)-1</f>
        <v>0.35281419549311854</v>
      </c>
    </row>
    <row r="214" spans="1:19" x14ac:dyDescent="0.2">
      <c r="A214" s="62" t="s">
        <v>4</v>
      </c>
      <c r="F214" s="63">
        <f t="shared" ref="F214:P214" si="135">F213/E213-1</f>
        <v>0.1270279946839814</v>
      </c>
      <c r="G214" s="63">
        <f t="shared" si="135"/>
        <v>0.32602654463740888</v>
      </c>
      <c r="H214" s="63">
        <f t="shared" si="135"/>
        <v>0.45105266851799986</v>
      </c>
      <c r="I214" s="63">
        <f t="shared" si="135"/>
        <v>0.74009355403082977</v>
      </c>
      <c r="J214" s="63">
        <f t="shared" si="135"/>
        <v>0.42157920256323678</v>
      </c>
      <c r="K214" s="63">
        <f t="shared" si="135"/>
        <v>0.38908173365263043</v>
      </c>
      <c r="L214" s="63">
        <f t="shared" si="135"/>
        <v>0.37550924839223465</v>
      </c>
      <c r="M214" s="63">
        <f t="shared" si="135"/>
        <v>0.35517666690241789</v>
      </c>
      <c r="N214" s="63">
        <f t="shared" si="135"/>
        <v>0.36721277172248312</v>
      </c>
      <c r="O214" s="63">
        <f t="shared" si="135"/>
        <v>0.3326070785570383</v>
      </c>
      <c r="P214" s="63">
        <f t="shared" si="135"/>
        <v>0.29928210709336178</v>
      </c>
      <c r="R214" s="109"/>
      <c r="S214" s="109"/>
    </row>
    <row r="215" spans="1:19" x14ac:dyDescent="0.2">
      <c r="A215" s="68" t="s">
        <v>22</v>
      </c>
      <c r="E215" s="43">
        <v>1.1487717200289849</v>
      </c>
      <c r="F215" s="43">
        <v>1.3691398086571149</v>
      </c>
      <c r="G215" s="43">
        <v>1.9098465246794036</v>
      </c>
      <c r="H215" s="43">
        <v>2.902223592144757</v>
      </c>
      <c r="I215" s="43">
        <v>5.268298351920869</v>
      </c>
      <c r="J215" s="43">
        <v>7.7865265725031936</v>
      </c>
      <c r="K215" s="43">
        <v>11.212158700034452</v>
      </c>
      <c r="L215" s="43">
        <v>15.945417228842217</v>
      </c>
      <c r="M215" s="43">
        <v>22.289840070711328</v>
      </c>
      <c r="N215" s="43">
        <v>31.37023532368795</v>
      </c>
      <c r="O215" s="43">
        <v>42.952287336089412</v>
      </c>
      <c r="P215" s="43">
        <v>57.243646217058377</v>
      </c>
      <c r="R215" s="57"/>
      <c r="S215" s="57">
        <f>(P215/J215)^(1/6)-1</f>
        <v>0.39443171929813348</v>
      </c>
    </row>
    <row r="216" spans="1:19" x14ac:dyDescent="0.2">
      <c r="A216" s="62" t="s">
        <v>4</v>
      </c>
      <c r="F216" s="63">
        <f t="shared" ref="F216:P216" si="136">F215/E215-1</f>
        <v>0.19182931193898978</v>
      </c>
      <c r="G216" s="63">
        <f t="shared" si="136"/>
        <v>0.39492439895720133</v>
      </c>
      <c r="H216" s="63">
        <f t="shared" si="136"/>
        <v>0.51961089786098835</v>
      </c>
      <c r="I216" s="63">
        <f t="shared" si="136"/>
        <v>0.81526274067242754</v>
      </c>
      <c r="J216" s="63">
        <f t="shared" si="136"/>
        <v>0.47799650899880342</v>
      </c>
      <c r="K216" s="63">
        <f t="shared" si="136"/>
        <v>0.4399435480806424</v>
      </c>
      <c r="L216" s="63">
        <f t="shared" si="136"/>
        <v>0.42215407892801426</v>
      </c>
      <c r="M216" s="63">
        <f t="shared" si="136"/>
        <v>0.39788377756546001</v>
      </c>
      <c r="N216" s="63">
        <f t="shared" si="136"/>
        <v>0.4073782146561109</v>
      </c>
      <c r="O216" s="63">
        <f t="shared" si="136"/>
        <v>0.36920513642611241</v>
      </c>
      <c r="P216" s="63">
        <f t="shared" si="136"/>
        <v>0.33272637541146888</v>
      </c>
      <c r="R216" s="109"/>
      <c r="S216" s="109"/>
    </row>
    <row r="217" spans="1:19" x14ac:dyDescent="0.2">
      <c r="A217" s="77" t="s">
        <v>23</v>
      </c>
      <c r="E217" s="56">
        <f t="shared" ref="E217:P217" si="137">E215+E213+E211+E209</f>
        <v>90.797826040000018</v>
      </c>
      <c r="F217" s="56">
        <f t="shared" si="137"/>
        <v>99.920608090000059</v>
      </c>
      <c r="G217" s="56">
        <f t="shared" si="137"/>
        <v>129.44211840000003</v>
      </c>
      <c r="H217" s="56">
        <f t="shared" si="137"/>
        <v>183.58648260000018</v>
      </c>
      <c r="I217" s="56">
        <f t="shared" si="137"/>
        <v>312.39178830000014</v>
      </c>
      <c r="J217" s="56">
        <f t="shared" si="137"/>
        <v>434.46296950000044</v>
      </c>
      <c r="K217" s="56">
        <f t="shared" si="137"/>
        <v>590.6774200008374</v>
      </c>
      <c r="L217" s="56">
        <f t="shared" si="137"/>
        <v>795.54326543923912</v>
      </c>
      <c r="M217" s="56">
        <f t="shared" si="137"/>
        <v>1056.0454654377131</v>
      </c>
      <c r="N217" s="56">
        <f t="shared" si="137"/>
        <v>1414.8417701429009</v>
      </c>
      <c r="O217" s="56">
        <f t="shared" si="137"/>
        <v>1848.2429224828882</v>
      </c>
      <c r="P217" s="56">
        <f t="shared" si="137"/>
        <v>2354.8622089838232</v>
      </c>
      <c r="R217" s="57"/>
      <c r="S217" s="57">
        <f>(P217/J217)^(1/6)-1</f>
        <v>0.32536487188592722</v>
      </c>
    </row>
    <row r="218" spans="1:19" x14ac:dyDescent="0.2">
      <c r="A218" s="74" t="s">
        <v>4</v>
      </c>
      <c r="E218" s="59"/>
      <c r="F218" s="59">
        <f t="shared" ref="F218:P218" si="138">F217/E217-1</f>
        <v>0.10047357351905206</v>
      </c>
      <c r="G218" s="59">
        <f t="shared" si="138"/>
        <v>0.29544966623311053</v>
      </c>
      <c r="H218" s="59">
        <f t="shared" si="138"/>
        <v>0.4182901583291776</v>
      </c>
      <c r="I218" s="59">
        <f t="shared" si="138"/>
        <v>0.70160560775404179</v>
      </c>
      <c r="J218" s="59">
        <f t="shared" si="138"/>
        <v>0.39076309228324302</v>
      </c>
      <c r="K218" s="59">
        <f t="shared" si="138"/>
        <v>0.35955757214617301</v>
      </c>
      <c r="L218" s="59">
        <f t="shared" si="138"/>
        <v>0.34683202455599416</v>
      </c>
      <c r="M218" s="59">
        <f t="shared" si="138"/>
        <v>0.32745195807124872</v>
      </c>
      <c r="N218" s="59">
        <f t="shared" si="138"/>
        <v>0.33975460001286284</v>
      </c>
      <c r="O218" s="59">
        <f t="shared" si="138"/>
        <v>0.30632482125277738</v>
      </c>
      <c r="P218" s="59">
        <f t="shared" si="138"/>
        <v>0.27410860354890687</v>
      </c>
      <c r="R218" s="109"/>
      <c r="S218" s="109"/>
    </row>
    <row r="219" spans="1:19" x14ac:dyDescent="0.2">
      <c r="R219" s="109"/>
      <c r="S219" s="109"/>
    </row>
    <row r="220" spans="1:19" x14ac:dyDescent="0.2">
      <c r="A220" s="67" t="s">
        <v>175</v>
      </c>
      <c r="B220" s="79"/>
      <c r="R220" s="109"/>
      <c r="S220" s="109"/>
    </row>
    <row r="221" spans="1:19" x14ac:dyDescent="0.2">
      <c r="A221" s="85" t="s">
        <v>40</v>
      </c>
      <c r="B221" s="52">
        <v>2016</v>
      </c>
      <c r="C221" s="52">
        <v>2017</v>
      </c>
      <c r="D221" s="52">
        <v>2018</v>
      </c>
      <c r="E221" s="52">
        <v>2019</v>
      </c>
      <c r="F221" s="52">
        <v>2020</v>
      </c>
      <c r="G221" s="52">
        <v>2021</v>
      </c>
      <c r="H221" s="52">
        <v>2022</v>
      </c>
      <c r="I221" s="52">
        <v>2023</v>
      </c>
      <c r="J221" s="52">
        <v>2024</v>
      </c>
      <c r="K221" s="52" t="s">
        <v>42</v>
      </c>
      <c r="L221" s="52" t="s">
        <v>1</v>
      </c>
      <c r="M221" s="52" t="s">
        <v>2</v>
      </c>
      <c r="N221" s="52" t="s">
        <v>43</v>
      </c>
      <c r="O221" s="52" t="s">
        <v>44</v>
      </c>
      <c r="P221" s="52" t="s">
        <v>45</v>
      </c>
      <c r="R221" s="109"/>
      <c r="S221" s="109"/>
    </row>
    <row r="222" spans="1:19" x14ac:dyDescent="0.2">
      <c r="A222" s="32" t="s">
        <v>105</v>
      </c>
      <c r="B222" s="43">
        <v>355.665600396</v>
      </c>
      <c r="C222" s="43">
        <v>367.29490302400001</v>
      </c>
      <c r="D222" s="43">
        <v>383.23431665800001</v>
      </c>
      <c r="E222" s="43">
        <v>395.70677003000003</v>
      </c>
      <c r="F222" s="43">
        <v>380.31787886000001</v>
      </c>
      <c r="G222" s="43">
        <v>406.23206430199997</v>
      </c>
      <c r="H222" s="43">
        <v>449.38220000000001</v>
      </c>
      <c r="I222" s="43">
        <v>477.83729999999997</v>
      </c>
      <c r="J222" s="43">
        <v>494.08759999999995</v>
      </c>
      <c r="K222" s="43">
        <v>509.72537305819696</v>
      </c>
      <c r="L222" s="43">
        <v>524.89066509398845</v>
      </c>
      <c r="M222" s="43">
        <v>542.49721620029572</v>
      </c>
      <c r="N222" s="43">
        <v>559.94091653240969</v>
      </c>
      <c r="O222" s="43">
        <v>577.84276039587269</v>
      </c>
      <c r="P222" s="43">
        <v>595.49714280885132</v>
      </c>
      <c r="R222" s="109"/>
      <c r="S222" s="109"/>
    </row>
    <row r="223" spans="1:19" x14ac:dyDescent="0.2">
      <c r="A223" s="32" t="s">
        <v>91</v>
      </c>
      <c r="B223" s="44">
        <v>2.1170000000000133E-2</v>
      </c>
      <c r="C223" s="44">
        <v>2.2728830655032839E-2</v>
      </c>
      <c r="D223" s="44">
        <v>2.4837702751871804E-2</v>
      </c>
      <c r="E223" s="44">
        <v>1.754615442110774E-2</v>
      </c>
      <c r="F223" s="44">
        <v>-6.3180607841336833E-2</v>
      </c>
      <c r="G223" s="44">
        <v>4.9000000000000002E-2</v>
      </c>
      <c r="H223" s="44">
        <v>5.2776790557602649E-2</v>
      </c>
      <c r="I223" s="44">
        <v>-8.0000000000000002E-3</v>
      </c>
      <c r="J223" s="44">
        <v>-6.9999999999999993E-3</v>
      </c>
      <c r="K223" s="44">
        <v>-9.2171225570651378E-4</v>
      </c>
      <c r="L223" s="44">
        <v>1.0111593382255559E-2</v>
      </c>
      <c r="M223" s="44">
        <v>1.3830666666666668E-2</v>
      </c>
      <c r="N223" s="44">
        <v>1.2468333333333333E-2</v>
      </c>
      <c r="O223" s="44">
        <v>1.2288333333333332E-2</v>
      </c>
      <c r="P223" s="44">
        <v>1.0896666666666667E-2</v>
      </c>
      <c r="R223" s="109"/>
      <c r="S223" s="109"/>
    </row>
    <row r="224" spans="1:19" x14ac:dyDescent="0.2">
      <c r="A224" s="32" t="s">
        <v>92</v>
      </c>
      <c r="B224" s="43">
        <v>40694.895113808991</v>
      </c>
      <c r="C224" s="43">
        <v>41761.283316462686</v>
      </c>
      <c r="D224" s="43">
        <v>43363.535257510317</v>
      </c>
      <c r="E224" s="43">
        <v>44573.446277645169</v>
      </c>
      <c r="F224" s="43">
        <v>42651.407704766556</v>
      </c>
      <c r="G224" s="43">
        <v>45381.252015327256</v>
      </c>
      <c r="H224" s="43">
        <v>49487.890470205995</v>
      </c>
      <c r="I224" s="43">
        <v>51927.91995217908</v>
      </c>
      <c r="J224" s="43">
        <v>52720.18318914852</v>
      </c>
      <c r="K224" s="43">
        <v>54081.31306763785</v>
      </c>
      <c r="L224" s="43">
        <v>55626.66755702599</v>
      </c>
      <c r="M224" s="43">
        <v>57429.820656831318</v>
      </c>
      <c r="N224" s="43">
        <v>59230.726721398074</v>
      </c>
      <c r="O224" s="43">
        <v>61075.179715597784</v>
      </c>
      <c r="P224" s="43">
        <v>62690.657401778953</v>
      </c>
      <c r="R224" s="109"/>
      <c r="S224" s="109"/>
    </row>
    <row r="225" spans="1:19" x14ac:dyDescent="0.2">
      <c r="A225" s="32" t="s">
        <v>93</v>
      </c>
      <c r="B225" s="44">
        <v>1.848216581280468E-2</v>
      </c>
      <c r="C225" s="44">
        <v>1.7973803153802804E-2</v>
      </c>
      <c r="D225" s="44">
        <v>7.7568532893454289E-3</v>
      </c>
      <c r="E225" s="44">
        <v>6.6143590783529762E-3</v>
      </c>
      <c r="F225" s="44">
        <v>-7.9328089230512544E-2</v>
      </c>
      <c r="G225" s="44">
        <v>4.69023831824191E-2</v>
      </c>
      <c r="H225" s="44">
        <v>5.6884718680389738E-2</v>
      </c>
      <c r="I225" s="44">
        <v>-4.5774970831344323E-3</v>
      </c>
      <c r="J225" s="44">
        <v>8.8272017200181092E-3</v>
      </c>
      <c r="K225" s="44">
        <v>3.4922107207532066E-3</v>
      </c>
      <c r="L225" s="44">
        <v>1.2149677733219877E-2</v>
      </c>
      <c r="M225" s="44">
        <v>1.4333333333333333E-2</v>
      </c>
      <c r="N225" s="44">
        <v>1.4499999999999999E-2</v>
      </c>
      <c r="O225" s="137">
        <v>1.3500000000000002E-2</v>
      </c>
      <c r="P225" s="44">
        <v>1.1000000000000001E-2</v>
      </c>
      <c r="R225" s="109"/>
      <c r="S225" s="109"/>
    </row>
    <row r="226" spans="1:19" x14ac:dyDescent="0.2">
      <c r="A226" s="32" t="s">
        <v>94</v>
      </c>
      <c r="B226" s="44">
        <v>4.5345582379911348E-2</v>
      </c>
      <c r="C226" s="44">
        <v>4.1700556531331472E-2</v>
      </c>
      <c r="D226" s="44">
        <v>4.4137926267909508E-2</v>
      </c>
      <c r="E226" s="44">
        <v>4.2567047641119585E-2</v>
      </c>
      <c r="F226" s="44">
        <v>-5.3252098854231489E-2</v>
      </c>
      <c r="G226" s="44">
        <v>5.9750073362460937E-2</v>
      </c>
      <c r="H226" s="44">
        <v>-2.5684497107172888E-3</v>
      </c>
      <c r="I226" s="44">
        <v>-1.3257059286105601E-2</v>
      </c>
      <c r="J226" s="44">
        <v>-4.2595979703422417E-2</v>
      </c>
      <c r="K226" s="44">
        <v>-5.1503186907300236E-3</v>
      </c>
      <c r="L226" s="44">
        <v>1.5046107508483009E-2</v>
      </c>
      <c r="M226" s="44">
        <v>1.9333333333333334E-2</v>
      </c>
      <c r="N226" s="44">
        <v>1.8333333333333333E-2</v>
      </c>
      <c r="O226" s="44">
        <v>1.5666666666666666E-2</v>
      </c>
      <c r="P226" s="44">
        <v>1.5333333333333332E-2</v>
      </c>
      <c r="R226" s="109"/>
      <c r="S226" s="109"/>
    </row>
    <row r="227" spans="1:19" x14ac:dyDescent="0.2">
      <c r="A227" s="32" t="s">
        <v>95</v>
      </c>
      <c r="B227" s="44">
        <v>2.5000000000000001E-2</v>
      </c>
      <c r="C227" s="44">
        <v>1.2E-2</v>
      </c>
      <c r="D227" s="44">
        <v>3.0000000000000001E-3</v>
      </c>
      <c r="E227" s="44">
        <v>2.4E-2</v>
      </c>
      <c r="F227" s="44">
        <v>3.3000000000000002E-2</v>
      </c>
      <c r="G227" s="44">
        <v>1.8000000000000002E-2</v>
      </c>
      <c r="H227" s="44">
        <v>-9.0000000000000011E-3</v>
      </c>
      <c r="I227" s="44">
        <v>1.8000000000000002E-2</v>
      </c>
      <c r="J227" s="44">
        <v>2.2000000000000002E-2</v>
      </c>
      <c r="K227" s="44">
        <v>-4.2312672500000002E-2</v>
      </c>
      <c r="L227" s="44">
        <v>-3.8938009999999995E-2</v>
      </c>
      <c r="M227" s="44">
        <v>-2.9729999999999999E-2</v>
      </c>
      <c r="N227" s="44">
        <v>-2.9289999999999997E-2</v>
      </c>
      <c r="O227" s="44">
        <v>-2.9369999999999997E-2</v>
      </c>
      <c r="P227" s="44">
        <v>-2.9489999999999999E-2</v>
      </c>
      <c r="R227" s="109"/>
      <c r="S227" s="109"/>
    </row>
    <row r="228" spans="1:19" x14ac:dyDescent="0.2">
      <c r="A228" s="32" t="s">
        <v>96</v>
      </c>
      <c r="B228" s="44">
        <v>0.83400000000000007</v>
      </c>
      <c r="C228" s="44">
        <v>0.79099999999999993</v>
      </c>
      <c r="D228" s="44">
        <v>0.746</v>
      </c>
      <c r="E228" s="44">
        <v>0.71</v>
      </c>
      <c r="F228" s="44">
        <v>0.83200000000000007</v>
      </c>
      <c r="G228" s="44">
        <v>0.82400000000000007</v>
      </c>
      <c r="H228" s="44">
        <v>0.78400000000000003</v>
      </c>
      <c r="I228" s="44">
        <v>0.78500000000000003</v>
      </c>
      <c r="J228" s="44">
        <v>0.81799999999999995</v>
      </c>
      <c r="K228" s="44">
        <v>0.83297500000000013</v>
      </c>
      <c r="L228" s="44">
        <v>0.84064190000000005</v>
      </c>
      <c r="M228" s="44">
        <v>0.82945999999999998</v>
      </c>
      <c r="N228" s="44">
        <v>0.82840499999999995</v>
      </c>
      <c r="O228" s="44">
        <v>0.82913000000000014</v>
      </c>
      <c r="P228" s="44">
        <v>0.83607999999999993</v>
      </c>
      <c r="R228" s="109"/>
      <c r="S228" s="109"/>
    </row>
    <row r="229" spans="1:19" x14ac:dyDescent="0.2">
      <c r="A229" s="32" t="s">
        <v>97</v>
      </c>
      <c r="B229" s="44">
        <v>-1.103E-2</v>
      </c>
      <c r="C229" s="44">
        <v>-8.2699999999999996E-3</v>
      </c>
      <c r="D229" s="44">
        <v>-2.8000000000000004E-3</v>
      </c>
      <c r="E229" s="44">
        <v>1.9599999999999999E-3</v>
      </c>
      <c r="F229" s="44">
        <v>-7.1340000000000001E-2</v>
      </c>
      <c r="G229" s="44">
        <v>-4.8160000000000001E-2</v>
      </c>
      <c r="H229" s="44">
        <v>-4.5149999999999996E-2</v>
      </c>
      <c r="I229" s="44">
        <v>-2.9679999999999998E-2</v>
      </c>
      <c r="J229" s="44">
        <v>-4.1550000000000004E-2</v>
      </c>
      <c r="K229" s="44">
        <v>-3.3167000000000002E-2</v>
      </c>
      <c r="L229" s="44">
        <v>-3.202E-2</v>
      </c>
      <c r="M229" s="44">
        <v>-2.6339999999999999E-2</v>
      </c>
      <c r="N229" s="44">
        <v>-2.7789999999999999E-2</v>
      </c>
      <c r="O229" s="44">
        <v>-2.92E-2</v>
      </c>
      <c r="P229" s="44">
        <v>-2.9440000000000001E-2</v>
      </c>
      <c r="R229" s="109"/>
      <c r="S229" s="109"/>
    </row>
    <row r="230" spans="1:19" x14ac:dyDescent="0.2">
      <c r="A230" s="32" t="s">
        <v>98</v>
      </c>
      <c r="B230" s="44">
        <v>8.9552238805969964E-3</v>
      </c>
      <c r="C230" s="44">
        <v>2.0710059171597628E-2</v>
      </c>
      <c r="D230" s="44">
        <v>2.0289855072463947E-2</v>
      </c>
      <c r="E230" s="44">
        <v>1.4914772727272707E-2</v>
      </c>
      <c r="F230" s="44">
        <v>1.469559132260323E-2</v>
      </c>
      <c r="G230" s="44">
        <v>2.7586206896551779E-2</v>
      </c>
      <c r="H230" s="44">
        <v>8.5906040268456399E-2</v>
      </c>
      <c r="I230" s="44">
        <v>7.787391841779967E-2</v>
      </c>
      <c r="J230" s="44">
        <v>2.924311926605494E-2</v>
      </c>
      <c r="K230" s="44">
        <v>3.0711818181818184E-2</v>
      </c>
      <c r="L230" s="44">
        <v>2.0833333333333336E-2</v>
      </c>
      <c r="M230" s="44">
        <v>2.0595000000000002E-2</v>
      </c>
      <c r="N230" s="44">
        <v>1.9886666666666664E-2</v>
      </c>
      <c r="O230" s="44">
        <v>1.9906666666666666E-2</v>
      </c>
      <c r="P230" s="44">
        <v>2.0720000000000002E-2</v>
      </c>
      <c r="R230" s="109"/>
      <c r="S230" s="109"/>
    </row>
    <row r="231" spans="1:19" x14ac:dyDescent="0.2">
      <c r="A231" s="32" t="s">
        <v>99</v>
      </c>
      <c r="B231" s="43">
        <v>3756.0524999999998</v>
      </c>
      <c r="C231" s="43">
        <v>3833.478333333333</v>
      </c>
      <c r="D231" s="43">
        <v>3923.1508333333331</v>
      </c>
      <c r="E231" s="43">
        <v>4033.1441666666669</v>
      </c>
      <c r="F231" s="43">
        <v>4090.5766666666664</v>
      </c>
      <c r="G231" s="43">
        <v>4203.9216666666662</v>
      </c>
      <c r="H231" s="43">
        <v>4427.1274999999996</v>
      </c>
      <c r="I231" s="43">
        <v>4743.9674999999997</v>
      </c>
      <c r="J231" s="43">
        <v>5141.58</v>
      </c>
      <c r="K231" s="43">
        <v>5311.8527715080791</v>
      </c>
      <c r="L231" s="43">
        <v>5496.9395538604031</v>
      </c>
      <c r="M231" s="43">
        <v>5641.9459257810604</v>
      </c>
      <c r="N231" s="43">
        <v>5788.9776396612797</v>
      </c>
      <c r="O231" s="43">
        <v>5936.9701028452864</v>
      </c>
      <c r="P231" s="43">
        <v>6086.485229780691</v>
      </c>
      <c r="R231" s="109"/>
      <c r="S231" s="109"/>
    </row>
    <row r="232" spans="1:19" x14ac:dyDescent="0.2">
      <c r="A232" s="32" t="s">
        <v>100</v>
      </c>
      <c r="B232" s="44">
        <v>2.645980165226014E-2</v>
      </c>
      <c r="C232" s="44">
        <v>2.0613618508615872E-2</v>
      </c>
      <c r="D232" s="44">
        <v>2.3391941261352356E-2</v>
      </c>
      <c r="E232" s="44">
        <v>2.8036988126677986E-2</v>
      </c>
      <c r="F232" s="44">
        <v>1.4240130683814911E-2</v>
      </c>
      <c r="G232" s="44">
        <v>2.7708807152699633E-2</v>
      </c>
      <c r="H232" s="44">
        <v>5.3094669937157946E-2</v>
      </c>
      <c r="I232" s="44">
        <v>7.1567850711324654E-2</v>
      </c>
      <c r="J232" s="44">
        <v>8.3814338947305167E-2</v>
      </c>
      <c r="K232" s="44">
        <v>3.3116818469824283E-2</v>
      </c>
      <c r="L232" s="44">
        <v>3.4844110014701446E-2</v>
      </c>
      <c r="M232" s="44">
        <v>2.6379473614335458E-2</v>
      </c>
      <c r="N232" s="44">
        <v>2.6060461375277066E-2</v>
      </c>
      <c r="O232" s="44">
        <v>2.5564524929252652E-2</v>
      </c>
      <c r="P232" s="44">
        <v>2.5183742606982307E-2</v>
      </c>
    </row>
    <row r="233" spans="1:19" x14ac:dyDescent="0.2">
      <c r="A233" s="32" t="s">
        <v>101</v>
      </c>
      <c r="B233" s="44">
        <v>1.734921169676662E-2</v>
      </c>
      <c r="C233" s="44">
        <v>-9.4483895906716242E-5</v>
      </c>
      <c r="D233" s="44">
        <v>3.0403969749048798E-3</v>
      </c>
      <c r="E233" s="44">
        <v>1.2929376684648552E-2</v>
      </c>
      <c r="F233" s="44">
        <v>-4.4886431229551604E-4</v>
      </c>
      <c r="G233" s="44">
        <v>1.1930897410361574E-4</v>
      </c>
      <c r="H233" s="44">
        <v>-3.0215662418810019E-2</v>
      </c>
      <c r="I233" s="44">
        <v>-5.8504687781402165E-3</v>
      </c>
      <c r="J233" s="44">
        <v>5.3020728202841427E-2</v>
      </c>
      <c r="K233" s="44">
        <v>2.3333391987767627E-3</v>
      </c>
      <c r="L233" s="44">
        <v>1.3724842463381126E-2</v>
      </c>
      <c r="M233" s="44">
        <v>5.6677463776870773E-3</v>
      </c>
      <c r="N233" s="44">
        <v>6.0534125117925885E-3</v>
      </c>
      <c r="O233" s="44">
        <v>5.5474274730229478E-3</v>
      </c>
      <c r="P233" s="44">
        <v>4.3731313259094406E-3</v>
      </c>
    </row>
    <row r="234" spans="1:19" x14ac:dyDescent="0.2">
      <c r="A234" s="32" t="s">
        <v>102</v>
      </c>
      <c r="B234" s="44">
        <v>2.6398034185009411E-2</v>
      </c>
      <c r="C234" s="44">
        <v>8.7859008589517007E-3</v>
      </c>
      <c r="D234" s="44">
        <v>1.421495601103584E-2</v>
      </c>
      <c r="E234" s="44">
        <v>3.1583605135738768E-3</v>
      </c>
      <c r="F234" s="44">
        <v>-4.9566452844055364E-3</v>
      </c>
      <c r="G234" s="44">
        <v>2.3349477999999868E-2</v>
      </c>
      <c r="H234" s="44">
        <v>1.8915027970532794E-2</v>
      </c>
      <c r="I234" s="44">
        <v>-5.141872365764355E-3</v>
      </c>
      <c r="J234" s="44">
        <v>3.9010120743856902E-2</v>
      </c>
      <c r="K234" s="44">
        <v>-4.3499969424274365E-3</v>
      </c>
      <c r="L234" s="44">
        <v>1.533926008991493E-3</v>
      </c>
      <c r="M234" s="44">
        <v>3.5455257622498682E-3</v>
      </c>
      <c r="N234" s="44">
        <v>5.7749268526396946E-3</v>
      </c>
      <c r="O234" s="44">
        <v>6.5636371794328685E-3</v>
      </c>
      <c r="P234" s="44">
        <v>6.0257571803314924E-3</v>
      </c>
    </row>
    <row r="235" spans="1:19" x14ac:dyDescent="0.2">
      <c r="A235" s="32" t="s">
        <v>103</v>
      </c>
      <c r="B235" s="44">
        <v>6.5000000000000002E-2</v>
      </c>
      <c r="C235" s="44">
        <v>5.9000000000000004E-2</v>
      </c>
      <c r="D235" s="44">
        <v>5.2000000000000005E-2</v>
      </c>
      <c r="E235" s="44">
        <v>4.8000000000000001E-2</v>
      </c>
      <c r="F235" s="44">
        <v>0.06</v>
      </c>
      <c r="G235" s="44">
        <v>6.2E-2</v>
      </c>
      <c r="H235" s="44">
        <v>4.8000000000000001E-2</v>
      </c>
      <c r="I235" s="44">
        <v>5.0999999999999997E-2</v>
      </c>
      <c r="J235" s="44">
        <v>5.2000000000000005E-2</v>
      </c>
      <c r="K235" s="44">
        <v>5.4005947169536446E-2</v>
      </c>
      <c r="L235" s="44">
        <v>5.3230396015567658E-2</v>
      </c>
      <c r="M235" s="44">
        <v>5.2156746477576357E-2</v>
      </c>
      <c r="N235" s="44">
        <v>5.0899614032750673E-2</v>
      </c>
      <c r="O235" s="44">
        <v>4.985269253218063E-2</v>
      </c>
      <c r="P235" s="44">
        <v>4.9409725162809483E-2</v>
      </c>
    </row>
    <row r="236" spans="1:19" x14ac:dyDescent="0.2">
      <c r="A236" s="32" t="s">
        <v>104</v>
      </c>
      <c r="B236" s="43">
        <v>8739.8087499999983</v>
      </c>
      <c r="C236" s="43">
        <v>8795.1057499999988</v>
      </c>
      <c r="D236" s="43">
        <v>8837.7092499999981</v>
      </c>
      <c r="E236" s="43">
        <v>8877.6346249999988</v>
      </c>
      <c r="F236" s="43">
        <v>8916.8892499999984</v>
      </c>
      <c r="G236" s="43">
        <v>8951.5393749999985</v>
      </c>
      <c r="H236" s="43">
        <v>9052.8701249999976</v>
      </c>
      <c r="I236" s="43">
        <v>9130.7294999999976</v>
      </c>
      <c r="J236" s="43">
        <v>9177.9153749999987</v>
      </c>
      <c r="K236" s="43">
        <v>9195.7077113320993</v>
      </c>
      <c r="L236" s="43">
        <v>9215.7943756602017</v>
      </c>
      <c r="M236" s="43">
        <v>9237.4786769599632</v>
      </c>
      <c r="N236" s="43">
        <v>9261.1674981731139</v>
      </c>
      <c r="O236" s="43">
        <v>9284.2777831725452</v>
      </c>
      <c r="P236" s="43">
        <v>9306.5315732039689</v>
      </c>
    </row>
    <row r="237" spans="1:19" x14ac:dyDescent="0.2">
      <c r="A237" s="32" t="s">
        <v>106</v>
      </c>
      <c r="B237" s="131">
        <v>2.196328698874573E-2</v>
      </c>
      <c r="C237" s="131">
        <v>4.2466595448571766E-2</v>
      </c>
      <c r="D237" s="131">
        <v>5.6567679052737622E-2</v>
      </c>
      <c r="E237" s="131">
        <v>8.6451752303950455E-2</v>
      </c>
      <c r="F237" s="131">
        <v>0.10339370552891451</v>
      </c>
      <c r="G237" s="131">
        <v>0.12635734614856486</v>
      </c>
      <c r="H237" s="131">
        <v>0.48845563254520091</v>
      </c>
      <c r="I237" s="131">
        <v>1.3263941317362431</v>
      </c>
      <c r="J237" s="131">
        <v>2.639465252399031</v>
      </c>
      <c r="K237" s="131">
        <v>3.571784039197746</v>
      </c>
      <c r="L237" s="131">
        <v>3.7617886913848846</v>
      </c>
      <c r="M237" s="131">
        <v>0.36449690094565768</v>
      </c>
      <c r="N237" s="131">
        <v>0.33433171790194222</v>
      </c>
      <c r="O237" s="131">
        <v>0.44986089923925443</v>
      </c>
      <c r="P237" s="131">
        <v>0.48100283852073833</v>
      </c>
    </row>
    <row r="238" spans="1:19" x14ac:dyDescent="0.2">
      <c r="A238" s="32" t="s">
        <v>107</v>
      </c>
      <c r="B238" s="138">
        <v>6.1752632147420741E-5</v>
      </c>
      <c r="C238" s="138">
        <v>1.1561988772220149E-4</v>
      </c>
      <c r="D238" s="138">
        <v>1.4760598566964677E-4</v>
      </c>
      <c r="E238" s="138">
        <v>2.1847428159340367E-4</v>
      </c>
      <c r="F238" s="138">
        <v>2.7186128046053574E-4</v>
      </c>
      <c r="G238" s="138">
        <v>3.1104719999312661E-4</v>
      </c>
      <c r="H238" s="138">
        <v>1.0869492217208446E-3</v>
      </c>
      <c r="I238" s="138">
        <v>2.7758279475801556E-3</v>
      </c>
      <c r="J238" s="138">
        <v>5.4620997661123903E-3</v>
      </c>
      <c r="K238" s="138">
        <v>7.0072714210166346E-3</v>
      </c>
      <c r="L238" s="138">
        <v>7.1668043300242117E-3</v>
      </c>
      <c r="M238" s="138">
        <v>6.7188713611957332E-4</v>
      </c>
      <c r="N238" s="138">
        <v>5.9708392087576777E-4</v>
      </c>
      <c r="O238" s="138">
        <v>7.7851784269315836E-4</v>
      </c>
      <c r="P238" s="138">
        <v>8.0773324327289926E-4</v>
      </c>
    </row>
    <row r="239" spans="1:19" x14ac:dyDescent="0.2">
      <c r="A239" s="32" t="s">
        <v>108</v>
      </c>
      <c r="B239" s="43">
        <v>323.91199999999998</v>
      </c>
      <c r="C239" s="43">
        <v>332.755</v>
      </c>
      <c r="D239" s="43">
        <v>316.56200000000001</v>
      </c>
      <c r="E239" s="43">
        <v>331.14499999999998</v>
      </c>
      <c r="F239" s="43">
        <v>330.62499999999994</v>
      </c>
      <c r="G239" s="43">
        <v>404.36999999999989</v>
      </c>
      <c r="H239" s="43">
        <v>407.70899999999995</v>
      </c>
      <c r="I239" s="43">
        <v>408.274</v>
      </c>
      <c r="J239" s="43">
        <v>410.87758520288992</v>
      </c>
      <c r="K239" s="43">
        <v>413.84402455114923</v>
      </c>
      <c r="L239" s="43">
        <v>419.28813128637671</v>
      </c>
      <c r="M239" s="43">
        <v>425.62884213119145</v>
      </c>
      <c r="N239" s="43">
        <v>431.91886873803492</v>
      </c>
      <c r="O239" s="43">
        <v>437.58963387869301</v>
      </c>
      <c r="P239" s="43">
        <v>441.78763649960592</v>
      </c>
    </row>
    <row r="240" spans="1:19" x14ac:dyDescent="0.2">
      <c r="A240" s="32" t="s">
        <v>109</v>
      </c>
      <c r="B240" s="44">
        <v>4.9236019545488841E-3</v>
      </c>
      <c r="C240" s="44">
        <v>2.730062486107343E-2</v>
      </c>
      <c r="D240" s="44">
        <v>-4.8663431052876738E-2</v>
      </c>
      <c r="E240" s="44">
        <v>4.6066805238784259E-2</v>
      </c>
      <c r="F240" s="44">
        <v>-1.5703090791044927E-3</v>
      </c>
      <c r="G240" s="44">
        <v>0.22304725897920585</v>
      </c>
      <c r="H240" s="44">
        <v>8.2572891164034434E-3</v>
      </c>
      <c r="I240" s="44">
        <v>1.3857923175599751E-3</v>
      </c>
      <c r="J240" s="44">
        <v>6.3770536524243582E-3</v>
      </c>
      <c r="K240" s="44">
        <v>7.2197643655700361E-3</v>
      </c>
      <c r="L240" s="44">
        <v>1.3154972434680223E-2</v>
      </c>
      <c r="M240" s="44">
        <v>1.5122562199319622E-2</v>
      </c>
      <c r="N240" s="44">
        <v>1.4778196363170126E-2</v>
      </c>
      <c r="O240" s="44">
        <v>1.3129236880126349E-2</v>
      </c>
      <c r="P240" s="44">
        <v>9.593469076730754E-3</v>
      </c>
    </row>
    <row r="241" spans="1:16" x14ac:dyDescent="0.2">
      <c r="A241" s="32" t="s">
        <v>110</v>
      </c>
      <c r="B241" s="136">
        <v>9.9999999999999978E-2</v>
      </c>
      <c r="C241" s="136">
        <v>9.9999999999999978E-2</v>
      </c>
      <c r="D241" s="136">
        <v>9.0999999999999998E-2</v>
      </c>
      <c r="E241" s="136">
        <v>9.6999999999999975E-2</v>
      </c>
      <c r="F241" s="136">
        <v>0.10199999999999995</v>
      </c>
      <c r="G241" s="136">
        <v>0.11953674799999994</v>
      </c>
      <c r="H241" s="136">
        <v>0.18498964799999992</v>
      </c>
      <c r="I241" s="136">
        <v>0.22356941799999983</v>
      </c>
      <c r="J241" s="136">
        <v>0.17623243299999986</v>
      </c>
      <c r="K241" s="136">
        <v>0.17277916210546426</v>
      </c>
      <c r="L241" s="136">
        <v>0.17075493454632293</v>
      </c>
      <c r="M241" s="136">
        <v>0.1751038744535367</v>
      </c>
      <c r="N241" s="136">
        <v>0.1797794205979793</v>
      </c>
      <c r="O241" s="136">
        <v>0.18478257786602356</v>
      </c>
      <c r="P241" s="136">
        <v>0.18965557217243115</v>
      </c>
    </row>
    <row r="242" spans="1:16" x14ac:dyDescent="0.2">
      <c r="A242" s="32" t="s">
        <v>111</v>
      </c>
      <c r="B242" s="44">
        <v>8.8670503279418611E-2</v>
      </c>
      <c r="C242" s="44">
        <v>0</v>
      </c>
      <c r="D242" s="44">
        <v>-8.9999999999999858E-2</v>
      </c>
      <c r="E242" s="44">
        <v>6.59340659340657E-2</v>
      </c>
      <c r="F242" s="44">
        <v>5.1546391752577136E-2</v>
      </c>
      <c r="G242" s="44">
        <v>0.17192890196078436</v>
      </c>
      <c r="H242" s="44">
        <v>0.54755463148453742</v>
      </c>
      <c r="I242" s="44">
        <v>0.20855096713303611</v>
      </c>
      <c r="J242" s="44">
        <v>-0.21173282742991262</v>
      </c>
      <c r="K242" s="44">
        <v>-1.9594979401638235E-2</v>
      </c>
      <c r="L242" s="44">
        <v>-1.1715692647622289E-2</v>
      </c>
      <c r="M242" s="44">
        <v>2.5468897392443957E-2</v>
      </c>
      <c r="N242" s="44">
        <v>2.6701557341515247E-2</v>
      </c>
      <c r="O242" s="44">
        <v>2.7829421473285709E-2</v>
      </c>
      <c r="P242" s="44">
        <v>2.6371502999274821E-2</v>
      </c>
    </row>
    <row r="244" spans="1:16" x14ac:dyDescent="0.2">
      <c r="A244" s="86" t="s">
        <v>77</v>
      </c>
    </row>
    <row r="245" spans="1:16" x14ac:dyDescent="0.2">
      <c r="A245" s="86" t="s">
        <v>41</v>
      </c>
    </row>
    <row r="246" spans="1:16" x14ac:dyDescent="0.2">
      <c r="A246" s="86" t="s">
        <v>81</v>
      </c>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2B15D-4DCC-4B93-A813-FDBBCFA7741A}">
  <sheetPr>
    <tabColor rgb="FFFF2D9B"/>
  </sheetPr>
  <dimension ref="A1:U252"/>
  <sheetViews>
    <sheetView tabSelected="1" zoomScale="85" zoomScaleNormal="85" workbookViewId="0">
      <pane ySplit="1" topLeftCell="A75" activePane="bottomLeft" state="frozen"/>
      <selection pane="bottomLeft" sqref="A1:XFD1048576"/>
    </sheetView>
  </sheetViews>
  <sheetFormatPr defaultColWidth="8.875" defaultRowHeight="15" x14ac:dyDescent="0.2"/>
  <cols>
    <col min="1" max="1" width="68.47265625" style="47" bestFit="1" customWidth="1"/>
    <col min="2" max="16" width="13.046875" style="47" customWidth="1"/>
    <col min="17" max="17" width="8.875" style="47" bestFit="1"/>
    <col min="18" max="19" width="24.48046875" style="47" customWidth="1"/>
    <col min="20" max="16384" width="8.875" style="47"/>
  </cols>
  <sheetData>
    <row r="1" spans="1:21" s="48" customFormat="1" ht="24" customHeight="1" x14ac:dyDescent="0.2">
      <c r="A1" s="51" t="s">
        <v>0</v>
      </c>
      <c r="B1" s="52">
        <v>2016</v>
      </c>
      <c r="C1" s="52">
        <v>2017</v>
      </c>
      <c r="D1" s="52">
        <v>2018</v>
      </c>
      <c r="E1" s="52">
        <v>2019</v>
      </c>
      <c r="F1" s="52">
        <v>2020</v>
      </c>
      <c r="G1" s="52">
        <v>2021</v>
      </c>
      <c r="H1" s="52">
        <v>2022</v>
      </c>
      <c r="I1" s="52">
        <v>2023</v>
      </c>
      <c r="J1" s="52">
        <v>2024</v>
      </c>
      <c r="K1" s="52" t="s">
        <v>42</v>
      </c>
      <c r="L1" s="52" t="s">
        <v>1</v>
      </c>
      <c r="M1" s="52" t="s">
        <v>2</v>
      </c>
      <c r="N1" s="52" t="s">
        <v>43</v>
      </c>
      <c r="O1" s="52" t="s">
        <v>44</v>
      </c>
      <c r="P1" s="52" t="s">
        <v>45</v>
      </c>
      <c r="Q1" s="52"/>
      <c r="R1" s="53" t="s">
        <v>78</v>
      </c>
      <c r="S1" s="53" t="s">
        <v>79</v>
      </c>
      <c r="T1" s="54"/>
      <c r="U1" s="54"/>
    </row>
    <row r="2" spans="1:21" s="49" customFormat="1" x14ac:dyDescent="0.2">
      <c r="A2" s="55" t="s">
        <v>3</v>
      </c>
      <c r="B2" s="56">
        <f t="shared" ref="B2:P2" si="0">B4+B6+B8</f>
        <v>2727.739114344</v>
      </c>
      <c r="C2" s="56">
        <f t="shared" si="0"/>
        <v>2737.0821304780002</v>
      </c>
      <c r="D2" s="56">
        <f t="shared" si="0"/>
        <v>2806.2098878659999</v>
      </c>
      <c r="E2" s="56">
        <f t="shared" si="0"/>
        <v>2965.0213234930002</v>
      </c>
      <c r="F2" s="56">
        <f t="shared" si="0"/>
        <v>2885.1115634480002</v>
      </c>
      <c r="G2" s="56">
        <f t="shared" si="0"/>
        <v>3133.1403757260005</v>
      </c>
      <c r="H2" s="56">
        <f t="shared" si="0"/>
        <v>3325.2016447140008</v>
      </c>
      <c r="I2" s="56">
        <f t="shared" si="0"/>
        <v>3517.189585213001</v>
      </c>
      <c r="J2" s="56">
        <f t="shared" si="0"/>
        <v>3774.4149176550018</v>
      </c>
      <c r="K2" s="56">
        <f t="shared" si="0"/>
        <v>4006.8855923519595</v>
      </c>
      <c r="L2" s="56">
        <f t="shared" si="0"/>
        <v>4231.1893742771272</v>
      </c>
      <c r="M2" s="56">
        <f t="shared" si="0"/>
        <v>4445.9345182306424</v>
      </c>
      <c r="N2" s="56">
        <f t="shared" si="0"/>
        <v>4667.2911450237661</v>
      </c>
      <c r="O2" s="56">
        <f t="shared" si="0"/>
        <v>4905.0455133165797</v>
      </c>
      <c r="P2" s="56">
        <f t="shared" si="0"/>
        <v>5171.2779985619818</v>
      </c>
      <c r="R2" s="57">
        <f>(J2/D2)^(1/6)-1</f>
        <v>5.0642379644453062E-2</v>
      </c>
      <c r="S2" s="57">
        <f>(P2/J2)^(1/6)-1</f>
        <v>5.3880513097979366E-2</v>
      </c>
      <c r="T2" s="60"/>
    </row>
    <row r="3" spans="1:21" s="49" customFormat="1" x14ac:dyDescent="0.2">
      <c r="A3" s="58" t="s">
        <v>4</v>
      </c>
      <c r="B3" s="59"/>
      <c r="C3" s="59">
        <f t="shared" ref="C3:P3" si="1">C2/B2-1</f>
        <v>3.4251868460841717E-3</v>
      </c>
      <c r="D3" s="59">
        <f t="shared" si="1"/>
        <v>2.5256004055649983E-2</v>
      </c>
      <c r="E3" s="59">
        <f t="shared" si="1"/>
        <v>5.6592857260498564E-2</v>
      </c>
      <c r="F3" s="59">
        <f t="shared" si="1"/>
        <v>-2.6950821369089106E-2</v>
      </c>
      <c r="G3" s="59">
        <f t="shared" si="1"/>
        <v>8.5968534257157447E-2</v>
      </c>
      <c r="H3" s="59">
        <f t="shared" si="1"/>
        <v>6.1299924662167937E-2</v>
      </c>
      <c r="I3" s="59">
        <f t="shared" si="1"/>
        <v>5.7737232508650704E-2</v>
      </c>
      <c r="J3" s="59">
        <f t="shared" si="1"/>
        <v>7.3133769508311408E-2</v>
      </c>
      <c r="K3" s="59">
        <f t="shared" si="1"/>
        <v>6.1591181618524615E-2</v>
      </c>
      <c r="L3" s="59">
        <f t="shared" si="1"/>
        <v>5.5979582335293543E-2</v>
      </c>
      <c r="M3" s="59">
        <f t="shared" si="1"/>
        <v>5.0752903015645057E-2</v>
      </c>
      <c r="N3" s="59">
        <f t="shared" si="1"/>
        <v>4.9788548590953496E-2</v>
      </c>
      <c r="O3" s="59">
        <f t="shared" si="1"/>
        <v>5.0940547933527869E-2</v>
      </c>
      <c r="P3" s="59">
        <f t="shared" si="1"/>
        <v>5.4277271132880278E-2</v>
      </c>
      <c r="R3" s="60"/>
      <c r="S3" s="60"/>
      <c r="T3" s="60"/>
    </row>
    <row r="4" spans="1:21" s="50" customFormat="1" x14ac:dyDescent="0.2">
      <c r="A4" s="61" t="s">
        <v>5</v>
      </c>
      <c r="B4" s="43">
        <v>521.04129190000003</v>
      </c>
      <c r="C4" s="43">
        <v>538.44974020000018</v>
      </c>
      <c r="D4" s="43">
        <v>558.50472850000017</v>
      </c>
      <c r="E4" s="43">
        <v>587.84386971963579</v>
      </c>
      <c r="F4" s="43">
        <v>596.4321243678819</v>
      </c>
      <c r="G4" s="43">
        <v>643.85479696131938</v>
      </c>
      <c r="H4" s="43">
        <v>685.7750348224331</v>
      </c>
      <c r="I4" s="43">
        <v>737.54003526439533</v>
      </c>
      <c r="J4" s="43">
        <v>804.33399293252921</v>
      </c>
      <c r="K4" s="43">
        <v>855.66762891846997</v>
      </c>
      <c r="L4" s="43">
        <v>908.18840539360781</v>
      </c>
      <c r="M4" s="43">
        <v>962.55675398455423</v>
      </c>
      <c r="N4" s="43">
        <v>1019.4732331266887</v>
      </c>
      <c r="O4" s="43">
        <v>1082.7198980190949</v>
      </c>
      <c r="P4" s="43">
        <v>1157.5207893265322</v>
      </c>
      <c r="R4" s="57">
        <f>(J4/D4)^(1/6)-1</f>
        <v>6.2677767792833183E-2</v>
      </c>
      <c r="S4" s="57">
        <f>(P4/J4)^(1/6)-1</f>
        <v>6.2548418949865514E-2</v>
      </c>
      <c r="T4" s="64"/>
    </row>
    <row r="5" spans="1:21" s="50" customFormat="1" x14ac:dyDescent="0.2">
      <c r="A5" s="62" t="s">
        <v>4</v>
      </c>
      <c r="B5" s="63"/>
      <c r="C5" s="63">
        <f t="shared" ref="C5:P5" si="2">C4/B4-1</f>
        <v>3.3410880424696199E-2</v>
      </c>
      <c r="D5" s="63">
        <f t="shared" si="2"/>
        <v>3.724579436615727E-2</v>
      </c>
      <c r="E5" s="63">
        <f t="shared" si="2"/>
        <v>5.2531589658037392E-2</v>
      </c>
      <c r="F5" s="63">
        <f t="shared" si="2"/>
        <v>1.4609754546461629E-2</v>
      </c>
      <c r="G5" s="63">
        <f t="shared" si="2"/>
        <v>7.9510594174815097E-2</v>
      </c>
      <c r="H5" s="63">
        <f t="shared" si="2"/>
        <v>6.5108217037376681E-2</v>
      </c>
      <c r="I5" s="63">
        <f t="shared" si="2"/>
        <v>7.5483938337541856E-2</v>
      </c>
      <c r="J5" s="63">
        <f t="shared" si="2"/>
        <v>9.0563161963390204E-2</v>
      </c>
      <c r="K5" s="63">
        <f t="shared" si="2"/>
        <v>6.3821293687691849E-2</v>
      </c>
      <c r="L5" s="63">
        <f t="shared" si="2"/>
        <v>6.1379880107796048E-2</v>
      </c>
      <c r="M5" s="63">
        <f t="shared" si="2"/>
        <v>5.9864614289348195E-2</v>
      </c>
      <c r="N5" s="63">
        <f t="shared" si="2"/>
        <v>5.9130517661972304E-2</v>
      </c>
      <c r="O5" s="63">
        <f t="shared" si="2"/>
        <v>6.2038573291846921E-2</v>
      </c>
      <c r="P5" s="63">
        <f t="shared" si="2"/>
        <v>6.9086096454207935E-2</v>
      </c>
      <c r="R5" s="64"/>
      <c r="S5" s="64"/>
      <c r="T5" s="64"/>
    </row>
    <row r="6" spans="1:21" s="50" customFormat="1" x14ac:dyDescent="0.2">
      <c r="A6" s="61" t="s">
        <v>6</v>
      </c>
      <c r="B6" s="43">
        <v>1380.6924595999999</v>
      </c>
      <c r="C6" s="43">
        <v>1346.1261466999999</v>
      </c>
      <c r="D6" s="43">
        <v>1366.4645484999999</v>
      </c>
      <c r="E6" s="43">
        <v>1452.3599170999998</v>
      </c>
      <c r="F6" s="43">
        <v>1380.0299350000003</v>
      </c>
      <c r="G6" s="43">
        <v>1523.7013743000005</v>
      </c>
      <c r="H6" s="43">
        <v>1612.4650032000009</v>
      </c>
      <c r="I6" s="43">
        <v>1680.8688466000008</v>
      </c>
      <c r="J6" s="43">
        <v>1782.3117318000009</v>
      </c>
      <c r="K6" s="43">
        <v>1889.8642689329804</v>
      </c>
      <c r="L6" s="43">
        <v>1979.790569276005</v>
      </c>
      <c r="M6" s="43">
        <v>2052.1066154443529</v>
      </c>
      <c r="N6" s="43">
        <v>2118.9244607965479</v>
      </c>
      <c r="O6" s="43">
        <v>2181.8166091718367</v>
      </c>
      <c r="P6" s="43">
        <v>2241.3357074360174</v>
      </c>
      <c r="R6" s="57">
        <f>(J6/D6)^(1/6)-1</f>
        <v>4.5275768714085229E-2</v>
      </c>
      <c r="S6" s="57">
        <f>(P6/J6)^(1/6)-1</f>
        <v>3.8932201573154801E-2</v>
      </c>
      <c r="T6" s="64"/>
    </row>
    <row r="7" spans="1:21" s="50" customFormat="1" x14ac:dyDescent="0.2">
      <c r="A7" s="62" t="s">
        <v>4</v>
      </c>
      <c r="B7" s="63"/>
      <c r="C7" s="63">
        <f t="shared" ref="C7:P7" si="3">C6/B6-1</f>
        <v>-2.5035490459630827E-2</v>
      </c>
      <c r="D7" s="63">
        <f t="shared" si="3"/>
        <v>1.5108837942015452E-2</v>
      </c>
      <c r="E7" s="63">
        <f t="shared" si="3"/>
        <v>6.2859566092870356E-2</v>
      </c>
      <c r="F7" s="63">
        <f t="shared" si="3"/>
        <v>-4.9801692575229262E-2</v>
      </c>
      <c r="G7" s="63">
        <f t="shared" si="3"/>
        <v>0.10410748032070782</v>
      </c>
      <c r="H7" s="63">
        <f t="shared" si="3"/>
        <v>5.82552660233564E-2</v>
      </c>
      <c r="I7" s="63">
        <f t="shared" si="3"/>
        <v>4.2421908856471235E-2</v>
      </c>
      <c r="J7" s="63">
        <f t="shared" si="3"/>
        <v>6.0351457762570337E-2</v>
      </c>
      <c r="K7" s="63">
        <f t="shared" si="3"/>
        <v>6.0344402841560951E-2</v>
      </c>
      <c r="L7" s="63">
        <f t="shared" si="3"/>
        <v>4.7583470316520105E-2</v>
      </c>
      <c r="M7" s="63">
        <f t="shared" si="3"/>
        <v>3.6527119226956062E-2</v>
      </c>
      <c r="N7" s="63">
        <f t="shared" si="3"/>
        <v>3.256061105661745E-2</v>
      </c>
      <c r="O7" s="63">
        <f t="shared" si="3"/>
        <v>2.9681165864519077E-2</v>
      </c>
      <c r="P7" s="63">
        <f t="shared" si="3"/>
        <v>2.7279606367453857E-2</v>
      </c>
      <c r="R7" s="64"/>
      <c r="S7" s="64"/>
      <c r="T7" s="64"/>
    </row>
    <row r="8" spans="1:21" s="50" customFormat="1" x14ac:dyDescent="0.2">
      <c r="A8" s="61" t="s">
        <v>7</v>
      </c>
      <c r="B8" s="43">
        <v>826.00536284399993</v>
      </c>
      <c r="C8" s="43">
        <v>852.50624357799995</v>
      </c>
      <c r="D8" s="43">
        <v>881.240610866</v>
      </c>
      <c r="E8" s="43">
        <v>924.81753667336432</v>
      </c>
      <c r="F8" s="43">
        <v>908.64950408011805</v>
      </c>
      <c r="G8" s="43">
        <v>965.58420446468074</v>
      </c>
      <c r="H8" s="43">
        <v>1026.9616066915669</v>
      </c>
      <c r="I8" s="43">
        <v>1098.7807033486051</v>
      </c>
      <c r="J8" s="43">
        <v>1187.7691929224716</v>
      </c>
      <c r="K8" s="43">
        <v>1261.3536945005089</v>
      </c>
      <c r="L8" s="43">
        <v>1343.2103996075141</v>
      </c>
      <c r="M8" s="43">
        <v>1431.2711488017349</v>
      </c>
      <c r="N8" s="43">
        <v>1528.8934511005295</v>
      </c>
      <c r="O8" s="43">
        <v>1640.5090061256483</v>
      </c>
      <c r="P8" s="43">
        <v>1772.4215017994316</v>
      </c>
      <c r="R8" s="57">
        <f>(J8/D8)^(1/6)-1</f>
        <v>5.1008574074308699E-2</v>
      </c>
      <c r="S8" s="57">
        <f>(P8/J8)^(1/6)-1</f>
        <v>6.8987168417209865E-2</v>
      </c>
      <c r="T8" s="64"/>
    </row>
    <row r="9" spans="1:21" s="50" customFormat="1" x14ac:dyDescent="0.2">
      <c r="A9" s="62" t="s">
        <v>4</v>
      </c>
      <c r="B9" s="63"/>
      <c r="C9" s="63">
        <f t="shared" ref="C9:P9" si="4">C8/B8-1</f>
        <v>3.2083182417551592E-2</v>
      </c>
      <c r="D9" s="63">
        <f t="shared" si="4"/>
        <v>3.3705755828134398E-2</v>
      </c>
      <c r="E9" s="63">
        <f t="shared" si="4"/>
        <v>4.9449520675790337E-2</v>
      </c>
      <c r="F9" s="63">
        <f t="shared" si="4"/>
        <v>-1.7482402692539645E-2</v>
      </c>
      <c r="G9" s="63">
        <f t="shared" si="4"/>
        <v>6.2658594022126479E-2</v>
      </c>
      <c r="H9" s="63">
        <f t="shared" si="4"/>
        <v>6.3565043776698582E-2</v>
      </c>
      <c r="I9" s="63">
        <f t="shared" si="4"/>
        <v>6.9933575110377122E-2</v>
      </c>
      <c r="J9" s="63">
        <f t="shared" si="4"/>
        <v>8.0988398597343636E-2</v>
      </c>
      <c r="K9" s="63">
        <f t="shared" si="4"/>
        <v>6.195185227610156E-2</v>
      </c>
      <c r="L9" s="63">
        <f t="shared" si="4"/>
        <v>6.4895917349669485E-2</v>
      </c>
      <c r="M9" s="63">
        <f t="shared" si="4"/>
        <v>6.5559907234154835E-2</v>
      </c>
      <c r="N9" s="63">
        <f t="shared" si="4"/>
        <v>6.8206714276693337E-2</v>
      </c>
      <c r="O9" s="63">
        <f t="shared" si="4"/>
        <v>7.3004142273469519E-2</v>
      </c>
      <c r="P9" s="63">
        <f t="shared" si="4"/>
        <v>8.0409491920631293E-2</v>
      </c>
      <c r="R9" s="64"/>
      <c r="S9" s="64"/>
      <c r="T9" s="64"/>
    </row>
    <row r="10" spans="1:21" s="50" customFormat="1" ht="17.100000000000001" customHeight="1" x14ac:dyDescent="0.2">
      <c r="B10" s="65"/>
      <c r="C10" s="65"/>
      <c r="D10" s="65"/>
      <c r="E10" s="65"/>
      <c r="F10" s="65"/>
      <c r="G10" s="65"/>
      <c r="H10" s="65"/>
      <c r="I10" s="65"/>
      <c r="J10" s="65"/>
      <c r="K10" s="65"/>
      <c r="L10" s="65"/>
      <c r="M10" s="65"/>
      <c r="N10" s="65"/>
      <c r="O10" s="65"/>
      <c r="P10" s="65"/>
      <c r="R10" s="64"/>
      <c r="S10" s="64"/>
      <c r="T10" s="64"/>
    </row>
    <row r="11" spans="1:21" s="50" customFormat="1" x14ac:dyDescent="0.2">
      <c r="A11" s="55" t="s">
        <v>8</v>
      </c>
      <c r="B11" s="87">
        <v>777.61218159999999</v>
      </c>
      <c r="C11" s="87">
        <v>723.58729049999999</v>
      </c>
      <c r="D11" s="87">
        <v>721.43919500000004</v>
      </c>
      <c r="E11" s="87">
        <v>783.62137740000014</v>
      </c>
      <c r="F11" s="87">
        <v>640.84104220000063</v>
      </c>
      <c r="G11" s="87">
        <v>726.10835710000083</v>
      </c>
      <c r="H11" s="87">
        <v>766.22040460000096</v>
      </c>
      <c r="I11" s="87">
        <v>766.98021650000089</v>
      </c>
      <c r="J11" s="87">
        <v>781.74003080000091</v>
      </c>
      <c r="K11" s="87">
        <v>830.56106941224505</v>
      </c>
      <c r="L11" s="87">
        <v>868.10775367635802</v>
      </c>
      <c r="M11" s="87">
        <v>890.36439005370289</v>
      </c>
      <c r="N11" s="87">
        <v>909.28827535575442</v>
      </c>
      <c r="O11" s="87">
        <v>925.65396586750865</v>
      </c>
      <c r="P11" s="87">
        <v>939.2999236261486</v>
      </c>
      <c r="R11" s="57">
        <f>(J11/D11)^(1/6)-1</f>
        <v>1.346892378513509E-2</v>
      </c>
      <c r="S11" s="57">
        <f>(P11/J11)^(1/6)-1</f>
        <v>3.1075156047640773E-2</v>
      </c>
      <c r="T11" s="64"/>
    </row>
    <row r="12" spans="1:21" s="50" customFormat="1" x14ac:dyDescent="0.2">
      <c r="A12" s="58" t="s">
        <v>4</v>
      </c>
      <c r="B12" s="59"/>
      <c r="C12" s="59">
        <f t="shared" ref="C12:P12" si="5">C11/B11-1</f>
        <v>-6.9475366227981894E-2</v>
      </c>
      <c r="D12" s="59">
        <f t="shared" si="5"/>
        <v>-2.9686750005181173E-3</v>
      </c>
      <c r="E12" s="59">
        <f t="shared" si="5"/>
        <v>8.6191854879745122E-2</v>
      </c>
      <c r="F12" s="59">
        <f t="shared" si="5"/>
        <v>-0.18220576839510749</v>
      </c>
      <c r="G12" s="59">
        <f t="shared" si="5"/>
        <v>0.13305532774130446</v>
      </c>
      <c r="H12" s="59">
        <f t="shared" si="5"/>
        <v>5.5242509066006917E-2</v>
      </c>
      <c r="I12" s="59">
        <f t="shared" si="5"/>
        <v>9.9163621255504708E-4</v>
      </c>
      <c r="J12" s="59">
        <f t="shared" si="5"/>
        <v>1.9244061297114312E-2</v>
      </c>
      <c r="K12" s="59">
        <f t="shared" si="5"/>
        <v>6.2451757219446291E-2</v>
      </c>
      <c r="L12" s="59">
        <f t="shared" si="5"/>
        <v>4.5206410036390476E-2</v>
      </c>
      <c r="M12" s="59">
        <f t="shared" si="5"/>
        <v>2.5638103430236647E-2</v>
      </c>
      <c r="N12" s="59">
        <f t="shared" si="5"/>
        <v>2.1254090475148146E-2</v>
      </c>
      <c r="O12" s="59">
        <f t="shared" si="5"/>
        <v>1.7998352068656409E-2</v>
      </c>
      <c r="P12" s="59">
        <f t="shared" si="5"/>
        <v>1.4741964342853686E-2</v>
      </c>
      <c r="R12" s="64"/>
      <c r="S12" s="64"/>
      <c r="T12" s="64"/>
    </row>
    <row r="13" spans="1:21" s="50" customFormat="1" x14ac:dyDescent="0.2">
      <c r="B13" s="65"/>
      <c r="C13" s="65"/>
      <c r="D13" s="65"/>
      <c r="E13" s="65"/>
      <c r="F13" s="65"/>
      <c r="G13" s="65"/>
      <c r="H13" s="65"/>
      <c r="I13" s="65"/>
      <c r="J13" s="65"/>
      <c r="K13" s="65"/>
      <c r="L13" s="65"/>
      <c r="M13" s="65"/>
      <c r="N13" s="65"/>
      <c r="O13" s="65"/>
      <c r="P13" s="65"/>
      <c r="R13" s="64"/>
      <c r="S13" s="64"/>
      <c r="T13" s="64"/>
    </row>
    <row r="14" spans="1:21" s="50" customFormat="1" x14ac:dyDescent="0.2">
      <c r="A14" s="55" t="s">
        <v>46</v>
      </c>
      <c r="B14" s="87">
        <v>77.913977459999998</v>
      </c>
      <c r="C14" s="87">
        <v>79.337732990000021</v>
      </c>
      <c r="D14" s="87">
        <v>90.948024090000018</v>
      </c>
      <c r="E14" s="87">
        <v>93.64998288000001</v>
      </c>
      <c r="F14" s="87">
        <v>98.44442540999998</v>
      </c>
      <c r="G14" s="87">
        <v>107.62161129999998</v>
      </c>
      <c r="H14" s="87">
        <v>120.14457520000006</v>
      </c>
      <c r="I14" s="87">
        <v>132.86709790000003</v>
      </c>
      <c r="J14" s="87">
        <v>146.8200453</v>
      </c>
      <c r="K14" s="87">
        <v>157.14194174787838</v>
      </c>
      <c r="L14" s="87">
        <v>166.97075756260685</v>
      </c>
      <c r="M14" s="87">
        <v>176.15807021871939</v>
      </c>
      <c r="N14" s="87">
        <v>184.58998597943159</v>
      </c>
      <c r="O14" s="87">
        <v>193.1865746438859</v>
      </c>
      <c r="P14" s="87">
        <v>203.62843670810852</v>
      </c>
      <c r="R14" s="57">
        <f>(J14/D14)^(1/6)-1</f>
        <v>8.3091998912046661E-2</v>
      </c>
      <c r="S14" s="57">
        <f>(P14/J14)^(1/6)-1</f>
        <v>5.602819161368866E-2</v>
      </c>
      <c r="T14" s="64"/>
    </row>
    <row r="15" spans="1:21" s="50" customFormat="1" x14ac:dyDescent="0.2">
      <c r="A15" s="58" t="s">
        <v>4</v>
      </c>
      <c r="B15" s="66"/>
      <c r="C15" s="59">
        <f t="shared" ref="C15" si="6">C14/B14-1</f>
        <v>1.8273428932966018E-2</v>
      </c>
      <c r="D15" s="59">
        <f t="shared" ref="D15" si="7">D14/C14-1</f>
        <v>0.14634009143497195</v>
      </c>
      <c r="E15" s="59">
        <f t="shared" ref="E15" si="8">E14/D14-1</f>
        <v>2.97088234410261E-2</v>
      </c>
      <c r="F15" s="59">
        <f t="shared" ref="F15" si="9">F14/E14-1</f>
        <v>5.1195338029515813E-2</v>
      </c>
      <c r="G15" s="59">
        <f t="shared" ref="G15" si="10">G14/F14-1</f>
        <v>9.32219965912644E-2</v>
      </c>
      <c r="H15" s="59">
        <f t="shared" ref="H15" si="11">H14/G14-1</f>
        <v>0.11636105191820412</v>
      </c>
      <c r="I15" s="59">
        <f t="shared" ref="I15" si="12">I14/H14-1</f>
        <v>0.10589344278608737</v>
      </c>
      <c r="J15" s="59">
        <f t="shared" ref="J15" si="13">J14/I14-1</f>
        <v>0.10501431596331989</v>
      </c>
      <c r="K15" s="59">
        <f t="shared" ref="K15" si="14">K14/J14-1</f>
        <v>7.0303046336673392E-2</v>
      </c>
      <c r="L15" s="59">
        <f t="shared" ref="L15" si="15">L14/K14-1</f>
        <v>6.2547374083604002E-2</v>
      </c>
      <c r="M15" s="59">
        <f t="shared" ref="M15" si="16">M14/L14-1</f>
        <v>5.5023483095042458E-2</v>
      </c>
      <c r="N15" s="59">
        <f t="shared" ref="N15" si="17">N14/M14-1</f>
        <v>4.7865622904718741E-2</v>
      </c>
      <c r="O15" s="59">
        <f t="shared" ref="O15" si="18">O14/N14-1</f>
        <v>4.657126235121023E-2</v>
      </c>
      <c r="P15" s="59">
        <f t="shared" ref="P15" si="19">P14/O14-1</f>
        <v>5.4050661043454129E-2</v>
      </c>
      <c r="R15" s="64"/>
      <c r="S15" s="64"/>
      <c r="T15" s="64"/>
    </row>
    <row r="16" spans="1:21" ht="17.100000000000001" customHeight="1" x14ac:dyDescent="0.2">
      <c r="R16" s="109"/>
      <c r="S16" s="109"/>
      <c r="T16" s="109"/>
    </row>
    <row r="17" spans="1:20" x14ac:dyDescent="0.2">
      <c r="A17" s="67" t="s">
        <v>9</v>
      </c>
      <c r="R17" s="109"/>
      <c r="S17" s="109"/>
      <c r="T17" s="109"/>
    </row>
    <row r="18" spans="1:20" x14ac:dyDescent="0.2">
      <c r="A18" s="68" t="s">
        <v>82</v>
      </c>
      <c r="B18" s="43">
        <v>766.48199999999986</v>
      </c>
      <c r="C18" s="43">
        <v>688.21699999999998</v>
      </c>
      <c r="D18" s="43">
        <v>672.14300000000003</v>
      </c>
      <c r="E18" s="43">
        <v>677.61999999999989</v>
      </c>
      <c r="F18" s="43">
        <v>675.20499999999993</v>
      </c>
      <c r="G18" s="43">
        <v>696.6579999999999</v>
      </c>
      <c r="H18" s="43">
        <v>724.39399999999989</v>
      </c>
      <c r="I18" s="43">
        <v>745.38499999999988</v>
      </c>
      <c r="J18" s="43">
        <v>762.34372672205188</v>
      </c>
      <c r="K18" s="43">
        <v>778.86783472924049</v>
      </c>
      <c r="L18" s="43">
        <v>784.49208643128839</v>
      </c>
      <c r="M18" s="43">
        <v>790.57506431207696</v>
      </c>
      <c r="N18" s="43">
        <v>796.16873863880755</v>
      </c>
      <c r="O18" s="43">
        <v>799.53314343742954</v>
      </c>
      <c r="P18" s="43">
        <v>803.26351008144604</v>
      </c>
      <c r="R18" s="57">
        <f>(J18/D18)^(1/6)-1</f>
        <v>2.1209528708535208E-2</v>
      </c>
      <c r="S18" s="57">
        <f>(P18/J18)^(1/6)-1</f>
        <v>8.7522923197982383E-3</v>
      </c>
      <c r="T18" s="109"/>
    </row>
    <row r="19" spans="1:20" x14ac:dyDescent="0.2">
      <c r="A19" s="62" t="s">
        <v>4</v>
      </c>
      <c r="B19" s="63"/>
      <c r="C19" s="63">
        <f t="shared" ref="C19:P19" si="20">C18/B18-1</f>
        <v>-0.10210937765009476</v>
      </c>
      <c r="D19" s="63">
        <f t="shared" si="20"/>
        <v>-2.3356005445956618E-2</v>
      </c>
      <c r="E19" s="63">
        <f t="shared" si="20"/>
        <v>8.1485636241096504E-3</v>
      </c>
      <c r="F19" s="63">
        <f t="shared" si="20"/>
        <v>-3.5639443936128501E-3</v>
      </c>
      <c r="G19" s="63">
        <f t="shared" si="20"/>
        <v>3.177257277419443E-2</v>
      </c>
      <c r="H19" s="63">
        <f t="shared" si="20"/>
        <v>3.9812935471924549E-2</v>
      </c>
      <c r="I19" s="63">
        <f t="shared" si="20"/>
        <v>2.8977324494681156E-2</v>
      </c>
      <c r="J19" s="63">
        <f t="shared" si="20"/>
        <v>2.2751634017389666E-2</v>
      </c>
      <c r="K19" s="63">
        <f t="shared" si="20"/>
        <v>2.1675403663698356E-2</v>
      </c>
      <c r="L19" s="63">
        <f t="shared" si="20"/>
        <v>7.221060430622428E-3</v>
      </c>
      <c r="M19" s="63">
        <f t="shared" si="20"/>
        <v>7.7540334517081089E-3</v>
      </c>
      <c r="N19" s="63">
        <f t="shared" si="20"/>
        <v>7.0754499847500707E-3</v>
      </c>
      <c r="O19" s="63">
        <f t="shared" si="20"/>
        <v>4.2257434075771982E-3</v>
      </c>
      <c r="P19" s="63">
        <f t="shared" si="20"/>
        <v>4.6656810597975884E-3</v>
      </c>
      <c r="R19" s="109"/>
      <c r="S19" s="109"/>
      <c r="T19" s="109"/>
    </row>
    <row r="20" spans="1:20" x14ac:dyDescent="0.2">
      <c r="A20" s="68" t="s">
        <v>10</v>
      </c>
      <c r="B20" s="43">
        <v>32.846840870999991</v>
      </c>
      <c r="C20" s="43">
        <v>34.453849996999992</v>
      </c>
      <c r="D20" s="43">
        <v>36.032999999999994</v>
      </c>
      <c r="E20" s="43">
        <v>39.533999999999999</v>
      </c>
      <c r="F20" s="43">
        <v>35.50500000000001</v>
      </c>
      <c r="G20" s="43">
        <v>39.093499999999999</v>
      </c>
      <c r="H20" s="43">
        <v>42.681999999999995</v>
      </c>
      <c r="I20" s="43">
        <v>45.329999999999977</v>
      </c>
      <c r="J20" s="43">
        <v>47.066775079127488</v>
      </c>
      <c r="K20" s="43">
        <v>48.688301117606571</v>
      </c>
      <c r="L20" s="43">
        <v>50.284459894734546</v>
      </c>
      <c r="M20" s="43">
        <v>51.722300715998131</v>
      </c>
      <c r="N20" s="43">
        <v>53.003002716821001</v>
      </c>
      <c r="O20" s="43">
        <v>54.279034569263253</v>
      </c>
      <c r="P20" s="43">
        <v>55.447470525343206</v>
      </c>
      <c r="R20" s="57">
        <f>(J20/D20)^(1/6)-1</f>
        <v>4.5528005000323724E-2</v>
      </c>
      <c r="S20" s="57">
        <f>(P20/J20)^(1/6)-1</f>
        <v>2.7687835851108789E-2</v>
      </c>
      <c r="T20" s="109"/>
    </row>
    <row r="21" spans="1:20" x14ac:dyDescent="0.2">
      <c r="A21" s="62" t="s">
        <v>4</v>
      </c>
      <c r="B21" s="63"/>
      <c r="C21" s="63">
        <f t="shared" ref="C21:P21" si="21">C20/B20-1</f>
        <v>4.8924313065942471E-2</v>
      </c>
      <c r="D21" s="63">
        <f t="shared" si="21"/>
        <v>4.5833774836121499E-2</v>
      </c>
      <c r="E21" s="63">
        <f t="shared" si="21"/>
        <v>9.7160935808842108E-2</v>
      </c>
      <c r="F21" s="63">
        <f t="shared" si="21"/>
        <v>-0.10191227803915592</v>
      </c>
      <c r="G21" s="63">
        <f t="shared" si="21"/>
        <v>0.101070271792705</v>
      </c>
      <c r="H21" s="63">
        <f t="shared" si="21"/>
        <v>9.1792753271004113E-2</v>
      </c>
      <c r="I21" s="63">
        <f t="shared" si="21"/>
        <v>6.2040204301578639E-2</v>
      </c>
      <c r="J21" s="63">
        <f t="shared" si="21"/>
        <v>3.83140321890032E-2</v>
      </c>
      <c r="K21" s="63">
        <f t="shared" si="21"/>
        <v>3.4451607014778673E-2</v>
      </c>
      <c r="L21" s="63">
        <f t="shared" si="21"/>
        <v>3.2783209528556956E-2</v>
      </c>
      <c r="M21" s="63">
        <f t="shared" si="21"/>
        <v>2.8594138711513617E-2</v>
      </c>
      <c r="N21" s="63">
        <f t="shared" si="21"/>
        <v>2.476111818488258E-2</v>
      </c>
      <c r="O21" s="63">
        <f t="shared" si="21"/>
        <v>2.4074708734139083E-2</v>
      </c>
      <c r="P21" s="63">
        <f t="shared" si="21"/>
        <v>2.1526469019800931E-2</v>
      </c>
      <c r="R21" s="109"/>
      <c r="S21" s="109"/>
      <c r="T21" s="109"/>
    </row>
    <row r="22" spans="1:20" x14ac:dyDescent="0.2">
      <c r="A22" s="68" t="s">
        <v>11</v>
      </c>
      <c r="B22" s="43">
        <v>0.51744444439999993</v>
      </c>
      <c r="C22" s="43">
        <v>0.50333333329999996</v>
      </c>
      <c r="D22" s="43">
        <v>0.52299999999999991</v>
      </c>
      <c r="E22" s="43">
        <v>0.52599999999999991</v>
      </c>
      <c r="F22" s="43">
        <v>0.46099999999999974</v>
      </c>
      <c r="G22" s="43">
        <v>0.50399999999999967</v>
      </c>
      <c r="H22" s="43">
        <v>0.5469999999999996</v>
      </c>
      <c r="I22" s="43">
        <v>0.58999999999999975</v>
      </c>
      <c r="J22" s="43">
        <v>0.60244642412751903</v>
      </c>
      <c r="K22" s="43">
        <v>0.61186497256490335</v>
      </c>
      <c r="L22" s="43">
        <v>0.62190009054449003</v>
      </c>
      <c r="M22" s="43">
        <v>0.63020180524373826</v>
      </c>
      <c r="N22" s="43">
        <v>0.63450728006633972</v>
      </c>
      <c r="O22" s="43">
        <v>0.63913669263434059</v>
      </c>
      <c r="P22" s="43">
        <v>0.63986116382458169</v>
      </c>
      <c r="R22" s="57">
        <f>(J22/D22)^(1/6)-1</f>
        <v>2.3849502692544933E-2</v>
      </c>
      <c r="S22" s="57">
        <f>(P22/J22)^(1/6)-1</f>
        <v>1.0092671309595014E-2</v>
      </c>
      <c r="T22" s="109"/>
    </row>
    <row r="23" spans="1:20" x14ac:dyDescent="0.2">
      <c r="A23" s="62" t="s">
        <v>4</v>
      </c>
      <c r="B23" s="63"/>
      <c r="C23" s="63">
        <f t="shared" ref="C23:P23" si="22">C22/B22-1</f>
        <v>-2.7270775158021898E-2</v>
      </c>
      <c r="D23" s="63">
        <f t="shared" si="22"/>
        <v>3.9072847750931894E-2</v>
      </c>
      <c r="E23" s="63">
        <f t="shared" si="22"/>
        <v>5.7361376673039643E-3</v>
      </c>
      <c r="F23" s="63">
        <f t="shared" si="22"/>
        <v>-0.12357414448669235</v>
      </c>
      <c r="G23" s="63">
        <f t="shared" si="22"/>
        <v>9.3275488069414214E-2</v>
      </c>
      <c r="H23" s="63">
        <f t="shared" si="22"/>
        <v>8.5317460317460236E-2</v>
      </c>
      <c r="I23" s="63">
        <f t="shared" si="22"/>
        <v>7.8610603290676817E-2</v>
      </c>
      <c r="J23" s="63">
        <f t="shared" si="22"/>
        <v>2.1095634114439488E-2</v>
      </c>
      <c r="K23" s="63">
        <f t="shared" si="22"/>
        <v>1.5633835740704427E-2</v>
      </c>
      <c r="L23" s="63">
        <f t="shared" si="22"/>
        <v>1.6400870174868798E-2</v>
      </c>
      <c r="M23" s="63">
        <f t="shared" si="22"/>
        <v>1.3348952388766877E-2</v>
      </c>
      <c r="N23" s="63">
        <f t="shared" si="22"/>
        <v>6.831898586733276E-3</v>
      </c>
      <c r="O23" s="63">
        <f t="shared" si="22"/>
        <v>7.2960747865915554E-3</v>
      </c>
      <c r="P23" s="63">
        <f t="shared" si="22"/>
        <v>1.1335152536071647E-3</v>
      </c>
      <c r="R23" s="109"/>
      <c r="S23" s="109"/>
      <c r="T23" s="109"/>
    </row>
    <row r="24" spans="1:20" x14ac:dyDescent="0.2">
      <c r="A24" s="69" t="s">
        <v>54</v>
      </c>
      <c r="B24" s="56">
        <f t="shared" ref="B24:P24" si="23">B18+B20+B22</f>
        <v>799.84628531539988</v>
      </c>
      <c r="C24" s="56">
        <f t="shared" si="23"/>
        <v>723.17418333030002</v>
      </c>
      <c r="D24" s="56">
        <f t="shared" si="23"/>
        <v>708.69900000000007</v>
      </c>
      <c r="E24" s="56">
        <f t="shared" si="23"/>
        <v>717.67999999999984</v>
      </c>
      <c r="F24" s="56">
        <f t="shared" si="23"/>
        <v>711.17099999999994</v>
      </c>
      <c r="G24" s="56">
        <f t="shared" si="23"/>
        <v>736.25549999999987</v>
      </c>
      <c r="H24" s="56">
        <f t="shared" si="23"/>
        <v>767.62299999999993</v>
      </c>
      <c r="I24" s="56">
        <f t="shared" si="23"/>
        <v>791.30499999999984</v>
      </c>
      <c r="J24" s="56">
        <f t="shared" si="23"/>
        <v>810.0129482253069</v>
      </c>
      <c r="K24" s="56">
        <f t="shared" si="23"/>
        <v>828.16800081941199</v>
      </c>
      <c r="L24" s="56">
        <f t="shared" si="23"/>
        <v>835.39844641656748</v>
      </c>
      <c r="M24" s="56">
        <f t="shared" si="23"/>
        <v>842.92756683331879</v>
      </c>
      <c r="N24" s="56">
        <f t="shared" si="23"/>
        <v>849.80624863569494</v>
      </c>
      <c r="O24" s="56">
        <f t="shared" si="23"/>
        <v>854.4513146993271</v>
      </c>
      <c r="P24" s="56">
        <f t="shared" si="23"/>
        <v>859.35084177061378</v>
      </c>
      <c r="R24" s="57">
        <f>(J24/D24)^(1/6)-1</f>
        <v>2.2519714776055633E-2</v>
      </c>
      <c r="S24" s="57">
        <f>(P24/J24)^(1/6)-1</f>
        <v>9.9032215459615713E-3</v>
      </c>
      <c r="T24" s="109"/>
    </row>
    <row r="25" spans="1:20" ht="17.100000000000001" customHeight="1" x14ac:dyDescent="0.2">
      <c r="A25" s="70" t="s">
        <v>4</v>
      </c>
      <c r="B25" s="66"/>
      <c r="C25" s="59">
        <f t="shared" ref="C25:P25" si="24">C24/B24-1</f>
        <v>-9.5858546064092942E-2</v>
      </c>
      <c r="D25" s="59">
        <f t="shared" si="24"/>
        <v>-2.0016178209847135E-2</v>
      </c>
      <c r="E25" s="59">
        <f t="shared" si="24"/>
        <v>1.2672516823079683E-2</v>
      </c>
      <c r="F25" s="59">
        <f t="shared" si="24"/>
        <v>-9.0695017277894197E-3</v>
      </c>
      <c r="G25" s="59">
        <f t="shared" si="24"/>
        <v>3.5272107552192011E-2</v>
      </c>
      <c r="H25" s="59">
        <f t="shared" si="24"/>
        <v>4.260409599656656E-2</v>
      </c>
      <c r="I25" s="59">
        <f t="shared" si="24"/>
        <v>3.0851081846166473E-2</v>
      </c>
      <c r="J25" s="59">
        <f t="shared" si="24"/>
        <v>2.3641893107344325E-2</v>
      </c>
      <c r="K25" s="59">
        <f t="shared" si="24"/>
        <v>2.2413286891131534E-2</v>
      </c>
      <c r="L25" s="59">
        <f t="shared" si="24"/>
        <v>8.7306507737578976E-3</v>
      </c>
      <c r="M25" s="59">
        <f t="shared" si="24"/>
        <v>9.0126100294385392E-3</v>
      </c>
      <c r="N25" s="59">
        <f t="shared" si="24"/>
        <v>8.1604660626033443E-3</v>
      </c>
      <c r="O25" s="59">
        <f t="shared" si="24"/>
        <v>5.4660295462518604E-3</v>
      </c>
      <c r="P25" s="59">
        <f t="shared" si="24"/>
        <v>5.7341208176509006E-3</v>
      </c>
      <c r="R25" s="109"/>
      <c r="S25" s="109"/>
      <c r="T25" s="109"/>
    </row>
    <row r="26" spans="1:20" ht="17.100000000000001" customHeight="1" x14ac:dyDescent="0.2">
      <c r="R26" s="109"/>
      <c r="S26" s="109"/>
      <c r="T26" s="109"/>
    </row>
    <row r="27" spans="1:20" x14ac:dyDescent="0.2">
      <c r="A27" s="71" t="s">
        <v>12</v>
      </c>
      <c r="R27" s="109"/>
      <c r="S27" s="109"/>
      <c r="T27" s="109"/>
    </row>
    <row r="28" spans="1:20" x14ac:dyDescent="0.2">
      <c r="A28" s="72" t="s">
        <v>84</v>
      </c>
      <c r="B28" s="88">
        <v>4.8657469958404816E-2</v>
      </c>
      <c r="C28" s="88">
        <v>5.6671316277289156E-2</v>
      </c>
      <c r="D28" s="88">
        <v>6.591358943618314E-2</v>
      </c>
      <c r="E28" s="88">
        <v>7.6540844406054062E-2</v>
      </c>
      <c r="F28" s="88">
        <v>8.8718792254757983E-2</v>
      </c>
      <c r="G28" s="88">
        <v>0.10261898885714939</v>
      </c>
      <c r="H28" s="88">
        <v>0.11841403307001754</v>
      </c>
      <c r="I28" s="88">
        <v>0.13627105746467602</v>
      </c>
      <c r="J28" s="88">
        <v>0.156343387412995</v>
      </c>
      <c r="K28" s="88">
        <v>0.17876040556913242</v>
      </c>
      <c r="L28" s="88">
        <v>0.20361589731793103</v>
      </c>
      <c r="M28" s="88">
        <v>0.2309554635644635</v>
      </c>
      <c r="N28" s="88">
        <v>0.26076394339796499</v>
      </c>
      <c r="O28" s="88">
        <v>0.29295413581018354</v>
      </c>
      <c r="P28" s="88">
        <v>0.32735836450761019</v>
      </c>
      <c r="R28" s="109"/>
      <c r="S28" s="109"/>
      <c r="T28" s="109"/>
    </row>
    <row r="29" spans="1:20" x14ac:dyDescent="0.2">
      <c r="A29" s="72" t="s">
        <v>13</v>
      </c>
      <c r="B29" s="88">
        <v>9.3268564853579011E-2</v>
      </c>
      <c r="C29" s="88">
        <v>0.10752675320016548</v>
      </c>
      <c r="D29" s="88">
        <v>0.12366734208410438</v>
      </c>
      <c r="E29" s="88">
        <v>0.14184568387052632</v>
      </c>
      <c r="F29" s="88">
        <v>0.16220154719425181</v>
      </c>
      <c r="G29" s="88">
        <v>0.18484938264852532</v>
      </c>
      <c r="H29" s="88">
        <v>0.20986734095125081</v>
      </c>
      <c r="I29" s="88">
        <v>0.2372856473702058</v>
      </c>
      <c r="J29" s="88">
        <v>0.26707524961461021</v>
      </c>
      <c r="K29" s="88">
        <v>0.29913794559513313</v>
      </c>
      <c r="L29" s="88">
        <v>0.33329938856354557</v>
      </c>
      <c r="M29" s="88">
        <v>0.36930637733566135</v>
      </c>
      <c r="N29" s="88">
        <v>0.40682959955841014</v>
      </c>
      <c r="O29" s="88">
        <v>0.44547248023217806</v>
      </c>
      <c r="P29" s="88">
        <v>0.48478603819422417</v>
      </c>
      <c r="R29" s="109"/>
      <c r="S29" s="109"/>
      <c r="T29" s="109"/>
    </row>
    <row r="30" spans="1:20" x14ac:dyDescent="0.2">
      <c r="A30" s="72" t="s">
        <v>14</v>
      </c>
      <c r="B30" s="88">
        <v>0.35214962183420362</v>
      </c>
      <c r="C30" s="88">
        <v>0.38151522223531914</v>
      </c>
      <c r="D30" s="88">
        <v>0.41177316169392075</v>
      </c>
      <c r="E30" s="88">
        <v>0.44271310480344778</v>
      </c>
      <c r="F30" s="88">
        <v>0.47410408100294715</v>
      </c>
      <c r="G30" s="88">
        <v>0.50570109108169559</v>
      </c>
      <c r="H30" s="88">
        <v>0.53725262634787363</v>
      </c>
      <c r="I30" s="88">
        <v>0.56850862030479343</v>
      </c>
      <c r="J30" s="88">
        <v>0.59922830401696281</v>
      </c>
      <c r="K30" s="88">
        <v>0.62918744725273379</v>
      </c>
      <c r="L30" s="88">
        <v>0.6581845361023646</v>
      </c>
      <c r="M30" s="88">
        <v>0.68604555258523647</v>
      </c>
      <c r="N30" s="88">
        <v>0.71262716430667694</v>
      </c>
      <c r="O30" s="88">
        <v>0.73781828116444725</v>
      </c>
      <c r="P30" s="88">
        <v>0.7615400715597167</v>
      </c>
      <c r="R30" s="109"/>
      <c r="S30" s="109"/>
      <c r="T30" s="109"/>
    </row>
    <row r="31" spans="1:20" x14ac:dyDescent="0.2">
      <c r="A31" s="73" t="s">
        <v>15</v>
      </c>
      <c r="B31" s="89">
        <v>5.0685827022500268E-2</v>
      </c>
      <c r="C31" s="89">
        <v>5.9320291317353273E-2</v>
      </c>
      <c r="D31" s="89">
        <v>6.9105248413341758E-2</v>
      </c>
      <c r="E31" s="89">
        <v>8.0406589769387971E-2</v>
      </c>
      <c r="F31" s="89">
        <v>9.2637213889272943E-2</v>
      </c>
      <c r="G31" s="89">
        <v>0.10726116440518173</v>
      </c>
      <c r="H31" s="89">
        <v>0.12379755440472191</v>
      </c>
      <c r="I31" s="89">
        <v>0.14237996809015335</v>
      </c>
      <c r="J31" s="89">
        <v>0.16310699051174515</v>
      </c>
      <c r="K31" s="89">
        <v>0.18617022874512229</v>
      </c>
      <c r="L31" s="89">
        <v>0.21176022727371754</v>
      </c>
      <c r="M31" s="89">
        <v>0.239784960255403</v>
      </c>
      <c r="N31" s="89">
        <v>0.27021154264362424</v>
      </c>
      <c r="O31" s="89">
        <v>0.30297562836400421</v>
      </c>
      <c r="P31" s="89">
        <v>0.33783927855482276</v>
      </c>
      <c r="R31" s="109"/>
      <c r="S31" s="109"/>
      <c r="T31" s="109"/>
    </row>
    <row r="32" spans="1:20" ht="17.100000000000001" customHeight="1" x14ac:dyDescent="0.2">
      <c r="R32" s="109"/>
      <c r="S32" s="109"/>
      <c r="T32" s="109"/>
    </row>
    <row r="33" spans="1:20" x14ac:dyDescent="0.2">
      <c r="A33" s="67" t="s">
        <v>16</v>
      </c>
      <c r="R33" s="109"/>
      <c r="S33" s="109"/>
      <c r="T33" s="109"/>
    </row>
    <row r="34" spans="1:20" x14ac:dyDescent="0.2">
      <c r="A34" s="68" t="s">
        <v>83</v>
      </c>
      <c r="B34" s="43">
        <f t="shared" ref="B34:P34" si="25">B28*B18</f>
        <v>37.295074888658036</v>
      </c>
      <c r="C34" s="43">
        <f t="shared" si="25"/>
        <v>39.00216327440711</v>
      </c>
      <c r="D34" s="43">
        <f t="shared" si="25"/>
        <v>44.303357744404444</v>
      </c>
      <c r="E34" s="43">
        <f t="shared" si="25"/>
        <v>51.865606986430343</v>
      </c>
      <c r="F34" s="43">
        <f t="shared" si="25"/>
        <v>59.90337212437386</v>
      </c>
      <c r="G34" s="43">
        <f t="shared" si="25"/>
        <v>71.490339539243962</v>
      </c>
      <c r="H34" s="43">
        <f t="shared" si="25"/>
        <v>85.778415071722264</v>
      </c>
      <c r="I34" s="43">
        <f t="shared" si="25"/>
        <v>101.57440216830751</v>
      </c>
      <c r="J34" s="43">
        <f t="shared" si="25"/>
        <v>119.18740060877215</v>
      </c>
      <c r="K34" s="43">
        <f t="shared" si="25"/>
        <v>139.23073002095103</v>
      </c>
      <c r="L34" s="43">
        <f t="shared" si="25"/>
        <v>159.73506011752269</v>
      </c>
      <c r="M34" s="43">
        <f t="shared" si="25"/>
        <v>182.58763046070129</v>
      </c>
      <c r="N34" s="43">
        <f t="shared" si="25"/>
        <v>207.61209989763918</v>
      </c>
      <c r="O34" s="43">
        <f t="shared" si="25"/>
        <v>234.22654108731169</v>
      </c>
      <c r="P34" s="43">
        <f t="shared" si="25"/>
        <v>262.95502892890443</v>
      </c>
      <c r="R34" s="57">
        <f>(J34/D34)^(1/6)-1</f>
        <v>0.1793216849727115</v>
      </c>
      <c r="S34" s="57">
        <f>(P34/J34)^(1/6)-1</f>
        <v>0.14097253078563976</v>
      </c>
      <c r="T34" s="109"/>
    </row>
    <row r="35" spans="1:20" x14ac:dyDescent="0.2">
      <c r="A35" s="62" t="s">
        <v>4</v>
      </c>
      <c r="B35" s="75"/>
      <c r="C35" s="63">
        <f t="shared" ref="C35:P35" si="26">C34/B34-1</f>
        <v>4.5772488481266471E-2</v>
      </c>
      <c r="D35" s="63">
        <f t="shared" si="26"/>
        <v>0.135920524015547</v>
      </c>
      <c r="E35" s="63">
        <f t="shared" si="26"/>
        <v>0.17069246276217109</v>
      </c>
      <c r="F35" s="63">
        <f t="shared" si="26"/>
        <v>0.1549729310995327</v>
      </c>
      <c r="G35" s="63">
        <f t="shared" si="26"/>
        <v>0.19342763193385437</v>
      </c>
      <c r="H35" s="63">
        <f t="shared" si="26"/>
        <v>0.19986022761348043</v>
      </c>
      <c r="I35" s="63">
        <f t="shared" si="26"/>
        <v>0.18414874048882446</v>
      </c>
      <c r="J35" s="63">
        <f t="shared" si="26"/>
        <v>0.17339997149360631</v>
      </c>
      <c r="K35" s="63">
        <f t="shared" si="26"/>
        <v>0.16816651181084397</v>
      </c>
      <c r="L35" s="63">
        <f t="shared" si="26"/>
        <v>0.14726871067533898</v>
      </c>
      <c r="M35" s="63">
        <f t="shared" si="26"/>
        <v>0.14306546306343249</v>
      </c>
      <c r="N35" s="63">
        <f t="shared" si="26"/>
        <v>0.13705457140659894</v>
      </c>
      <c r="O35" s="63">
        <f t="shared" si="26"/>
        <v>0.12819311207195749</v>
      </c>
      <c r="P35" s="63">
        <f t="shared" si="26"/>
        <v>0.12265257262576301</v>
      </c>
      <c r="R35" s="109"/>
      <c r="S35" s="109"/>
      <c r="T35" s="109"/>
    </row>
    <row r="36" spans="1:20" x14ac:dyDescent="0.2">
      <c r="A36" s="68" t="s">
        <v>17</v>
      </c>
      <c r="B36" s="43">
        <f t="shared" ref="B36:P36" si="27">B29*B20</f>
        <v>3.0635777080120525</v>
      </c>
      <c r="C36" s="43">
        <f t="shared" si="27"/>
        <v>3.7047106254229405</v>
      </c>
      <c r="D36" s="43">
        <f t="shared" si="27"/>
        <v>4.456105337316532</v>
      </c>
      <c r="E36" s="43">
        <f t="shared" si="27"/>
        <v>5.6077272661373874</v>
      </c>
      <c r="F36" s="43">
        <f t="shared" si="27"/>
        <v>5.7589659331319121</v>
      </c>
      <c r="G36" s="43">
        <f t="shared" si="27"/>
        <v>7.2264093405701244</v>
      </c>
      <c r="H36" s="43">
        <f t="shared" si="27"/>
        <v>8.9575578464812864</v>
      </c>
      <c r="I36" s="43">
        <f t="shared" si="27"/>
        <v>10.756158395291424</v>
      </c>
      <c r="J36" s="43">
        <f t="shared" si="27"/>
        <v>12.570370702812689</v>
      </c>
      <c r="K36" s="43">
        <f t="shared" si="27"/>
        <v>14.564518370838053</v>
      </c>
      <c r="L36" s="43">
        <f t="shared" si="27"/>
        <v>16.759779737163154</v>
      </c>
      <c r="M36" s="43">
        <f t="shared" si="27"/>
        <v>19.101375504890953</v>
      </c>
      <c r="N36" s="43">
        <f t="shared" si="27"/>
        <v>21.563190370677614</v>
      </c>
      <c r="O36" s="43">
        <f t="shared" si="27"/>
        <v>24.179816154177836</v>
      </c>
      <c r="P36" s="43">
        <f t="shared" si="27"/>
        <v>26.880159563872152</v>
      </c>
      <c r="R36" s="57">
        <f>(J36/D36)^(1/6)-1</f>
        <v>0.18868132436934526</v>
      </c>
      <c r="S36" s="57">
        <f>(P36/J36)^(1/6)-1</f>
        <v>0.13504729888537503</v>
      </c>
      <c r="T36" s="109"/>
    </row>
    <row r="37" spans="1:20" x14ac:dyDescent="0.2">
      <c r="A37" s="62" t="s">
        <v>4</v>
      </c>
      <c r="B37" s="75"/>
      <c r="C37" s="63">
        <f t="shared" ref="C37:P37" si="28">C36/B36-1</f>
        <v>0.20927587889615418</v>
      </c>
      <c r="D37" s="63">
        <f t="shared" si="28"/>
        <v>0.20282143137908659</v>
      </c>
      <c r="E37" s="63">
        <f t="shared" si="28"/>
        <v>0.25843687292957096</v>
      </c>
      <c r="F37" s="63">
        <f t="shared" si="28"/>
        <v>2.6969690182293338E-2</v>
      </c>
      <c r="G37" s="63">
        <f t="shared" si="28"/>
        <v>0.25481022539061438</v>
      </c>
      <c r="H37" s="63">
        <f t="shared" si="28"/>
        <v>0.23955860017398134</v>
      </c>
      <c r="I37" s="63">
        <f t="shared" si="28"/>
        <v>0.20079139645374044</v>
      </c>
      <c r="J37" s="63">
        <f t="shared" si="28"/>
        <v>0.16866731046982797</v>
      </c>
      <c r="K37" s="63">
        <f t="shared" si="28"/>
        <v>0.15863873191736211</v>
      </c>
      <c r="L37" s="63">
        <f t="shared" si="28"/>
        <v>0.15072667083317937</v>
      </c>
      <c r="M37" s="63">
        <f t="shared" si="28"/>
        <v>0.13971518745771716</v>
      </c>
      <c r="N37" s="63">
        <f t="shared" si="28"/>
        <v>0.12888154914060013</v>
      </c>
      <c r="O37" s="63">
        <f t="shared" si="28"/>
        <v>0.12134687578784265</v>
      </c>
      <c r="P37" s="63">
        <f t="shared" si="28"/>
        <v>0.11167758234703307</v>
      </c>
      <c r="R37" s="109"/>
      <c r="S37" s="109"/>
      <c r="T37" s="109"/>
    </row>
    <row r="38" spans="1:20" x14ac:dyDescent="0.2">
      <c r="A38" s="68" t="s">
        <v>18</v>
      </c>
      <c r="B38" s="43">
        <f t="shared" ref="B38:P38" si="29">B30*B22</f>
        <v>0.18221786541566956</v>
      </c>
      <c r="C38" s="43">
        <f t="shared" si="29"/>
        <v>0.19202932851239343</v>
      </c>
      <c r="D38" s="43">
        <f t="shared" si="29"/>
        <v>0.21535736356592053</v>
      </c>
      <c r="E38" s="43">
        <f t="shared" si="29"/>
        <v>0.23286709312661349</v>
      </c>
      <c r="F38" s="43">
        <f t="shared" si="29"/>
        <v>0.21856198134235852</v>
      </c>
      <c r="G38" s="43">
        <f t="shared" si="29"/>
        <v>0.25487334990517441</v>
      </c>
      <c r="H38" s="43">
        <f t="shared" si="29"/>
        <v>0.29387718661228668</v>
      </c>
      <c r="I38" s="43">
        <f t="shared" si="29"/>
        <v>0.33542008597982798</v>
      </c>
      <c r="J38" s="43">
        <f t="shared" si="29"/>
        <v>0.36100294899101709</v>
      </c>
      <c r="K38" s="43">
        <f t="shared" si="29"/>
        <v>0.38497776015147556</v>
      </c>
      <c r="L38" s="43">
        <f t="shared" si="29"/>
        <v>0.40932502259704373</v>
      </c>
      <c r="M38" s="43">
        <f t="shared" si="29"/>
        <v>0.43234714571865401</v>
      </c>
      <c r="N38" s="43">
        <f t="shared" si="29"/>
        <v>0.45216712372561818</v>
      </c>
      <c r="O38" s="43">
        <f t="shared" si="29"/>
        <v>0.47156673598859883</v>
      </c>
      <c r="P38" s="43">
        <f t="shared" si="29"/>
        <v>0.48727991648725555</v>
      </c>
      <c r="R38" s="57">
        <f>(J38/D38)^(1/6)-1</f>
        <v>8.9913011553705013E-2</v>
      </c>
      <c r="S38" s="57">
        <f>(P38/J38)^(1/6)-1</f>
        <v>5.1262792750099484E-2</v>
      </c>
      <c r="T38" s="109"/>
    </row>
    <row r="39" spans="1:20" x14ac:dyDescent="0.2">
      <c r="A39" s="62" t="s">
        <v>4</v>
      </c>
      <c r="B39" s="75"/>
      <c r="C39" s="63">
        <f t="shared" ref="C39:P39" si="30">C38/B38-1</f>
        <v>5.3844682431891444E-2</v>
      </c>
      <c r="D39" s="63">
        <f t="shared" si="30"/>
        <v>0.12148162592789324</v>
      </c>
      <c r="E39" s="63">
        <f t="shared" si="30"/>
        <v>8.1305460239502247E-2</v>
      </c>
      <c r="F39" s="63">
        <f t="shared" si="30"/>
        <v>-6.1430370397920764E-2</v>
      </c>
      <c r="G39" s="63">
        <f t="shared" si="30"/>
        <v>0.16613762530793164</v>
      </c>
      <c r="H39" s="63">
        <f t="shared" si="30"/>
        <v>0.15303222844453379</v>
      </c>
      <c r="I39" s="63">
        <f t="shared" si="30"/>
        <v>0.1413614300804813</v>
      </c>
      <c r="J39" s="63">
        <f t="shared" si="30"/>
        <v>7.6271112197877411E-2</v>
      </c>
      <c r="K39" s="63">
        <f t="shared" si="30"/>
        <v>6.6411676767369032E-2</v>
      </c>
      <c r="L39" s="63">
        <f t="shared" si="30"/>
        <v>6.3243296017900796E-2</v>
      </c>
      <c r="M39" s="63">
        <f t="shared" si="30"/>
        <v>5.6244113725425038E-2</v>
      </c>
      <c r="N39" s="63">
        <f t="shared" si="30"/>
        <v>4.5842740499695278E-2</v>
      </c>
      <c r="O39" s="63">
        <f t="shared" si="30"/>
        <v>4.2903632849593532E-2</v>
      </c>
      <c r="P39" s="63">
        <f t="shared" si="30"/>
        <v>3.3321223274401124E-2</v>
      </c>
      <c r="R39" s="109"/>
      <c r="S39" s="109"/>
      <c r="T39" s="109"/>
    </row>
    <row r="40" spans="1:20" x14ac:dyDescent="0.2">
      <c r="A40" s="73" t="s">
        <v>19</v>
      </c>
      <c r="B40" s="56">
        <f t="shared" ref="B40:P40" si="31">B38+B36+B34</f>
        <v>40.540870462085756</v>
      </c>
      <c r="C40" s="56">
        <f t="shared" si="31"/>
        <v>42.898903228342441</v>
      </c>
      <c r="D40" s="56">
        <f t="shared" si="31"/>
        <v>48.974820445286895</v>
      </c>
      <c r="E40" s="56">
        <f t="shared" si="31"/>
        <v>57.706201345694346</v>
      </c>
      <c r="F40" s="56">
        <f t="shared" si="31"/>
        <v>65.880900038848125</v>
      </c>
      <c r="G40" s="56">
        <f t="shared" si="31"/>
        <v>78.971622229719259</v>
      </c>
      <c r="H40" s="56">
        <f t="shared" si="31"/>
        <v>95.029850104815836</v>
      </c>
      <c r="I40" s="56">
        <f t="shared" si="31"/>
        <v>112.66598064957877</v>
      </c>
      <c r="J40" s="56">
        <f t="shared" si="31"/>
        <v>132.11877426057586</v>
      </c>
      <c r="K40" s="56">
        <f t="shared" si="31"/>
        <v>154.18022615194056</v>
      </c>
      <c r="L40" s="56">
        <f t="shared" si="31"/>
        <v>176.90416487728288</v>
      </c>
      <c r="M40" s="56">
        <f t="shared" si="31"/>
        <v>202.1213531113109</v>
      </c>
      <c r="N40" s="56">
        <f t="shared" si="31"/>
        <v>229.6274573920424</v>
      </c>
      <c r="O40" s="56">
        <f t="shared" si="31"/>
        <v>258.87792397747813</v>
      </c>
      <c r="P40" s="56">
        <f t="shared" si="31"/>
        <v>290.32246840926382</v>
      </c>
      <c r="R40" s="57">
        <f>(J40/D40)^(1/6)-1</f>
        <v>0.17986399210462745</v>
      </c>
      <c r="S40" s="57">
        <f>(P40/J40)^(1/6)-1</f>
        <v>0.14021307979226116</v>
      </c>
      <c r="T40" s="109"/>
    </row>
    <row r="41" spans="1:20" x14ac:dyDescent="0.2">
      <c r="A41" s="74" t="s">
        <v>4</v>
      </c>
      <c r="B41" s="66"/>
      <c r="C41" s="59">
        <f t="shared" ref="C41:P41" si="32">C40/B40-1</f>
        <v>5.8164334889206248E-2</v>
      </c>
      <c r="D41" s="59">
        <f t="shared" si="32"/>
        <v>0.1416333929239062</v>
      </c>
      <c r="E41" s="59">
        <f t="shared" si="32"/>
        <v>0.17828306098971547</v>
      </c>
      <c r="F41" s="59">
        <f t="shared" si="32"/>
        <v>0.14166066215626438</v>
      </c>
      <c r="G41" s="59">
        <f t="shared" si="32"/>
        <v>0.19870284381591485</v>
      </c>
      <c r="H41" s="59">
        <f t="shared" si="32"/>
        <v>0.20334175013380196</v>
      </c>
      <c r="I41" s="59">
        <f t="shared" si="32"/>
        <v>0.18558516640098532</v>
      </c>
      <c r="J41" s="59">
        <f t="shared" si="32"/>
        <v>0.1726589827633993</v>
      </c>
      <c r="K41" s="59">
        <f t="shared" si="32"/>
        <v>0.16698196009488586</v>
      </c>
      <c r="L41" s="59">
        <f t="shared" si="32"/>
        <v>0.14738555839805612</v>
      </c>
      <c r="M41" s="59">
        <f t="shared" si="32"/>
        <v>0.14254717095847336</v>
      </c>
      <c r="N41" s="59">
        <f t="shared" si="32"/>
        <v>0.13608707767547723</v>
      </c>
      <c r="O41" s="59">
        <f t="shared" si="32"/>
        <v>0.12738226916607998</v>
      </c>
      <c r="P41" s="59">
        <f t="shared" si="32"/>
        <v>0.12146475817119606</v>
      </c>
      <c r="R41" s="109"/>
      <c r="S41" s="109"/>
      <c r="T41" s="109"/>
    </row>
    <row r="42" spans="1:20" ht="17.100000000000001" customHeight="1" x14ac:dyDescent="0.2">
      <c r="R42" s="109"/>
      <c r="S42" s="109"/>
      <c r="T42" s="109"/>
    </row>
    <row r="43" spans="1:20" x14ac:dyDescent="0.2">
      <c r="A43" s="76" t="s">
        <v>20</v>
      </c>
      <c r="B43" s="56">
        <f t="shared" ref="B43:P43" si="33">B55+B111</f>
        <v>50.476796315199998</v>
      </c>
      <c r="C43" s="56">
        <f t="shared" si="33"/>
        <v>68.405630302400112</v>
      </c>
      <c r="D43" s="56">
        <f t="shared" si="33"/>
        <v>85.198035054800144</v>
      </c>
      <c r="E43" s="56">
        <f t="shared" si="33"/>
        <v>107.89145532740024</v>
      </c>
      <c r="F43" s="56">
        <f t="shared" si="33"/>
        <v>128.59975114840034</v>
      </c>
      <c r="G43" s="56">
        <f t="shared" si="33"/>
        <v>172.19197051680038</v>
      </c>
      <c r="H43" s="56">
        <f t="shared" si="33"/>
        <v>232.87160770320045</v>
      </c>
      <c r="I43" s="56">
        <f t="shared" si="33"/>
        <v>291.55860108540043</v>
      </c>
      <c r="J43" s="56">
        <f t="shared" si="33"/>
        <v>358.65038115900097</v>
      </c>
      <c r="K43" s="56">
        <f t="shared" si="33"/>
        <v>428.36567362856198</v>
      </c>
      <c r="L43" s="56">
        <f t="shared" si="33"/>
        <v>519.52687941723138</v>
      </c>
      <c r="M43" s="56">
        <f t="shared" si="33"/>
        <v>620.15350787536204</v>
      </c>
      <c r="N43" s="56">
        <f t="shared" si="33"/>
        <v>751.52690843283301</v>
      </c>
      <c r="O43" s="56">
        <f t="shared" si="33"/>
        <v>904.71997965033552</v>
      </c>
      <c r="P43" s="56">
        <f t="shared" si="33"/>
        <v>1068.5902074879075</v>
      </c>
      <c r="R43" s="57">
        <f>(J43/D43)^(1/6)-1</f>
        <v>0.27069197261739752</v>
      </c>
      <c r="S43" s="57">
        <f>(P43/J43)^(1/6)-1</f>
        <v>0.19956370123751466</v>
      </c>
      <c r="T43" s="109"/>
    </row>
    <row r="44" spans="1:20" x14ac:dyDescent="0.2">
      <c r="A44" s="58" t="s">
        <v>4</v>
      </c>
      <c r="B44" s="66"/>
      <c r="C44" s="59">
        <f t="shared" ref="C44:P44" si="34">C43/B43-1</f>
        <v>0.35518961772542679</v>
      </c>
      <c r="D44" s="59">
        <f t="shared" si="34"/>
        <v>0.24548278669703083</v>
      </c>
      <c r="E44" s="59">
        <f t="shared" si="34"/>
        <v>0.26636084104525981</v>
      </c>
      <c r="F44" s="59">
        <f t="shared" si="34"/>
        <v>0.19193638419428205</v>
      </c>
      <c r="G44" s="59">
        <f t="shared" si="34"/>
        <v>0.33897592319673997</v>
      </c>
      <c r="H44" s="59">
        <f t="shared" si="34"/>
        <v>0.35239527722623798</v>
      </c>
      <c r="I44" s="59">
        <f t="shared" si="34"/>
        <v>0.25201437805590166</v>
      </c>
      <c r="J44" s="59">
        <f t="shared" si="34"/>
        <v>0.23011422000186066</v>
      </c>
      <c r="K44" s="59">
        <f t="shared" si="34"/>
        <v>0.19438231807888151</v>
      </c>
      <c r="L44" s="59">
        <f t="shared" si="34"/>
        <v>0.21281164995427648</v>
      </c>
      <c r="M44" s="59">
        <f t="shared" si="34"/>
        <v>0.19368897442035427</v>
      </c>
      <c r="N44" s="59">
        <f t="shared" si="34"/>
        <v>0.21184013133708546</v>
      </c>
      <c r="O44" s="59">
        <f t="shared" si="34"/>
        <v>0.20384242998957625</v>
      </c>
      <c r="P44" s="59">
        <f t="shared" si="34"/>
        <v>0.18112811867038237</v>
      </c>
      <c r="R44" s="109"/>
      <c r="S44" s="109"/>
      <c r="T44" s="109"/>
    </row>
    <row r="45" spans="1:20" x14ac:dyDescent="0.2">
      <c r="A45" s="58"/>
      <c r="B45" s="66"/>
      <c r="C45" s="59"/>
      <c r="D45" s="59"/>
      <c r="E45" s="59"/>
      <c r="F45" s="59"/>
      <c r="G45" s="59"/>
      <c r="H45" s="59"/>
      <c r="I45" s="59"/>
      <c r="J45" s="59"/>
      <c r="K45" s="59"/>
      <c r="L45" s="59"/>
      <c r="M45" s="59"/>
      <c r="N45" s="59"/>
      <c r="O45" s="59"/>
      <c r="P45" s="59"/>
      <c r="R45" s="109"/>
      <c r="S45" s="109"/>
      <c r="T45" s="109"/>
    </row>
    <row r="46" spans="1:20" x14ac:dyDescent="0.2">
      <c r="A46" s="67" t="s">
        <v>21</v>
      </c>
      <c r="R46" s="109"/>
      <c r="S46" s="109"/>
      <c r="T46" s="109"/>
    </row>
    <row r="47" spans="1:20" x14ac:dyDescent="0.2">
      <c r="A47" s="68" t="s">
        <v>82</v>
      </c>
      <c r="B47" s="43">
        <v>2.9466189167701828</v>
      </c>
      <c r="C47" s="43">
        <v>4.0856428098709889</v>
      </c>
      <c r="D47" s="43">
        <v>6.9167891284681318</v>
      </c>
      <c r="E47" s="43">
        <v>8.7984519829322068</v>
      </c>
      <c r="F47" s="43">
        <v>13.441947995144282</v>
      </c>
      <c r="G47" s="43">
        <v>19.441938806046714</v>
      </c>
      <c r="H47" s="43">
        <v>29.29359377639685</v>
      </c>
      <c r="I47" s="43">
        <v>38.178770284663159</v>
      </c>
      <c r="J47" s="43">
        <v>48.782861372648796</v>
      </c>
      <c r="K47" s="43">
        <v>65.304931836396833</v>
      </c>
      <c r="L47" s="43">
        <v>84.901723722080348</v>
      </c>
      <c r="M47" s="43">
        <v>108.13610677769219</v>
      </c>
      <c r="N47" s="43">
        <v>139.72453806178336</v>
      </c>
      <c r="O47" s="43">
        <v>178.69843112780643</v>
      </c>
      <c r="P47" s="43">
        <v>223.22833230502712</v>
      </c>
      <c r="R47" s="57">
        <f>(J47/D47)^(1/6)-1</f>
        <v>0.38482147318491955</v>
      </c>
      <c r="S47" s="57">
        <f>(P47/J47)^(1/6)-1</f>
        <v>0.28848788876827736</v>
      </c>
      <c r="T47" s="109"/>
    </row>
    <row r="48" spans="1:20" x14ac:dyDescent="0.2">
      <c r="A48" s="62" t="s">
        <v>4</v>
      </c>
      <c r="B48" s="63"/>
      <c r="C48" s="63">
        <f t="shared" ref="C48:P48" si="35">C47/B47-1</f>
        <v>0.3865528340357296</v>
      </c>
      <c r="D48" s="63">
        <f t="shared" si="35"/>
        <v>0.69295003267467248</v>
      </c>
      <c r="E48" s="63">
        <f t="shared" si="35"/>
        <v>0.27204282500380472</v>
      </c>
      <c r="F48" s="63">
        <f t="shared" si="35"/>
        <v>0.52776284069286539</v>
      </c>
      <c r="G48" s="63">
        <f t="shared" si="35"/>
        <v>0.44636319178364969</v>
      </c>
      <c r="H48" s="63">
        <f t="shared" si="35"/>
        <v>0.50672183821945449</v>
      </c>
      <c r="I48" s="63">
        <f t="shared" si="35"/>
        <v>0.30331466245106098</v>
      </c>
      <c r="J48" s="63">
        <f t="shared" si="35"/>
        <v>0.27774836666872482</v>
      </c>
      <c r="K48" s="63">
        <f t="shared" si="35"/>
        <v>0.33868596467798628</v>
      </c>
      <c r="L48" s="63">
        <f t="shared" si="35"/>
        <v>0.30008134660913166</v>
      </c>
      <c r="M48" s="63">
        <f t="shared" si="35"/>
        <v>0.27366208878947984</v>
      </c>
      <c r="N48" s="63">
        <f t="shared" si="35"/>
        <v>0.29211733458308364</v>
      </c>
      <c r="O48" s="63">
        <f t="shared" si="35"/>
        <v>0.27893377646229611</v>
      </c>
      <c r="P48" s="63">
        <f t="shared" si="35"/>
        <v>0.24919021894138838</v>
      </c>
      <c r="R48" s="109"/>
      <c r="S48" s="109"/>
      <c r="T48" s="109"/>
    </row>
    <row r="49" spans="1:20" x14ac:dyDescent="0.2">
      <c r="A49" s="68" t="s">
        <v>10</v>
      </c>
      <c r="B49" s="43">
        <v>33.718096527899569</v>
      </c>
      <c r="C49" s="43">
        <v>44.428477599348504</v>
      </c>
      <c r="D49" s="43">
        <v>53.696666868840204</v>
      </c>
      <c r="E49" s="43">
        <v>69.878794028093225</v>
      </c>
      <c r="F49" s="43">
        <v>83.349214393013781</v>
      </c>
      <c r="G49" s="43">
        <v>108.34475397106975</v>
      </c>
      <c r="H49" s="43">
        <v>141.01702824865393</v>
      </c>
      <c r="I49" s="43">
        <v>173.81985263497222</v>
      </c>
      <c r="J49" s="43">
        <v>211.62983652191804</v>
      </c>
      <c r="K49" s="43">
        <v>247.15532029896573</v>
      </c>
      <c r="L49" s="43">
        <v>294.01419000046121</v>
      </c>
      <c r="M49" s="43">
        <v>343.86393676200754</v>
      </c>
      <c r="N49" s="43">
        <v>409.23389026756666</v>
      </c>
      <c r="O49" s="43">
        <v>483.32288276111979</v>
      </c>
      <c r="P49" s="43">
        <v>558.80487607858595</v>
      </c>
      <c r="R49" s="57">
        <f>(J49/D49)^(1/6)-1</f>
        <v>0.25681569261553383</v>
      </c>
      <c r="S49" s="57">
        <f>(P49/J49)^(1/6)-1</f>
        <v>0.17565676826332433</v>
      </c>
      <c r="T49" s="109"/>
    </row>
    <row r="50" spans="1:20" x14ac:dyDescent="0.2">
      <c r="A50" s="62" t="s">
        <v>4</v>
      </c>
      <c r="B50" s="63"/>
      <c r="C50" s="63">
        <f t="shared" ref="C50:P50" si="36">C49/B49-1</f>
        <v>0.31764489026202236</v>
      </c>
      <c r="D50" s="63">
        <f t="shared" si="36"/>
        <v>0.20860920225696877</v>
      </c>
      <c r="E50" s="63">
        <f t="shared" si="36"/>
        <v>0.30136185545332972</v>
      </c>
      <c r="F50" s="63">
        <f t="shared" si="36"/>
        <v>0.19276835772960066</v>
      </c>
      <c r="G50" s="63">
        <f t="shared" si="36"/>
        <v>0.29988932421360714</v>
      </c>
      <c r="H50" s="63">
        <f t="shared" si="36"/>
        <v>0.30155843342731981</v>
      </c>
      <c r="I50" s="63">
        <f t="shared" si="36"/>
        <v>0.23261605207335245</v>
      </c>
      <c r="J50" s="63">
        <f t="shared" si="36"/>
        <v>0.21752396699097498</v>
      </c>
      <c r="K50" s="63">
        <f t="shared" si="36"/>
        <v>0.16786614005331146</v>
      </c>
      <c r="L50" s="63">
        <f t="shared" si="36"/>
        <v>0.18959280198708139</v>
      </c>
      <c r="M50" s="63">
        <f t="shared" si="36"/>
        <v>0.16954877845000649</v>
      </c>
      <c r="N50" s="63">
        <f t="shared" si="36"/>
        <v>0.19010412700184509</v>
      </c>
      <c r="O50" s="63">
        <f t="shared" si="36"/>
        <v>0.18104314978681746</v>
      </c>
      <c r="P50" s="63">
        <f t="shared" si="36"/>
        <v>0.15617301809973028</v>
      </c>
      <c r="R50" s="109"/>
      <c r="S50" s="109"/>
      <c r="T50" s="109"/>
    </row>
    <row r="51" spans="1:20" x14ac:dyDescent="0.2">
      <c r="A51" s="68" t="s">
        <v>11</v>
      </c>
      <c r="B51" s="43">
        <v>4.5339774774686115</v>
      </c>
      <c r="C51" s="43">
        <v>7.0230362260002162</v>
      </c>
      <c r="D51" s="43">
        <v>8.845879660130695</v>
      </c>
      <c r="E51" s="43">
        <v>10.206216067780268</v>
      </c>
      <c r="F51" s="43">
        <v>10.482261884937115</v>
      </c>
      <c r="G51" s="43">
        <v>15.423765485407566</v>
      </c>
      <c r="H51" s="43">
        <v>22.889123199880046</v>
      </c>
      <c r="I51" s="43">
        <v>30.012206905283648</v>
      </c>
      <c r="J51" s="43">
        <v>37.651115689926549</v>
      </c>
      <c r="K51" s="43">
        <v>42.487563050146747</v>
      </c>
      <c r="L51" s="43">
        <v>51.79534096272166</v>
      </c>
      <c r="M51" s="43">
        <v>62.111501750034982</v>
      </c>
      <c r="N51" s="43">
        <v>75.833945875945858</v>
      </c>
      <c r="O51" s="43">
        <v>91.937312033429819</v>
      </c>
      <c r="P51" s="43">
        <v>109.18065545452907</v>
      </c>
      <c r="R51" s="57">
        <f>(J51/D51)^(1/6)-1</f>
        <v>0.2730324394393906</v>
      </c>
      <c r="S51" s="57">
        <f>(P51/J51)^(1/6)-1</f>
        <v>0.19415666764215045</v>
      </c>
      <c r="T51" s="109"/>
    </row>
    <row r="52" spans="1:20" x14ac:dyDescent="0.2">
      <c r="A52" s="62" t="s">
        <v>4</v>
      </c>
      <c r="B52" s="63"/>
      <c r="C52" s="63">
        <f t="shared" ref="C52:P52" si="37">C51/B51-1</f>
        <v>0.54897907210630525</v>
      </c>
      <c r="D52" s="63">
        <f t="shared" si="37"/>
        <v>0.25955204778555307</v>
      </c>
      <c r="E52" s="63">
        <f t="shared" si="37"/>
        <v>0.15378192558742931</v>
      </c>
      <c r="F52" s="63">
        <f t="shared" si="37"/>
        <v>2.7046832569838308E-2</v>
      </c>
      <c r="G52" s="63">
        <f t="shared" si="37"/>
        <v>0.47141577406793589</v>
      </c>
      <c r="H52" s="63">
        <f t="shared" si="37"/>
        <v>0.48401654716129205</v>
      </c>
      <c r="I52" s="63">
        <f t="shared" si="37"/>
        <v>0.31119950044398959</v>
      </c>
      <c r="J52" s="63">
        <f t="shared" si="37"/>
        <v>0.25452672669993048</v>
      </c>
      <c r="K52" s="63">
        <f t="shared" si="37"/>
        <v>0.12845429070549907</v>
      </c>
      <c r="L52" s="63">
        <f t="shared" si="37"/>
        <v>0.21907064666404219</v>
      </c>
      <c r="M52" s="63">
        <f t="shared" si="37"/>
        <v>0.19917159720481625</v>
      </c>
      <c r="N52" s="63">
        <f t="shared" si="37"/>
        <v>0.22093241572448608</v>
      </c>
      <c r="O52" s="63">
        <f t="shared" si="37"/>
        <v>0.2123503659406949</v>
      </c>
      <c r="P52" s="63">
        <f t="shared" si="37"/>
        <v>0.18755544446230177</v>
      </c>
      <c r="R52" s="109"/>
      <c r="S52" s="109"/>
      <c r="T52" s="109"/>
    </row>
    <row r="53" spans="1:20" x14ac:dyDescent="0.2">
      <c r="A53" s="68" t="s">
        <v>22</v>
      </c>
      <c r="B53" s="43">
        <v>1.7467590050616342</v>
      </c>
      <c r="C53" s="43">
        <v>2.5140605571803989</v>
      </c>
      <c r="D53" s="43">
        <v>3.3156129173611162</v>
      </c>
      <c r="E53" s="43">
        <v>4.5467303185945269</v>
      </c>
      <c r="F53" s="43">
        <v>5.7934261253051895</v>
      </c>
      <c r="G53" s="43">
        <v>8.269777844276339</v>
      </c>
      <c r="H53" s="43">
        <v>11.987762638269555</v>
      </c>
      <c r="I53" s="43">
        <v>15.739624510481351</v>
      </c>
      <c r="J53" s="43">
        <v>19.800943214507598</v>
      </c>
      <c r="K53" s="43">
        <v>25.098976982637236</v>
      </c>
      <c r="L53" s="43">
        <v>31.871293032249206</v>
      </c>
      <c r="M53" s="43">
        <v>39.741985060786895</v>
      </c>
      <c r="N53" s="43">
        <v>50.375785646215526</v>
      </c>
      <c r="O53" s="43">
        <v>63.313238330764868</v>
      </c>
      <c r="P53" s="43">
        <v>77.840034195767828</v>
      </c>
      <c r="R53" s="57">
        <f>(J53/D53)^(1/6)-1</f>
        <v>0.34695682719353149</v>
      </c>
      <c r="S53" s="57">
        <f>(P53/J53)^(1/6)-1</f>
        <v>0.2562792597793333</v>
      </c>
      <c r="T53" s="109"/>
    </row>
    <row r="54" spans="1:20" x14ac:dyDescent="0.2">
      <c r="A54" s="62" t="s">
        <v>4</v>
      </c>
      <c r="C54" s="63">
        <f t="shared" ref="C54:P54" si="38">C53/B53-1</f>
        <v>0.43927155943970098</v>
      </c>
      <c r="D54" s="63">
        <f t="shared" si="38"/>
        <v>0.31882778554852487</v>
      </c>
      <c r="E54" s="63">
        <f t="shared" si="38"/>
        <v>0.37130914612712163</v>
      </c>
      <c r="F54" s="63">
        <f t="shared" si="38"/>
        <v>0.27419611882677875</v>
      </c>
      <c r="G54" s="63">
        <f t="shared" si="38"/>
        <v>0.42744166671162986</v>
      </c>
      <c r="H54" s="63">
        <f t="shared" si="38"/>
        <v>0.44958702204636602</v>
      </c>
      <c r="I54" s="63">
        <f t="shared" si="38"/>
        <v>0.31297432101586731</v>
      </c>
      <c r="J54" s="63">
        <f t="shared" si="38"/>
        <v>0.25803148615913485</v>
      </c>
      <c r="K54" s="63">
        <f t="shared" si="38"/>
        <v>0.26756471703064721</v>
      </c>
      <c r="L54" s="63">
        <f t="shared" si="38"/>
        <v>0.26982438584237389</v>
      </c>
      <c r="M54" s="63">
        <f t="shared" si="38"/>
        <v>0.24695239131257307</v>
      </c>
      <c r="N54" s="63">
        <f t="shared" si="38"/>
        <v>0.26757094717749563</v>
      </c>
      <c r="O54" s="63">
        <f t="shared" si="38"/>
        <v>0.25681887673986603</v>
      </c>
      <c r="P54" s="63">
        <f t="shared" si="38"/>
        <v>0.22944326096718015</v>
      </c>
      <c r="R54" s="109"/>
      <c r="S54" s="109"/>
      <c r="T54" s="109"/>
    </row>
    <row r="55" spans="1:20" x14ac:dyDescent="0.2">
      <c r="A55" s="77" t="s">
        <v>23</v>
      </c>
      <c r="B55" s="56">
        <f t="shared" ref="B55:P55" si="39">B53+B51+B49+B47</f>
        <v>42.945451927199997</v>
      </c>
      <c r="C55" s="56">
        <f t="shared" si="39"/>
        <v>58.051217192400109</v>
      </c>
      <c r="D55" s="56">
        <f t="shared" si="39"/>
        <v>72.774948574800135</v>
      </c>
      <c r="E55" s="56">
        <f t="shared" si="39"/>
        <v>93.430192397400234</v>
      </c>
      <c r="F55" s="56">
        <f t="shared" si="39"/>
        <v>113.06685039840036</v>
      </c>
      <c r="G55" s="56">
        <f t="shared" si="39"/>
        <v>151.48023610680036</v>
      </c>
      <c r="H55" s="56">
        <f t="shared" si="39"/>
        <v>205.18750786320038</v>
      </c>
      <c r="I55" s="56">
        <f t="shared" si="39"/>
        <v>257.75045433540038</v>
      </c>
      <c r="J55" s="56">
        <f t="shared" si="39"/>
        <v>317.86475679900093</v>
      </c>
      <c r="K55" s="56">
        <f t="shared" si="39"/>
        <v>380.04679216814657</v>
      </c>
      <c r="L55" s="56">
        <f t="shared" si="39"/>
        <v>462.58254771751245</v>
      </c>
      <c r="M55" s="56">
        <f t="shared" si="39"/>
        <v>553.85353035052162</v>
      </c>
      <c r="N55" s="56">
        <f t="shared" si="39"/>
        <v>675.1681598515114</v>
      </c>
      <c r="O55" s="56">
        <f t="shared" si="39"/>
        <v>817.27186425312095</v>
      </c>
      <c r="P55" s="56">
        <f t="shared" si="39"/>
        <v>969.05389803390995</v>
      </c>
      <c r="R55" s="57">
        <f>(J55/D55)^(1/6)-1</f>
        <v>0.27852751398665387</v>
      </c>
      <c r="S55" s="57">
        <f>(P55/J55)^(1/6)-1</f>
        <v>0.20416017317824675</v>
      </c>
      <c r="T55" s="109"/>
    </row>
    <row r="56" spans="1:20" x14ac:dyDescent="0.2">
      <c r="A56" s="74" t="s">
        <v>4</v>
      </c>
      <c r="B56" s="66"/>
      <c r="C56" s="59">
        <f t="shared" ref="C56:P56" si="40">C55/B55-1</f>
        <v>0.35174307376732261</v>
      </c>
      <c r="D56" s="59">
        <f t="shared" si="40"/>
        <v>0.25363346531737507</v>
      </c>
      <c r="E56" s="59">
        <f t="shared" si="40"/>
        <v>0.28382354405060228</v>
      </c>
      <c r="F56" s="59">
        <f t="shared" si="40"/>
        <v>0.21017465015459535</v>
      </c>
      <c r="G56" s="59">
        <f t="shared" si="40"/>
        <v>0.3397404771871444</v>
      </c>
      <c r="H56" s="59">
        <f t="shared" si="40"/>
        <v>0.35454969662533387</v>
      </c>
      <c r="I56" s="59">
        <f t="shared" si="40"/>
        <v>0.25617030500338256</v>
      </c>
      <c r="J56" s="59">
        <f t="shared" si="40"/>
        <v>0.23322675654870517</v>
      </c>
      <c r="K56" s="59">
        <f t="shared" si="40"/>
        <v>0.19562418934183978</v>
      </c>
      <c r="L56" s="59">
        <f t="shared" si="40"/>
        <v>0.21717261466279947</v>
      </c>
      <c r="M56" s="59">
        <f t="shared" si="40"/>
        <v>0.19730744941278267</v>
      </c>
      <c r="N56" s="59">
        <f t="shared" si="40"/>
        <v>0.21903738597497502</v>
      </c>
      <c r="O56" s="59">
        <f t="shared" si="40"/>
        <v>0.21047157264178784</v>
      </c>
      <c r="P56" s="59">
        <f t="shared" si="40"/>
        <v>0.18571792376518159</v>
      </c>
      <c r="R56" s="109"/>
      <c r="S56" s="109"/>
      <c r="T56" s="109"/>
    </row>
    <row r="57" spans="1:20" ht="17.100000000000001" customHeight="1" x14ac:dyDescent="0.2">
      <c r="R57" s="109"/>
      <c r="S57" s="109"/>
      <c r="T57" s="109"/>
    </row>
    <row r="58" spans="1:20" x14ac:dyDescent="0.2">
      <c r="A58" s="67" t="s">
        <v>24</v>
      </c>
      <c r="R58" s="109"/>
      <c r="S58" s="109"/>
      <c r="T58" s="109"/>
    </row>
    <row r="59" spans="1:20" x14ac:dyDescent="0.2">
      <c r="A59" s="68" t="s">
        <v>82</v>
      </c>
      <c r="B59" s="112">
        <f t="shared" ref="B59:P59" si="41">(B47*1000000)/(B34*1000)</f>
        <v>79.008258478287487</v>
      </c>
      <c r="C59" s="112">
        <f t="shared" si="41"/>
        <v>104.75426147841274</v>
      </c>
      <c r="D59" s="112">
        <f t="shared" si="41"/>
        <v>156.12336131208315</v>
      </c>
      <c r="E59" s="112">
        <f t="shared" si="41"/>
        <v>169.63942955944111</v>
      </c>
      <c r="F59" s="112">
        <f>(F47*1000000)/(F34*1000)</f>
        <v>224.39384492805434</v>
      </c>
      <c r="G59" s="112">
        <f t="shared" si="41"/>
        <v>271.95197185172469</v>
      </c>
      <c r="H59" s="112">
        <f t="shared" si="41"/>
        <v>341.50308969807236</v>
      </c>
      <c r="I59" s="112">
        <f t="shared" si="41"/>
        <v>375.86999745665656</v>
      </c>
      <c r="J59" s="112">
        <f t="shared" si="41"/>
        <v>409.29545508569799</v>
      </c>
      <c r="K59" s="112">
        <f t="shared" si="41"/>
        <v>469.04107898141405</v>
      </c>
      <c r="L59" s="112">
        <f t="shared" si="41"/>
        <v>531.51589675813921</v>
      </c>
      <c r="M59" s="112">
        <f t="shared" si="41"/>
        <v>592.24223735663486</v>
      </c>
      <c r="N59" s="112">
        <f t="shared" si="41"/>
        <v>673.00768178094143</v>
      </c>
      <c r="O59" s="112">
        <f t="shared" si="41"/>
        <v>762.92989811600273</v>
      </c>
      <c r="P59" s="112">
        <f t="shared" si="41"/>
        <v>848.92208836736756</v>
      </c>
      <c r="R59" s="57">
        <f>(J59/D59)^(1/6)-1</f>
        <v>0.17425253078167824</v>
      </c>
      <c r="S59" s="57">
        <f>(P59/J59)^(1/6)-1</f>
        <v>0.12928914062555297</v>
      </c>
      <c r="T59" s="109"/>
    </row>
    <row r="60" spans="1:20" x14ac:dyDescent="0.2">
      <c r="A60" s="62" t="s">
        <v>4</v>
      </c>
      <c r="C60" s="63">
        <f t="shared" ref="C60:P60" si="42">C59/B59-1</f>
        <v>0.32586470700655412</v>
      </c>
      <c r="D60" s="63">
        <f t="shared" si="42"/>
        <v>0.4903771847435181</v>
      </c>
      <c r="E60" s="63">
        <f t="shared" si="42"/>
        <v>8.6573003128852521E-2</v>
      </c>
      <c r="F60" s="63">
        <f t="shared" si="42"/>
        <v>0.32276939100073698</v>
      </c>
      <c r="G60" s="63">
        <f t="shared" si="42"/>
        <v>0.21194042527734469</v>
      </c>
      <c r="H60" s="63">
        <f t="shared" si="42"/>
        <v>0.25574779757165622</v>
      </c>
      <c r="I60" s="63">
        <f t="shared" si="42"/>
        <v>0.10063425132981507</v>
      </c>
      <c r="J60" s="63">
        <f t="shared" si="42"/>
        <v>8.8928240762009336E-2</v>
      </c>
      <c r="K60" s="63">
        <f t="shared" si="42"/>
        <v>0.14597187228283914</v>
      </c>
      <c r="L60" s="63">
        <f t="shared" si="42"/>
        <v>0.13319690017854646</v>
      </c>
      <c r="M60" s="63">
        <f t="shared" si="42"/>
        <v>0.11425122177696312</v>
      </c>
      <c r="N60" s="63">
        <f t="shared" si="42"/>
        <v>0.13637231411388084</v>
      </c>
      <c r="O60" s="63">
        <f t="shared" si="42"/>
        <v>0.13361246649831005</v>
      </c>
      <c r="P60" s="63">
        <f t="shared" si="42"/>
        <v>0.11271309521846762</v>
      </c>
      <c r="R60" s="109"/>
      <c r="S60" s="109"/>
      <c r="T60" s="109"/>
    </row>
    <row r="61" spans="1:20" x14ac:dyDescent="0.2">
      <c r="A61" s="68" t="s">
        <v>10</v>
      </c>
      <c r="B61" s="112">
        <f t="shared" ref="B61:P61" si="43">(B49*1000000)/(B36*1000)</f>
        <v>11006.117598949091</v>
      </c>
      <c r="C61" s="112">
        <f t="shared" si="43"/>
        <v>11992.428583886069</v>
      </c>
      <c r="D61" s="112">
        <f t="shared" si="43"/>
        <v>12050.13409785693</v>
      </c>
      <c r="E61" s="112">
        <f t="shared" si="43"/>
        <v>12461.161306838279</v>
      </c>
      <c r="F61" s="112">
        <f t="shared" si="43"/>
        <v>14472.947984202743</v>
      </c>
      <c r="G61" s="112">
        <f t="shared" si="43"/>
        <v>14992.889118916413</v>
      </c>
      <c r="H61" s="112">
        <f t="shared" si="43"/>
        <v>15742.798502166337</v>
      </c>
      <c r="I61" s="112">
        <f t="shared" si="43"/>
        <v>16160.030955946404</v>
      </c>
      <c r="J61" s="112">
        <f t="shared" si="43"/>
        <v>16835.608235051073</v>
      </c>
      <c r="K61" s="112">
        <f t="shared" si="43"/>
        <v>16969.68715380488</v>
      </c>
      <c r="L61" s="112">
        <f t="shared" si="43"/>
        <v>17542.843319623935</v>
      </c>
      <c r="M61" s="112">
        <f t="shared" si="43"/>
        <v>18002.05103941129</v>
      </c>
      <c r="N61" s="112">
        <f t="shared" si="43"/>
        <v>18978.355393275076</v>
      </c>
      <c r="O61" s="112">
        <f t="shared" si="43"/>
        <v>19988.691381245688</v>
      </c>
      <c r="P61" s="112">
        <f t="shared" si="43"/>
        <v>20788.748472670479</v>
      </c>
      <c r="R61" s="57">
        <f>(J61/D61)^(1/6)-1</f>
        <v>5.7319288903892929E-2</v>
      </c>
      <c r="S61" s="57">
        <f>(P61/J61)^(1/6)-1</f>
        <v>3.577777720613784E-2</v>
      </c>
      <c r="T61" s="109"/>
    </row>
    <row r="62" spans="1:20" x14ac:dyDescent="0.2">
      <c r="A62" s="62" t="s">
        <v>4</v>
      </c>
      <c r="C62" s="63">
        <f t="shared" ref="C62:P62" si="44">C61/B61-1</f>
        <v>8.9614796141298303E-2</v>
      </c>
      <c r="D62" s="63">
        <f t="shared" si="44"/>
        <v>4.8118288607863491E-3</v>
      </c>
      <c r="E62" s="63">
        <f t="shared" si="44"/>
        <v>3.4109762235297492E-2</v>
      </c>
      <c r="F62" s="63">
        <f t="shared" si="44"/>
        <v>0.16144455784072553</v>
      </c>
      <c r="G62" s="63">
        <f t="shared" si="44"/>
        <v>3.5925033053472388E-2</v>
      </c>
      <c r="H62" s="63">
        <f t="shared" si="44"/>
        <v>5.0017670196984776E-2</v>
      </c>
      <c r="I62" s="63">
        <f t="shared" si="44"/>
        <v>2.650306765488053E-2</v>
      </c>
      <c r="J62" s="63">
        <f t="shared" si="44"/>
        <v>4.1805444614948506E-2</v>
      </c>
      <c r="K62" s="63">
        <f t="shared" si="44"/>
        <v>7.9640080050484841E-3</v>
      </c>
      <c r="L62" s="63">
        <f t="shared" si="44"/>
        <v>3.3775293594056954E-2</v>
      </c>
      <c r="M62" s="63">
        <f t="shared" si="44"/>
        <v>2.6176356444663318E-2</v>
      </c>
      <c r="N62" s="63">
        <f t="shared" si="44"/>
        <v>5.4232951107981764E-2</v>
      </c>
      <c r="O62" s="63">
        <f t="shared" si="44"/>
        <v>5.3236224479631167E-2</v>
      </c>
      <c r="P62" s="63">
        <f t="shared" si="44"/>
        <v>4.0025486219445128E-2</v>
      </c>
      <c r="R62" s="109"/>
      <c r="S62" s="109"/>
      <c r="T62" s="109"/>
    </row>
    <row r="63" spans="1:20" x14ac:dyDescent="0.2">
      <c r="A63" s="68" t="s">
        <v>11</v>
      </c>
      <c r="B63" s="112">
        <f t="shared" ref="B63:P63" si="45">(B51*1000000)/(B38*1000)</f>
        <v>24882.17863339496</v>
      </c>
      <c r="C63" s="112">
        <f t="shared" si="45"/>
        <v>36572.727095418421</v>
      </c>
      <c r="D63" s="112">
        <f t="shared" si="45"/>
        <v>41075.352677332463</v>
      </c>
      <c r="E63" s="112">
        <f t="shared" si="45"/>
        <v>43828.502905865651</v>
      </c>
      <c r="F63" s="112">
        <f t="shared" si="45"/>
        <v>47960.133873958417</v>
      </c>
      <c r="G63" s="112">
        <f t="shared" si="45"/>
        <v>60515.41085463026</v>
      </c>
      <c r="H63" s="112">
        <f t="shared" si="45"/>
        <v>77886.696356862012</v>
      </c>
      <c r="I63" s="112">
        <f t="shared" si="45"/>
        <v>89476.474903439652</v>
      </c>
      <c r="J63" s="112">
        <f t="shared" si="45"/>
        <v>104295.86737493225</v>
      </c>
      <c r="K63" s="112">
        <f t="shared" si="45"/>
        <v>110363.68187458243</v>
      </c>
      <c r="L63" s="112">
        <f t="shared" si="45"/>
        <v>126538.41837983872</v>
      </c>
      <c r="M63" s="112">
        <f t="shared" si="45"/>
        <v>143661.1814489773</v>
      </c>
      <c r="N63" s="112">
        <f t="shared" si="45"/>
        <v>167712.20616641521</v>
      </c>
      <c r="O63" s="112">
        <f t="shared" si="45"/>
        <v>194961.40210290957</v>
      </c>
      <c r="P63" s="112">
        <f t="shared" si="45"/>
        <v>224061.4721854325</v>
      </c>
      <c r="R63" s="57">
        <f>(J63/D63)^(1/6)-1</f>
        <v>0.16801288354622268</v>
      </c>
      <c r="S63" s="57">
        <f>(P63/J63)^(1/6)-1</f>
        <v>0.13592593201005521</v>
      </c>
      <c r="T63" s="109"/>
    </row>
    <row r="64" spans="1:20" x14ac:dyDescent="0.2">
      <c r="A64" s="62" t="s">
        <v>4</v>
      </c>
      <c r="C64" s="63">
        <f t="shared" ref="C64:P64" si="46">C63/B63-1</f>
        <v>0.46983620824638317</v>
      </c>
      <c r="D64" s="63">
        <f t="shared" si="46"/>
        <v>0.1231142968957899</v>
      </c>
      <c r="E64" s="63">
        <f t="shared" si="46"/>
        <v>6.7026818982190317E-2</v>
      </c>
      <c r="F64" s="63">
        <f t="shared" si="46"/>
        <v>9.4268129052152094E-2</v>
      </c>
      <c r="G64" s="63">
        <f t="shared" si="46"/>
        <v>0.26178569504555016</v>
      </c>
      <c r="H64" s="63">
        <f t="shared" si="46"/>
        <v>0.28705556579564417</v>
      </c>
      <c r="I64" s="63">
        <f t="shared" si="46"/>
        <v>0.14880305737292399</v>
      </c>
      <c r="J64" s="63">
        <f t="shared" si="46"/>
        <v>0.16562333828512177</v>
      </c>
      <c r="K64" s="63">
        <f t="shared" si="46"/>
        <v>5.8178858399413391E-2</v>
      </c>
      <c r="L64" s="63">
        <f t="shared" si="46"/>
        <v>0.1465585075680722</v>
      </c>
      <c r="M64" s="63">
        <f t="shared" si="46"/>
        <v>0.13531671478412233</v>
      </c>
      <c r="N64" s="63">
        <f t="shared" si="46"/>
        <v>0.16741491664524477</v>
      </c>
      <c r="O64" s="63">
        <f t="shared" si="46"/>
        <v>0.16247592563093405</v>
      </c>
      <c r="P64" s="63">
        <f t="shared" si="46"/>
        <v>0.14926067297752899</v>
      </c>
      <c r="R64" s="109"/>
      <c r="S64" s="109"/>
      <c r="T64" s="109"/>
    </row>
    <row r="65" spans="1:20" x14ac:dyDescent="0.2">
      <c r="A65" s="77" t="s">
        <v>23</v>
      </c>
      <c r="B65" s="56">
        <f>(B55*1000000)/(B40*1000)</f>
        <v>1059.3125267836326</v>
      </c>
      <c r="C65" s="56">
        <f t="shared" ref="C65:P65" si="47">(C55*1000000)/(C40*1000)</f>
        <v>1353.2098217850671</v>
      </c>
      <c r="D65" s="56">
        <f t="shared" si="47"/>
        <v>1485.9666235244697</v>
      </c>
      <c r="E65" s="56">
        <f t="shared" si="47"/>
        <v>1619.0667591806643</v>
      </c>
      <c r="F65" s="56">
        <f t="shared" si="47"/>
        <v>1716.2311129891671</v>
      </c>
      <c r="G65" s="56">
        <f t="shared" si="47"/>
        <v>1918.1603698878309</v>
      </c>
      <c r="H65" s="56">
        <f t="shared" si="47"/>
        <v>2159.1900611953301</v>
      </c>
      <c r="I65" s="56">
        <f t="shared" si="47"/>
        <v>2287.7398558937948</v>
      </c>
      <c r="J65" s="56">
        <f t="shared" si="47"/>
        <v>2405.9014971792053</v>
      </c>
      <c r="K65" s="56">
        <f t="shared" si="47"/>
        <v>2464.9515807145103</v>
      </c>
      <c r="L65" s="56">
        <f t="shared" si="47"/>
        <v>2614.8765238987025</v>
      </c>
      <c r="M65" s="56">
        <f t="shared" si="47"/>
        <v>2740.2029613640429</v>
      </c>
      <c r="N65" s="56">
        <f t="shared" si="47"/>
        <v>2940.2762523246442</v>
      </c>
      <c r="O65" s="56">
        <f t="shared" si="47"/>
        <v>3156.9778206511805</v>
      </c>
      <c r="P65" s="56">
        <f t="shared" si="47"/>
        <v>3337.853605832006</v>
      </c>
      <c r="R65" s="57">
        <f>(J65/D65)^(1/6)-1</f>
        <v>8.3622792578008642E-2</v>
      </c>
      <c r="S65" s="57">
        <f>(P65/J65)^(1/6)-1</f>
        <v>5.6083458889663262E-2</v>
      </c>
      <c r="T65" s="109"/>
    </row>
    <row r="66" spans="1:20" x14ac:dyDescent="0.2">
      <c r="A66" s="74" t="s">
        <v>4</v>
      </c>
      <c r="B66" s="66"/>
      <c r="C66" s="59">
        <f t="shared" ref="C66:P66" si="48">C65/B65-1</f>
        <v>0.27744153644041991</v>
      </c>
      <c r="D66" s="59">
        <f t="shared" si="48"/>
        <v>9.81051124534984E-2</v>
      </c>
      <c r="E66" s="59">
        <f t="shared" si="48"/>
        <v>8.957141671224278E-2</v>
      </c>
      <c r="F66" s="59">
        <f t="shared" si="48"/>
        <v>6.0012567892921975E-2</v>
      </c>
      <c r="G66" s="59">
        <f t="shared" si="48"/>
        <v>0.11765854573453272</v>
      </c>
      <c r="H66" s="59">
        <f t="shared" si="48"/>
        <v>0.12565669434698723</v>
      </c>
      <c r="I66" s="59">
        <f t="shared" si="48"/>
        <v>5.9536118199478683E-2</v>
      </c>
      <c r="J66" s="59">
        <f t="shared" si="48"/>
        <v>5.1649946553580461E-2</v>
      </c>
      <c r="K66" s="59">
        <f t="shared" si="48"/>
        <v>2.4543849199370138E-2</v>
      </c>
      <c r="L66" s="59">
        <f t="shared" si="48"/>
        <v>6.0822672687442347E-2</v>
      </c>
      <c r="M66" s="59">
        <f t="shared" si="48"/>
        <v>4.7928243004944138E-2</v>
      </c>
      <c r="N66" s="59">
        <f t="shared" si="48"/>
        <v>7.301404085083063E-2</v>
      </c>
      <c r="O66" s="59">
        <f t="shared" si="48"/>
        <v>7.3701091234270155E-2</v>
      </c>
      <c r="P66" s="59">
        <f t="shared" si="48"/>
        <v>5.7293967666683487E-2</v>
      </c>
      <c r="R66" s="109"/>
      <c r="S66" s="109"/>
      <c r="T66" s="109"/>
    </row>
    <row r="67" spans="1:20" ht="17.100000000000001" customHeight="1" x14ac:dyDescent="0.2">
      <c r="R67" s="109"/>
      <c r="S67" s="109"/>
      <c r="T67" s="109"/>
    </row>
    <row r="68" spans="1:20" x14ac:dyDescent="0.2">
      <c r="A68" s="67" t="s">
        <v>25</v>
      </c>
      <c r="R68" s="109"/>
      <c r="S68" s="109"/>
      <c r="T68" s="109"/>
    </row>
    <row r="69" spans="1:20" x14ac:dyDescent="0.2">
      <c r="A69" s="68" t="s">
        <v>26</v>
      </c>
      <c r="B69" s="46">
        <v>29.001697668000002</v>
      </c>
      <c r="C69" s="46">
        <v>38.549885112000098</v>
      </c>
      <c r="D69" s="46">
        <v>47.684521836000108</v>
      </c>
      <c r="E69" s="46">
        <v>60.706521378000161</v>
      </c>
      <c r="F69" s="46">
        <v>72.616271706000305</v>
      </c>
      <c r="G69" s="46">
        <v>95.679096372000259</v>
      </c>
      <c r="H69" s="46">
        <v>126.84793968000014</v>
      </c>
      <c r="I69" s="46">
        <v>157.86268855200001</v>
      </c>
      <c r="J69" s="46">
        <v>191.85151266000034</v>
      </c>
      <c r="K69" s="46">
        <v>227.83119760432609</v>
      </c>
      <c r="L69" s="46">
        <v>273.91121757352983</v>
      </c>
      <c r="M69" s="46">
        <v>326.09528636795528</v>
      </c>
      <c r="N69" s="46">
        <v>400.21800492165795</v>
      </c>
      <c r="O69" s="46">
        <v>488.00478343028027</v>
      </c>
      <c r="P69" s="46">
        <v>579.56637570695602</v>
      </c>
      <c r="R69" s="57">
        <f>(J69/D69)^(1/6)-1</f>
        <v>0.26114386811728751</v>
      </c>
      <c r="S69" s="57">
        <f>(P69/J69)^(1/6)-1</f>
        <v>0.2023280861731056</v>
      </c>
      <c r="T69" s="109"/>
    </row>
    <row r="70" spans="1:20" x14ac:dyDescent="0.2">
      <c r="A70" s="62" t="s">
        <v>4</v>
      </c>
      <c r="B70" s="63"/>
      <c r="C70" s="63">
        <f t="shared" ref="C70:P70" si="49">C69/B69-1</f>
        <v>0.32922856976525927</v>
      </c>
      <c r="D70" s="63">
        <f t="shared" si="49"/>
        <v>0.23695626322778618</v>
      </c>
      <c r="E70" s="63">
        <f t="shared" si="49"/>
        <v>0.27308650775163912</v>
      </c>
      <c r="F70" s="63">
        <f t="shared" si="49"/>
        <v>0.19618568248774992</v>
      </c>
      <c r="G70" s="63">
        <f t="shared" si="49"/>
        <v>0.31759857844773198</v>
      </c>
      <c r="H70" s="63">
        <f t="shared" si="49"/>
        <v>0.32576439880677222</v>
      </c>
      <c r="I70" s="63">
        <f t="shared" si="49"/>
        <v>0.24450337112483589</v>
      </c>
      <c r="J70" s="63">
        <f t="shared" si="49"/>
        <v>0.21530625393348979</v>
      </c>
      <c r="K70" s="63">
        <f t="shared" si="49"/>
        <v>0.18753922992564065</v>
      </c>
      <c r="L70" s="63">
        <f t="shared" si="49"/>
        <v>0.20225509260250996</v>
      </c>
      <c r="M70" s="63">
        <f t="shared" si="49"/>
        <v>0.1905145369974377</v>
      </c>
      <c r="N70" s="63">
        <f t="shared" si="49"/>
        <v>0.22730386378558376</v>
      </c>
      <c r="O70" s="63">
        <f t="shared" si="49"/>
        <v>0.21934739924008784</v>
      </c>
      <c r="P70" s="63">
        <f t="shared" si="49"/>
        <v>0.18762437456672365</v>
      </c>
      <c r="R70" s="109"/>
      <c r="S70" s="109"/>
      <c r="T70" s="109"/>
    </row>
    <row r="71" spans="1:20" x14ac:dyDescent="0.2">
      <c r="A71" s="68" t="s">
        <v>27</v>
      </c>
      <c r="B71" s="46">
        <v>12.3052502286</v>
      </c>
      <c r="C71" s="46">
        <v>17.169737038200005</v>
      </c>
      <c r="D71" s="46">
        <v>22.052686392000037</v>
      </c>
      <c r="E71" s="46">
        <v>28.706784822000074</v>
      </c>
      <c r="F71" s="46">
        <v>35.432582850000067</v>
      </c>
      <c r="G71" s="46">
        <v>48.76345544400013</v>
      </c>
      <c r="H71" s="46">
        <v>68.235061860000243</v>
      </c>
      <c r="I71" s="46">
        <v>86.939727642000449</v>
      </c>
      <c r="J71" s="46">
        <v>109.49472820800071</v>
      </c>
      <c r="K71" s="46">
        <v>132.0736758311636</v>
      </c>
      <c r="L71" s="46">
        <v>163.52478325727375</v>
      </c>
      <c r="M71" s="46">
        <v>196.7817212622237</v>
      </c>
      <c r="N71" s="46">
        <v>237.35339800016865</v>
      </c>
      <c r="O71" s="46">
        <v>284.01578544468941</v>
      </c>
      <c r="P71" s="46">
        <v>335.68454542262305</v>
      </c>
      <c r="R71" s="57">
        <f>(J71/D71)^(1/6)-1</f>
        <v>0.30613665663791445</v>
      </c>
      <c r="S71" s="57">
        <f>(P71/J71)^(1/6)-1</f>
        <v>0.20528482747868293</v>
      </c>
      <c r="T71" s="109"/>
    </row>
    <row r="72" spans="1:20" x14ac:dyDescent="0.2">
      <c r="A72" s="62" t="s">
        <v>4</v>
      </c>
      <c r="B72" s="63"/>
      <c r="C72" s="63">
        <f t="shared" ref="C72:P72" si="50">C71/B71-1</f>
        <v>0.39531799185147087</v>
      </c>
      <c r="D72" s="63">
        <f t="shared" si="50"/>
        <v>0.28439278615253261</v>
      </c>
      <c r="E72" s="63">
        <f t="shared" si="50"/>
        <v>0.30173641032749265</v>
      </c>
      <c r="F72" s="63">
        <f t="shared" si="50"/>
        <v>0.23429297532636006</v>
      </c>
      <c r="G72" s="63">
        <f t="shared" si="50"/>
        <v>0.37623203057013499</v>
      </c>
      <c r="H72" s="63">
        <f t="shared" si="50"/>
        <v>0.39930735504093384</v>
      </c>
      <c r="I72" s="63">
        <f t="shared" si="50"/>
        <v>0.27412103502415053</v>
      </c>
      <c r="J72" s="63">
        <f t="shared" si="50"/>
        <v>0.25943261127843664</v>
      </c>
      <c r="K72" s="63">
        <f t="shared" si="50"/>
        <v>0.20621036275162941</v>
      </c>
      <c r="L72" s="63">
        <f t="shared" si="50"/>
        <v>0.23813305133049889</v>
      </c>
      <c r="M72" s="63">
        <f t="shared" si="50"/>
        <v>0.20337552108310564</v>
      </c>
      <c r="N72" s="63">
        <f t="shared" si="50"/>
        <v>0.20617604357612418</v>
      </c>
      <c r="O72" s="63">
        <f t="shared" si="50"/>
        <v>0.19659456252860386</v>
      </c>
      <c r="P72" s="63">
        <f t="shared" si="50"/>
        <v>0.18192214174657506</v>
      </c>
      <c r="R72" s="109"/>
      <c r="S72" s="109"/>
      <c r="T72" s="109"/>
    </row>
    <row r="73" spans="1:20" x14ac:dyDescent="0.2">
      <c r="A73" s="68" t="s">
        <v>28</v>
      </c>
      <c r="B73" s="46">
        <v>1.6385040306</v>
      </c>
      <c r="C73" s="46">
        <v>2.3315950421999982</v>
      </c>
      <c r="D73" s="46">
        <v>3.0377403467999944</v>
      </c>
      <c r="E73" s="46">
        <v>4.0168861973999892</v>
      </c>
      <c r="F73" s="46">
        <v>5.0179958423999862</v>
      </c>
      <c r="G73" s="46">
        <v>7.0376842907999766</v>
      </c>
      <c r="H73" s="46">
        <v>10.104506323199953</v>
      </c>
      <c r="I73" s="46">
        <v>12.948038141399948</v>
      </c>
      <c r="J73" s="46">
        <v>16.518515930999953</v>
      </c>
      <c r="K73" s="46">
        <v>20.141918732656503</v>
      </c>
      <c r="L73" s="46">
        <v>25.146546886708354</v>
      </c>
      <c r="M73" s="46">
        <v>30.976522720342071</v>
      </c>
      <c r="N73" s="46">
        <v>37.596756929684091</v>
      </c>
      <c r="O73" s="46">
        <v>45.251295378150928</v>
      </c>
      <c r="P73" s="46">
        <v>53.802976904331587</v>
      </c>
      <c r="R73" s="57">
        <f>(J73/D73)^(1/6)-1</f>
        <v>0.32608103140431255</v>
      </c>
      <c r="S73" s="57">
        <f>(P73/J73)^(1/6)-1</f>
        <v>0.21751002680542131</v>
      </c>
      <c r="T73" s="109"/>
    </row>
    <row r="74" spans="1:20" x14ac:dyDescent="0.2">
      <c r="A74" s="62" t="s">
        <v>4</v>
      </c>
      <c r="B74" s="63"/>
      <c r="C74" s="63">
        <f t="shared" ref="C74:O74" si="51">C73/B73-1</f>
        <v>0.42300232325104314</v>
      </c>
      <c r="D74" s="63">
        <f t="shared" si="51"/>
        <v>0.3028593266923858</v>
      </c>
      <c r="E74" s="63">
        <f t="shared" si="51"/>
        <v>0.32232703879100244</v>
      </c>
      <c r="F74" s="63">
        <f t="shared" si="51"/>
        <v>0.24922529437054641</v>
      </c>
      <c r="G74" s="63">
        <f t="shared" si="51"/>
        <v>0.40248906372828364</v>
      </c>
      <c r="H74" s="63">
        <f t="shared" si="51"/>
        <v>0.43577147051183918</v>
      </c>
      <c r="I74" s="63">
        <f t="shared" si="51"/>
        <v>0.28141224590767444</v>
      </c>
      <c r="J74" s="63">
        <f t="shared" si="51"/>
        <v>0.27575434599499582</v>
      </c>
      <c r="K74" s="63">
        <f t="shared" si="51"/>
        <v>0.21935401562658452</v>
      </c>
      <c r="L74" s="63">
        <f t="shared" si="51"/>
        <v>0.24846829244414259</v>
      </c>
      <c r="M74" s="63">
        <f t="shared" si="51"/>
        <v>0.23184001604272964</v>
      </c>
      <c r="N74" s="63">
        <f t="shared" si="51"/>
        <v>0.21371779747875186</v>
      </c>
      <c r="O74" s="63">
        <f t="shared" si="51"/>
        <v>0.20359571073597804</v>
      </c>
      <c r="P74" s="63">
        <f>P73/O73-1</f>
        <v>0.18898202702744604</v>
      </c>
      <c r="R74" s="109"/>
      <c r="S74" s="109"/>
      <c r="T74" s="109"/>
    </row>
    <row r="75" spans="1:20" x14ac:dyDescent="0.2">
      <c r="A75" s="77" t="s">
        <v>23</v>
      </c>
      <c r="B75" s="56">
        <f t="shared" ref="B75:P75" si="52">B69+B71+B73</f>
        <v>42.945451927199997</v>
      </c>
      <c r="C75" s="56">
        <f t="shared" si="52"/>
        <v>58.051217192400102</v>
      </c>
      <c r="D75" s="56">
        <f t="shared" si="52"/>
        <v>72.774948574800135</v>
      </c>
      <c r="E75" s="56">
        <f t="shared" si="52"/>
        <v>93.430192397400219</v>
      </c>
      <c r="F75" s="56">
        <f t="shared" si="52"/>
        <v>113.06685039840036</v>
      </c>
      <c r="G75" s="56">
        <f t="shared" si="52"/>
        <v>151.48023610680036</v>
      </c>
      <c r="H75" s="56">
        <f t="shared" si="52"/>
        <v>205.18750786320035</v>
      </c>
      <c r="I75" s="56">
        <f t="shared" si="52"/>
        <v>257.75045433540038</v>
      </c>
      <c r="J75" s="56">
        <f t="shared" si="52"/>
        <v>317.86475679900099</v>
      </c>
      <c r="K75" s="56">
        <f t="shared" si="52"/>
        <v>380.04679216814617</v>
      </c>
      <c r="L75" s="56">
        <f t="shared" si="52"/>
        <v>462.58254771751189</v>
      </c>
      <c r="M75" s="56">
        <f t="shared" si="52"/>
        <v>553.85353035052094</v>
      </c>
      <c r="N75" s="56">
        <f t="shared" si="52"/>
        <v>675.16815985151061</v>
      </c>
      <c r="O75" s="56">
        <f t="shared" si="52"/>
        <v>817.27186425312061</v>
      </c>
      <c r="P75" s="56">
        <f t="shared" si="52"/>
        <v>969.05389803391063</v>
      </c>
      <c r="R75" s="57">
        <f>(J75/D75)^(1/6)-1</f>
        <v>0.27852751398665387</v>
      </c>
      <c r="S75" s="57">
        <f>(P75/J75)^(1/6)-1</f>
        <v>0.20416017317824697</v>
      </c>
      <c r="T75" s="109"/>
    </row>
    <row r="76" spans="1:20" x14ac:dyDescent="0.2">
      <c r="A76" s="74" t="s">
        <v>4</v>
      </c>
      <c r="B76" s="66"/>
      <c r="C76" s="59">
        <f t="shared" ref="C76:P76" si="53">C75/B75-1</f>
        <v>0.35174307376732239</v>
      </c>
      <c r="D76" s="59">
        <f t="shared" si="53"/>
        <v>0.2536334653173753</v>
      </c>
      <c r="E76" s="59">
        <f t="shared" si="53"/>
        <v>0.28382354405060206</v>
      </c>
      <c r="F76" s="59">
        <f t="shared" si="53"/>
        <v>0.21017465015459558</v>
      </c>
      <c r="G76" s="59">
        <f t="shared" si="53"/>
        <v>0.3397404771871444</v>
      </c>
      <c r="H76" s="59">
        <f t="shared" si="53"/>
        <v>0.35454969662533364</v>
      </c>
      <c r="I76" s="59">
        <f t="shared" si="53"/>
        <v>0.25617030500338278</v>
      </c>
      <c r="J76" s="59">
        <f t="shared" si="53"/>
        <v>0.23322675654870539</v>
      </c>
      <c r="K76" s="59">
        <f t="shared" si="53"/>
        <v>0.19562418934183845</v>
      </c>
      <c r="L76" s="59">
        <f t="shared" si="53"/>
        <v>0.21717261466279925</v>
      </c>
      <c r="M76" s="59">
        <f t="shared" si="53"/>
        <v>0.19730744941278267</v>
      </c>
      <c r="N76" s="59">
        <f t="shared" si="53"/>
        <v>0.21903738597497524</v>
      </c>
      <c r="O76" s="59">
        <f t="shared" si="53"/>
        <v>0.21047157264178873</v>
      </c>
      <c r="P76" s="59">
        <f t="shared" si="53"/>
        <v>0.18571792376518292</v>
      </c>
      <c r="R76" s="109"/>
      <c r="S76" s="109"/>
      <c r="T76" s="109"/>
    </row>
    <row r="77" spans="1:20" ht="17.100000000000001" customHeight="1" x14ac:dyDescent="0.2">
      <c r="J77" s="108"/>
      <c r="R77" s="109"/>
      <c r="S77" s="109"/>
      <c r="T77" s="109"/>
    </row>
    <row r="78" spans="1:20" x14ac:dyDescent="0.2">
      <c r="A78" s="67" t="s">
        <v>29</v>
      </c>
      <c r="R78" s="109"/>
      <c r="S78" s="109"/>
      <c r="T78" s="109"/>
    </row>
    <row r="79" spans="1:20" x14ac:dyDescent="0.2">
      <c r="A79" s="68" t="s">
        <v>30</v>
      </c>
      <c r="B79" s="46">
        <v>19.664559427837101</v>
      </c>
      <c r="C79" s="46">
        <v>25.456684954059028</v>
      </c>
      <c r="D79" s="46">
        <v>31.545922529599824</v>
      </c>
      <c r="E79" s="46">
        <v>38.913522987088882</v>
      </c>
      <c r="F79" s="46">
        <v>46.044029067304621</v>
      </c>
      <c r="G79" s="46">
        <v>58.763167425694377</v>
      </c>
      <c r="H79" s="46">
        <v>77.104228849239291</v>
      </c>
      <c r="I79" s="46">
        <v>94.927727484517376</v>
      </c>
      <c r="J79" s="46">
        <v>113.98046107938525</v>
      </c>
      <c r="K79" s="46">
        <v>133.52360139996435</v>
      </c>
      <c r="L79" s="46">
        <v>158.48980589970552</v>
      </c>
      <c r="M79" s="46">
        <v>186.45111523475538</v>
      </c>
      <c r="N79" s="46">
        <v>226.33043370831666</v>
      </c>
      <c r="O79" s="46">
        <v>273.21660359802138</v>
      </c>
      <c r="P79" s="46">
        <v>321.54864628510671</v>
      </c>
      <c r="R79" s="57">
        <f>(J79/D79)^(1/6)-1</f>
        <v>0.23874295100016085</v>
      </c>
      <c r="S79" s="57">
        <f>(P79/J79)^(1/6)-1</f>
        <v>0.18869210803173719</v>
      </c>
      <c r="T79" s="109"/>
    </row>
    <row r="80" spans="1:20" x14ac:dyDescent="0.2">
      <c r="A80" s="62" t="s">
        <v>4</v>
      </c>
      <c r="B80" s="63"/>
      <c r="C80" s="63">
        <f t="shared" ref="C80:P80" si="54">C79/B79-1</f>
        <v>0.29454641724759978</v>
      </c>
      <c r="D80" s="63">
        <f t="shared" si="54"/>
        <v>0.23919994243279796</v>
      </c>
      <c r="E80" s="63">
        <f t="shared" si="54"/>
        <v>0.23355159293807226</v>
      </c>
      <c r="F80" s="63">
        <f t="shared" si="54"/>
        <v>0.18323979770686827</v>
      </c>
      <c r="G80" s="63">
        <f t="shared" si="54"/>
        <v>0.27623860500560493</v>
      </c>
      <c r="H80" s="63">
        <f t="shared" si="54"/>
        <v>0.3121183255946347</v>
      </c>
      <c r="I80" s="63">
        <f t="shared" si="54"/>
        <v>0.23116110362932352</v>
      </c>
      <c r="J80" s="63">
        <f t="shared" si="54"/>
        <v>0.20070778159074076</v>
      </c>
      <c r="K80" s="63">
        <f t="shared" si="54"/>
        <v>0.17146044274174033</v>
      </c>
      <c r="L80" s="63">
        <f t="shared" si="54"/>
        <v>0.18697971173617423</v>
      </c>
      <c r="M80" s="63">
        <f t="shared" si="54"/>
        <v>0.17642339314078126</v>
      </c>
      <c r="N80" s="63">
        <f t="shared" si="54"/>
        <v>0.21388618900643386</v>
      </c>
      <c r="O80" s="63">
        <f t="shared" si="54"/>
        <v>0.20715804375707281</v>
      </c>
      <c r="P80" s="63">
        <f t="shared" si="54"/>
        <v>0.17690009337132162</v>
      </c>
      <c r="R80" s="109"/>
      <c r="S80" s="109"/>
      <c r="T80" s="109"/>
    </row>
    <row r="81" spans="1:20" x14ac:dyDescent="0.2">
      <c r="A81" s="68" t="s">
        <v>31</v>
      </c>
      <c r="B81" s="46">
        <v>9.3371382401629006</v>
      </c>
      <c r="C81" s="46">
        <v>13.09320015794107</v>
      </c>
      <c r="D81" s="46">
        <v>16.138599306400284</v>
      </c>
      <c r="E81" s="46">
        <v>21.792998390911279</v>
      </c>
      <c r="F81" s="46">
        <v>26.572242638695684</v>
      </c>
      <c r="G81" s="46">
        <v>36.915928946305883</v>
      </c>
      <c r="H81" s="46">
        <v>49.743710830760847</v>
      </c>
      <c r="I81" s="46">
        <v>62.934961067482632</v>
      </c>
      <c r="J81" s="46">
        <v>77.871051580615088</v>
      </c>
      <c r="K81" s="46">
        <v>94.307596204361744</v>
      </c>
      <c r="L81" s="46">
        <v>115.42141167382431</v>
      </c>
      <c r="M81" s="46">
        <v>139.6441711331999</v>
      </c>
      <c r="N81" s="46">
        <v>173.88757121334129</v>
      </c>
      <c r="O81" s="46">
        <v>214.78817983225889</v>
      </c>
      <c r="P81" s="46">
        <v>258.01772942184931</v>
      </c>
      <c r="R81" s="57">
        <f>(J81/D81)^(1/6)-1</f>
        <v>0.29992521140003148</v>
      </c>
      <c r="S81" s="57">
        <f>(P81/J81)^(1/6)-1</f>
        <v>0.22099040637021283</v>
      </c>
      <c r="T81" s="109"/>
    </row>
    <row r="82" spans="1:20" x14ac:dyDescent="0.2">
      <c r="A82" s="62" t="s">
        <v>4</v>
      </c>
      <c r="B82" s="63"/>
      <c r="C82" s="63">
        <f t="shared" ref="C82:P82" si="55">C81/B81-1</f>
        <v>0.40227121213883188</v>
      </c>
      <c r="D82" s="63">
        <f t="shared" si="55"/>
        <v>0.23259395042641051</v>
      </c>
      <c r="E82" s="63">
        <f t="shared" si="55"/>
        <v>0.3503649218348559</v>
      </c>
      <c r="F82" s="63">
        <f t="shared" si="55"/>
        <v>0.21930182171616996</v>
      </c>
      <c r="G82" s="63">
        <f t="shared" si="55"/>
        <v>0.38926659101581662</v>
      </c>
      <c r="H82" s="63">
        <f t="shared" si="55"/>
        <v>0.34748636294952617</v>
      </c>
      <c r="I82" s="63">
        <f t="shared" si="55"/>
        <v>0.26518428192061005</v>
      </c>
      <c r="J82" s="63">
        <f t="shared" si="55"/>
        <v>0.23732580841858453</v>
      </c>
      <c r="K82" s="63">
        <f t="shared" si="55"/>
        <v>0.21107387520933774</v>
      </c>
      <c r="L82" s="63">
        <f t="shared" si="55"/>
        <v>0.22388244764196474</v>
      </c>
      <c r="M82" s="63">
        <f t="shared" si="55"/>
        <v>0.20986365621508796</v>
      </c>
      <c r="N82" s="63">
        <f t="shared" si="55"/>
        <v>0.24521897192170128</v>
      </c>
      <c r="O82" s="63">
        <f t="shared" si="55"/>
        <v>0.23521295014660337</v>
      </c>
      <c r="P82" s="63">
        <f t="shared" si="55"/>
        <v>0.20126596176452072</v>
      </c>
      <c r="R82" s="109"/>
      <c r="S82" s="109"/>
      <c r="T82" s="109"/>
    </row>
    <row r="83" spans="1:20" x14ac:dyDescent="0.2">
      <c r="A83" s="77" t="s">
        <v>23</v>
      </c>
      <c r="B83" s="56">
        <f t="shared" ref="B83:P83" si="56">B79+B81</f>
        <v>29.001697668000002</v>
      </c>
      <c r="C83" s="56">
        <f t="shared" si="56"/>
        <v>38.549885112000098</v>
      </c>
      <c r="D83" s="56">
        <f t="shared" si="56"/>
        <v>47.684521836000108</v>
      </c>
      <c r="E83" s="56">
        <f t="shared" si="56"/>
        <v>60.706521378000161</v>
      </c>
      <c r="F83" s="56">
        <f t="shared" si="56"/>
        <v>72.616271706000305</v>
      </c>
      <c r="G83" s="56">
        <f t="shared" si="56"/>
        <v>95.679096372000259</v>
      </c>
      <c r="H83" s="56">
        <f t="shared" si="56"/>
        <v>126.84793968000014</v>
      </c>
      <c r="I83" s="56">
        <f t="shared" si="56"/>
        <v>157.86268855200001</v>
      </c>
      <c r="J83" s="56">
        <f t="shared" si="56"/>
        <v>191.85151266000034</v>
      </c>
      <c r="K83" s="56">
        <f t="shared" si="56"/>
        <v>227.83119760432609</v>
      </c>
      <c r="L83" s="56">
        <f t="shared" si="56"/>
        <v>273.91121757352983</v>
      </c>
      <c r="M83" s="56">
        <f t="shared" si="56"/>
        <v>326.09528636795528</v>
      </c>
      <c r="N83" s="56">
        <f t="shared" si="56"/>
        <v>400.21800492165795</v>
      </c>
      <c r="O83" s="56">
        <f t="shared" si="56"/>
        <v>488.00478343028027</v>
      </c>
      <c r="P83" s="56">
        <f t="shared" si="56"/>
        <v>579.56637570695602</v>
      </c>
      <c r="R83" s="57">
        <f>(J83/D83)^(1/6)-1</f>
        <v>0.26114386811728751</v>
      </c>
      <c r="S83" s="57">
        <f>(P83/J83)^(1/6)-1</f>
        <v>0.2023280861731056</v>
      </c>
      <c r="T83" s="109"/>
    </row>
    <row r="84" spans="1:20" x14ac:dyDescent="0.2">
      <c r="A84" s="74" t="s">
        <v>4</v>
      </c>
      <c r="B84" s="66"/>
      <c r="C84" s="59">
        <f t="shared" ref="C84:P84" si="57">C83/B83-1</f>
        <v>0.32922856976525927</v>
      </c>
      <c r="D84" s="59">
        <f t="shared" si="57"/>
        <v>0.23695626322778618</v>
      </c>
      <c r="E84" s="59">
        <f t="shared" si="57"/>
        <v>0.27308650775163912</v>
      </c>
      <c r="F84" s="59">
        <f t="shared" si="57"/>
        <v>0.19618568248774992</v>
      </c>
      <c r="G84" s="59">
        <f t="shared" si="57"/>
        <v>0.31759857844773198</v>
      </c>
      <c r="H84" s="59">
        <f t="shared" si="57"/>
        <v>0.32576439880677222</v>
      </c>
      <c r="I84" s="59">
        <f t="shared" si="57"/>
        <v>0.24450337112483589</v>
      </c>
      <c r="J84" s="59">
        <f t="shared" si="57"/>
        <v>0.21530625393348979</v>
      </c>
      <c r="K84" s="59">
        <f t="shared" si="57"/>
        <v>0.18753922992564065</v>
      </c>
      <c r="L84" s="59">
        <f t="shared" si="57"/>
        <v>0.20225509260250996</v>
      </c>
      <c r="M84" s="59">
        <f t="shared" si="57"/>
        <v>0.1905145369974377</v>
      </c>
      <c r="N84" s="59">
        <f t="shared" si="57"/>
        <v>0.22730386378558376</v>
      </c>
      <c r="O84" s="59">
        <f t="shared" si="57"/>
        <v>0.21934739924008784</v>
      </c>
      <c r="P84" s="59">
        <f t="shared" si="57"/>
        <v>0.18762437456672365</v>
      </c>
      <c r="R84" s="109"/>
      <c r="S84" s="109"/>
      <c r="T84" s="109"/>
    </row>
    <row r="85" spans="1:20" ht="17.100000000000001" customHeight="1" x14ac:dyDescent="0.2">
      <c r="G85" s="108"/>
      <c r="H85" s="108"/>
      <c r="I85" s="108"/>
      <c r="J85" s="108"/>
      <c r="K85" s="108"/>
      <c r="L85" s="108"/>
      <c r="M85" s="108"/>
      <c r="N85" s="108"/>
      <c r="O85" s="108"/>
      <c r="P85" s="108"/>
      <c r="R85" s="109"/>
      <c r="S85" s="109"/>
      <c r="T85" s="109"/>
    </row>
    <row r="86" spans="1:20" ht="17.100000000000001" customHeight="1" x14ac:dyDescent="0.2">
      <c r="A86" s="67" t="s">
        <v>47</v>
      </c>
      <c r="R86" s="109"/>
      <c r="S86" s="109"/>
      <c r="T86" s="109"/>
    </row>
    <row r="87" spans="1:20" ht="17.100000000000001" customHeight="1" x14ac:dyDescent="0.2">
      <c r="A87" s="68" t="s">
        <v>48</v>
      </c>
      <c r="B87" s="46">
        <v>6.8909401280159992</v>
      </c>
      <c r="C87" s="46">
        <v>9.7054342371610876</v>
      </c>
      <c r="D87" s="46">
        <v>12.582766264061972</v>
      </c>
      <c r="E87" s="46">
        <v>16.85444889323843</v>
      </c>
      <c r="F87" s="46">
        <v>21.916305913069131</v>
      </c>
      <c r="G87" s="46">
        <v>31.775585026469038</v>
      </c>
      <c r="H87" s="46">
        <v>45.753260323576427</v>
      </c>
      <c r="I87" s="46">
        <v>59.985751949781523</v>
      </c>
      <c r="J87" s="46">
        <v>77.738904571924721</v>
      </c>
      <c r="K87" s="46">
        <v>96.488786979840469</v>
      </c>
      <c r="L87" s="46">
        <v>122.93046897356173</v>
      </c>
      <c r="M87" s="46">
        <v>152.22153115563387</v>
      </c>
      <c r="N87" s="46">
        <v>188.93053715809785</v>
      </c>
      <c r="O87" s="46">
        <v>232.62937780929892</v>
      </c>
      <c r="P87" s="46">
        <v>282.92335701469239</v>
      </c>
      <c r="R87" s="57">
        <f>(J87/D87)^(1/6)-1</f>
        <v>0.35459784770251024</v>
      </c>
      <c r="S87" s="57">
        <f>(P87/J87)^(1/6)-1</f>
        <v>0.24023808747556474</v>
      </c>
      <c r="T87" s="109"/>
    </row>
    <row r="88" spans="1:20" ht="17.100000000000001" customHeight="1" x14ac:dyDescent="0.2">
      <c r="A88" s="62" t="s">
        <v>4</v>
      </c>
      <c r="B88" s="63"/>
      <c r="C88" s="63">
        <f t="shared" ref="C88:P88" si="58">C87/B87-1</f>
        <v>0.40843398097487493</v>
      </c>
      <c r="D88" s="63">
        <f t="shared" si="58"/>
        <v>0.29646607834236649</v>
      </c>
      <c r="E88" s="63">
        <f t="shared" si="58"/>
        <v>0.33948676622698959</v>
      </c>
      <c r="F88" s="63">
        <f t="shared" si="58"/>
        <v>0.30032764950632029</v>
      </c>
      <c r="G88" s="63">
        <f t="shared" si="58"/>
        <v>0.44986044420563687</v>
      </c>
      <c r="H88" s="63">
        <f t="shared" si="58"/>
        <v>0.43988726833712088</v>
      </c>
      <c r="I88" s="63">
        <f t="shared" si="58"/>
        <v>0.31107054503985077</v>
      </c>
      <c r="J88" s="63">
        <f t="shared" si="58"/>
        <v>0.29595615700551137</v>
      </c>
      <c r="K88" s="63">
        <f t="shared" si="58"/>
        <v>0.24119046327142657</v>
      </c>
      <c r="L88" s="63">
        <f t="shared" si="58"/>
        <v>0.27403890981908341</v>
      </c>
      <c r="M88" s="63">
        <f t="shared" si="58"/>
        <v>0.23827341119451573</v>
      </c>
      <c r="N88" s="63">
        <f t="shared" si="58"/>
        <v>0.2411551488398318</v>
      </c>
      <c r="O88" s="63">
        <f t="shared" si="58"/>
        <v>0.23129580484193357</v>
      </c>
      <c r="P88" s="63">
        <f t="shared" si="58"/>
        <v>0.2161978838572256</v>
      </c>
      <c r="R88" s="109"/>
      <c r="S88" s="109"/>
      <c r="T88" s="109"/>
    </row>
    <row r="89" spans="1:20" ht="17.100000000000001" customHeight="1" x14ac:dyDescent="0.2">
      <c r="A89" s="68" t="s">
        <v>49</v>
      </c>
      <c r="B89" s="46">
        <v>5.4143101005840011</v>
      </c>
      <c r="C89" s="46">
        <v>7.464302801038917</v>
      </c>
      <c r="D89" s="46">
        <v>9.4699201279380656</v>
      </c>
      <c r="E89" s="46">
        <v>11.852335928761644</v>
      </c>
      <c r="F89" s="46">
        <v>13.516276936930938</v>
      </c>
      <c r="G89" s="46">
        <v>16.987870417531092</v>
      </c>
      <c r="H89" s="46">
        <v>22.48180153642382</v>
      </c>
      <c r="I89" s="46">
        <v>26.953975692218922</v>
      </c>
      <c r="J89" s="46">
        <v>31.755823636075988</v>
      </c>
      <c r="K89" s="46">
        <v>35.584888851323129</v>
      </c>
      <c r="L89" s="46">
        <v>40.594314283712023</v>
      </c>
      <c r="M89" s="46">
        <v>44.560190106589843</v>
      </c>
      <c r="N89" s="46">
        <v>48.422860842070797</v>
      </c>
      <c r="O89" s="46">
        <v>51.386407635390498</v>
      </c>
      <c r="P89" s="46">
        <v>52.761188407930632</v>
      </c>
      <c r="R89" s="57">
        <f>(J89/D89)^(1/6)-1</f>
        <v>0.22343108499622755</v>
      </c>
      <c r="S89" s="57">
        <f>(P89/J89)^(1/6)-1</f>
        <v>8.8299754758632831E-2</v>
      </c>
      <c r="T89" s="109"/>
    </row>
    <row r="90" spans="1:20" ht="17.100000000000001" customHeight="1" x14ac:dyDescent="0.2">
      <c r="A90" s="62" t="s">
        <v>4</v>
      </c>
      <c r="B90" s="63"/>
      <c r="C90" s="63">
        <f t="shared" ref="C90:P90" si="59">C89/B89-1</f>
        <v>0.37862491478532023</v>
      </c>
      <c r="D90" s="63">
        <f t="shared" si="59"/>
        <v>0.26869452919568015</v>
      </c>
      <c r="E90" s="63">
        <f t="shared" si="59"/>
        <v>0.25157718002235296</v>
      </c>
      <c r="F90" s="63">
        <f t="shared" si="59"/>
        <v>0.14038928850569166</v>
      </c>
      <c r="G90" s="63">
        <f t="shared" si="59"/>
        <v>0.2568453943936746</v>
      </c>
      <c r="H90" s="63">
        <f t="shared" si="59"/>
        <v>0.32340316848797701</v>
      </c>
      <c r="I90" s="63">
        <f t="shared" si="59"/>
        <v>0.19892418979633475</v>
      </c>
      <c r="J90" s="63">
        <f t="shared" si="59"/>
        <v>0.17814989516530821</v>
      </c>
      <c r="K90" s="63">
        <f t="shared" si="59"/>
        <v>0.12057836254315113</v>
      </c>
      <c r="L90" s="63">
        <f t="shared" si="59"/>
        <v>0.14077395192433295</v>
      </c>
      <c r="M90" s="63">
        <f t="shared" si="59"/>
        <v>9.769535199339674E-2</v>
      </c>
      <c r="N90" s="63">
        <f t="shared" si="59"/>
        <v>8.6684341477028859E-2</v>
      </c>
      <c r="O90" s="63">
        <f t="shared" si="59"/>
        <v>6.1201398302037413E-2</v>
      </c>
      <c r="P90" s="63">
        <f t="shared" si="59"/>
        <v>2.6753782484559396E-2</v>
      </c>
      <c r="R90" s="109"/>
      <c r="S90" s="109"/>
      <c r="T90" s="109"/>
    </row>
    <row r="91" spans="1:20" ht="17.100000000000001" customHeight="1" x14ac:dyDescent="0.2">
      <c r="A91" s="77" t="s">
        <v>23</v>
      </c>
      <c r="B91" s="56">
        <f t="shared" ref="B91:P91" si="60">B89+B87</f>
        <v>12.3052502286</v>
      </c>
      <c r="C91" s="56">
        <f t="shared" si="60"/>
        <v>17.169737038200005</v>
      </c>
      <c r="D91" s="56">
        <f t="shared" si="60"/>
        <v>22.052686392000037</v>
      </c>
      <c r="E91" s="56">
        <f t="shared" si="60"/>
        <v>28.706784822000074</v>
      </c>
      <c r="F91" s="56">
        <f t="shared" si="60"/>
        <v>35.432582850000067</v>
      </c>
      <c r="G91" s="56">
        <f t="shared" si="60"/>
        <v>48.76345544400013</v>
      </c>
      <c r="H91" s="56">
        <f t="shared" si="60"/>
        <v>68.235061860000243</v>
      </c>
      <c r="I91" s="56">
        <f t="shared" si="60"/>
        <v>86.939727642000449</v>
      </c>
      <c r="J91" s="56">
        <f t="shared" si="60"/>
        <v>109.49472820800071</v>
      </c>
      <c r="K91" s="56">
        <f t="shared" si="60"/>
        <v>132.0736758311636</v>
      </c>
      <c r="L91" s="56">
        <f t="shared" si="60"/>
        <v>163.52478325727375</v>
      </c>
      <c r="M91" s="56">
        <f t="shared" si="60"/>
        <v>196.7817212622237</v>
      </c>
      <c r="N91" s="56">
        <f t="shared" si="60"/>
        <v>237.35339800016865</v>
      </c>
      <c r="O91" s="56">
        <f t="shared" si="60"/>
        <v>284.01578544468941</v>
      </c>
      <c r="P91" s="56">
        <f t="shared" si="60"/>
        <v>335.68454542262305</v>
      </c>
      <c r="R91" s="57">
        <f>(J91/D91)^(1/6)-1</f>
        <v>0.30613665663791445</v>
      </c>
      <c r="S91" s="57">
        <f>(P91/J91)^(1/6)-1</f>
        <v>0.20528482747868293</v>
      </c>
      <c r="T91" s="109"/>
    </row>
    <row r="92" spans="1:20" ht="17.100000000000001" customHeight="1" x14ac:dyDescent="0.2">
      <c r="A92" s="74" t="s">
        <v>4</v>
      </c>
      <c r="B92" s="66"/>
      <c r="C92" s="59">
        <f t="shared" ref="C92:P92" si="61">C91/B91-1</f>
        <v>0.39531799185147087</v>
      </c>
      <c r="D92" s="59">
        <f t="shared" si="61"/>
        <v>0.28439278615253261</v>
      </c>
      <c r="E92" s="59">
        <f t="shared" si="61"/>
        <v>0.30173641032749265</v>
      </c>
      <c r="F92" s="59">
        <f t="shared" si="61"/>
        <v>0.23429297532636006</v>
      </c>
      <c r="G92" s="59">
        <f t="shared" si="61"/>
        <v>0.37623203057013499</v>
      </c>
      <c r="H92" s="59">
        <f t="shared" si="61"/>
        <v>0.39930735504093384</v>
      </c>
      <c r="I92" s="59">
        <f t="shared" si="61"/>
        <v>0.27412103502415053</v>
      </c>
      <c r="J92" s="59">
        <f t="shared" si="61"/>
        <v>0.25943261127843664</v>
      </c>
      <c r="K92" s="59">
        <f t="shared" si="61"/>
        <v>0.20621036275162941</v>
      </c>
      <c r="L92" s="59">
        <f t="shared" si="61"/>
        <v>0.23813305133049889</v>
      </c>
      <c r="M92" s="59">
        <f t="shared" si="61"/>
        <v>0.20337552108310564</v>
      </c>
      <c r="N92" s="59">
        <f t="shared" si="61"/>
        <v>0.20617604357612418</v>
      </c>
      <c r="O92" s="59">
        <f t="shared" si="61"/>
        <v>0.19659456252860386</v>
      </c>
      <c r="P92" s="59">
        <f t="shared" si="61"/>
        <v>0.18192214174657506</v>
      </c>
      <c r="R92" s="109"/>
      <c r="S92" s="109"/>
      <c r="T92" s="109"/>
    </row>
    <row r="93" spans="1:20" ht="17.100000000000001" customHeight="1" x14ac:dyDescent="0.2">
      <c r="R93" s="109"/>
      <c r="S93" s="109"/>
      <c r="T93" s="109"/>
    </row>
    <row r="94" spans="1:20" ht="17.100000000000001" customHeight="1" x14ac:dyDescent="0.2">
      <c r="A94" s="67" t="s">
        <v>50</v>
      </c>
      <c r="R94" s="109"/>
      <c r="S94" s="109"/>
      <c r="T94" s="109"/>
    </row>
    <row r="95" spans="1:20" ht="17.100000000000001" customHeight="1" x14ac:dyDescent="0.2">
      <c r="A95" s="68" t="s">
        <v>48</v>
      </c>
      <c r="B95" s="46">
        <v>1.14695282142</v>
      </c>
      <c r="C95" s="46">
        <v>1.6474584249176747</v>
      </c>
      <c r="D95" s="46">
        <v>2.1665827960398141</v>
      </c>
      <c r="E95" s="46">
        <v>2.8918613645048961</v>
      </c>
      <c r="F95" s="46">
        <v>3.6465446761773519</v>
      </c>
      <c r="G95" s="46">
        <v>5.1623128756054424</v>
      </c>
      <c r="H95" s="46">
        <v>7.4815734232075393</v>
      </c>
      <c r="I95" s="46">
        <v>9.6770974133052032</v>
      </c>
      <c r="J95" s="46">
        <v>12.461647713008473</v>
      </c>
      <c r="K95" s="46">
        <v>15.635819825405964</v>
      </c>
      <c r="L95" s="46">
        <v>20.086929211462135</v>
      </c>
      <c r="M95" s="46">
        <v>25.461455814957496</v>
      </c>
      <c r="N95" s="46">
        <v>31.799209712430422</v>
      </c>
      <c r="O95" s="46">
        <v>39.383320794700687</v>
      </c>
      <c r="P95" s="46">
        <v>48.184016346652498</v>
      </c>
      <c r="R95" s="57">
        <f>(J95/D95)^(1/6)-1</f>
        <v>0.33854619309951306</v>
      </c>
      <c r="S95" s="57">
        <f>(P95/J95)^(1/6)-1</f>
        <v>0.25281781758277866</v>
      </c>
      <c r="T95" s="109"/>
    </row>
    <row r="96" spans="1:20" ht="17.100000000000001" customHeight="1" x14ac:dyDescent="0.2">
      <c r="A96" s="62" t="s">
        <v>4</v>
      </c>
      <c r="B96" s="63"/>
      <c r="C96" s="63">
        <f t="shared" ref="C96:P96" si="62">C95/B95-1</f>
        <v>0.43637854508960294</v>
      </c>
      <c r="D96" s="63">
        <f t="shared" si="62"/>
        <v>0.31510620436329417</v>
      </c>
      <c r="E96" s="63">
        <f t="shared" si="62"/>
        <v>0.33475691295563759</v>
      </c>
      <c r="F96" s="63">
        <f t="shared" si="62"/>
        <v>0.26096801213762966</v>
      </c>
      <c r="G96" s="63">
        <f t="shared" si="62"/>
        <v>0.41567246092732923</v>
      </c>
      <c r="H96" s="63">
        <f t="shared" si="62"/>
        <v>0.4492677223346504</v>
      </c>
      <c r="I96" s="63">
        <f t="shared" si="62"/>
        <v>0.29345752101920652</v>
      </c>
      <c r="J96" s="63">
        <f t="shared" si="62"/>
        <v>0.28774643684734902</v>
      </c>
      <c r="K96" s="63">
        <f t="shared" si="62"/>
        <v>0.25471528207975536</v>
      </c>
      <c r="L96" s="63">
        <f t="shared" si="62"/>
        <v>0.28467387292502289</v>
      </c>
      <c r="M96" s="63">
        <f t="shared" si="62"/>
        <v>0.2675633765079688</v>
      </c>
      <c r="N96" s="63">
        <f t="shared" si="62"/>
        <v>0.24891561360563563</v>
      </c>
      <c r="O96" s="63">
        <f t="shared" si="62"/>
        <v>0.23849998634732139</v>
      </c>
      <c r="P96" s="63">
        <f t="shared" si="62"/>
        <v>0.22346250581124205</v>
      </c>
      <c r="R96" s="109"/>
      <c r="S96" s="109"/>
      <c r="T96" s="109"/>
    </row>
    <row r="97" spans="1:20" ht="17.100000000000001" customHeight="1" x14ac:dyDescent="0.2">
      <c r="A97" s="68" t="s">
        <v>49</v>
      </c>
      <c r="B97" s="46">
        <v>0.49155120918000011</v>
      </c>
      <c r="C97" s="46">
        <v>0.68413661728232356</v>
      </c>
      <c r="D97" s="46">
        <v>0.87115755076018053</v>
      </c>
      <c r="E97" s="46">
        <v>1.1250248328950931</v>
      </c>
      <c r="F97" s="46">
        <v>1.3714511662226343</v>
      </c>
      <c r="G97" s="46">
        <v>1.8753714151945338</v>
      </c>
      <c r="H97" s="46">
        <v>2.6229328999924135</v>
      </c>
      <c r="I97" s="46">
        <v>3.2709407280947453</v>
      </c>
      <c r="J97" s="46">
        <v>4.0568682179914815</v>
      </c>
      <c r="K97" s="46">
        <v>4.5060989072505393</v>
      </c>
      <c r="L97" s="46">
        <v>5.0596176752462183</v>
      </c>
      <c r="M97" s="46">
        <v>5.5150669053845762</v>
      </c>
      <c r="N97" s="46">
        <v>5.7975472172536708</v>
      </c>
      <c r="O97" s="46">
        <v>5.8679745834502404</v>
      </c>
      <c r="P97" s="46">
        <v>5.6189605576790917</v>
      </c>
      <c r="R97" s="57">
        <f>(J97/D97)^(1/6)-1</f>
        <v>0.29225741410775274</v>
      </c>
      <c r="S97" s="57">
        <f>(P97/J97)^(1/6)-1</f>
        <v>5.5789926155861869E-2</v>
      </c>
      <c r="T97" s="109"/>
    </row>
    <row r="98" spans="1:20" ht="17.100000000000001" customHeight="1" x14ac:dyDescent="0.2">
      <c r="A98" s="62" t="s">
        <v>4</v>
      </c>
      <c r="B98" s="63"/>
      <c r="C98" s="63">
        <f t="shared" ref="C98:P98" si="63">C97/B97-1</f>
        <v>0.39179113896106998</v>
      </c>
      <c r="D98" s="63">
        <f t="shared" si="63"/>
        <v>0.27336781682696976</v>
      </c>
      <c r="E98" s="63">
        <f t="shared" si="63"/>
        <v>0.29141374245495033</v>
      </c>
      <c r="F98" s="63">
        <f t="shared" si="63"/>
        <v>0.2190407945870827</v>
      </c>
      <c r="G98" s="63">
        <f t="shared" si="63"/>
        <v>0.36743579456776354</v>
      </c>
      <c r="H98" s="63">
        <f t="shared" si="63"/>
        <v>0.39862049658058507</v>
      </c>
      <c r="I98" s="63">
        <f t="shared" si="63"/>
        <v>0.24705467231136802</v>
      </c>
      <c r="J98" s="63">
        <f t="shared" si="63"/>
        <v>0.24027567456244392</v>
      </c>
      <c r="K98" s="63">
        <f t="shared" si="63"/>
        <v>0.11073336995932004</v>
      </c>
      <c r="L98" s="63">
        <f t="shared" si="63"/>
        <v>0.12283768718548083</v>
      </c>
      <c r="M98" s="63">
        <f t="shared" si="63"/>
        <v>9.0016530768047387E-2</v>
      </c>
      <c r="N98" s="63">
        <f t="shared" si="63"/>
        <v>5.1219743425650499E-2</v>
      </c>
      <c r="O98" s="63">
        <f t="shared" si="63"/>
        <v>1.2147786565148699E-2</v>
      </c>
      <c r="P98" s="63">
        <f t="shared" si="63"/>
        <v>-4.2436111852538705E-2</v>
      </c>
      <c r="R98" s="109"/>
      <c r="S98" s="109"/>
      <c r="T98" s="109"/>
    </row>
    <row r="99" spans="1:20" ht="17.100000000000001" customHeight="1" x14ac:dyDescent="0.2">
      <c r="A99" s="77" t="s">
        <v>23</v>
      </c>
      <c r="B99" s="56">
        <f t="shared" ref="B99:P99" si="64">B97+B95</f>
        <v>1.6385040306</v>
      </c>
      <c r="C99" s="56">
        <f t="shared" si="64"/>
        <v>2.3315950421999982</v>
      </c>
      <c r="D99" s="56">
        <f t="shared" si="64"/>
        <v>3.0377403467999944</v>
      </c>
      <c r="E99" s="56">
        <f t="shared" si="64"/>
        <v>4.0168861973999892</v>
      </c>
      <c r="F99" s="56">
        <f t="shared" si="64"/>
        <v>5.0179958423999862</v>
      </c>
      <c r="G99" s="56">
        <f t="shared" si="64"/>
        <v>7.0376842907999766</v>
      </c>
      <c r="H99" s="56">
        <f t="shared" si="64"/>
        <v>10.104506323199953</v>
      </c>
      <c r="I99" s="56">
        <f t="shared" si="64"/>
        <v>12.948038141399948</v>
      </c>
      <c r="J99" s="56">
        <f t="shared" si="64"/>
        <v>16.518515930999953</v>
      </c>
      <c r="K99" s="56">
        <f t="shared" si="64"/>
        <v>20.141918732656503</v>
      </c>
      <c r="L99" s="56">
        <f t="shared" si="64"/>
        <v>25.146546886708354</v>
      </c>
      <c r="M99" s="56">
        <f t="shared" si="64"/>
        <v>30.976522720342071</v>
      </c>
      <c r="N99" s="56">
        <f t="shared" si="64"/>
        <v>37.596756929684091</v>
      </c>
      <c r="O99" s="56">
        <f t="shared" si="64"/>
        <v>45.251295378150928</v>
      </c>
      <c r="P99" s="56">
        <f t="shared" si="64"/>
        <v>53.802976904331587</v>
      </c>
      <c r="R99" s="57">
        <f>(J99/D99)^(1/6)-1</f>
        <v>0.32608103140431255</v>
      </c>
      <c r="S99" s="57">
        <f>(P99/J99)^(1/6)-1</f>
        <v>0.21751002680542131</v>
      </c>
      <c r="T99" s="109"/>
    </row>
    <row r="100" spans="1:20" ht="17.100000000000001" customHeight="1" x14ac:dyDescent="0.2">
      <c r="A100" s="74" t="s">
        <v>4</v>
      </c>
      <c r="B100" s="66"/>
      <c r="C100" s="59">
        <f t="shared" ref="C100:P100" si="65">C99/B99-1</f>
        <v>0.42300232325104314</v>
      </c>
      <c r="D100" s="59">
        <f t="shared" si="65"/>
        <v>0.3028593266923858</v>
      </c>
      <c r="E100" s="59">
        <f t="shared" si="65"/>
        <v>0.32232703879100244</v>
      </c>
      <c r="F100" s="59">
        <f t="shared" si="65"/>
        <v>0.24922529437054641</v>
      </c>
      <c r="G100" s="59">
        <f t="shared" si="65"/>
        <v>0.40248906372828364</v>
      </c>
      <c r="H100" s="59">
        <f t="shared" si="65"/>
        <v>0.43577147051183918</v>
      </c>
      <c r="I100" s="59">
        <f t="shared" si="65"/>
        <v>0.28141224590767444</v>
      </c>
      <c r="J100" s="59">
        <f t="shared" si="65"/>
        <v>0.27575434599499582</v>
      </c>
      <c r="K100" s="59">
        <f t="shared" si="65"/>
        <v>0.21935401562658452</v>
      </c>
      <c r="L100" s="59">
        <f t="shared" si="65"/>
        <v>0.24846829244414259</v>
      </c>
      <c r="M100" s="59">
        <f t="shared" si="65"/>
        <v>0.23184001604272964</v>
      </c>
      <c r="N100" s="59">
        <f t="shared" si="65"/>
        <v>0.21371779747875186</v>
      </c>
      <c r="O100" s="59">
        <f t="shared" si="65"/>
        <v>0.20359571073597804</v>
      </c>
      <c r="P100" s="59">
        <f t="shared" si="65"/>
        <v>0.18898202702744604</v>
      </c>
      <c r="R100" s="109"/>
      <c r="S100" s="109"/>
      <c r="T100" s="109"/>
    </row>
    <row r="101" spans="1:20" ht="17.100000000000001" customHeight="1" x14ac:dyDescent="0.2">
      <c r="R101" s="109"/>
      <c r="S101" s="109"/>
      <c r="T101" s="109"/>
    </row>
    <row r="102" spans="1:20" x14ac:dyDescent="0.2">
      <c r="A102" s="67" t="s">
        <v>32</v>
      </c>
      <c r="R102" s="109"/>
      <c r="S102" s="109"/>
      <c r="T102" s="109"/>
    </row>
    <row r="103" spans="1:20" x14ac:dyDescent="0.2">
      <c r="A103" s="68" t="s">
        <v>82</v>
      </c>
      <c r="B103" s="45">
        <v>8.105863157733959E-4</v>
      </c>
      <c r="C103" s="45">
        <v>1.0693366050837985E-3</v>
      </c>
      <c r="D103" s="45">
        <v>1.2596613308715587E-3</v>
      </c>
      <c r="E103" s="45">
        <v>1.8361872696559714E-3</v>
      </c>
      <c r="F103" s="45">
        <v>2.6582062257660293E-3</v>
      </c>
      <c r="G103" s="45">
        <v>3.9012062210230796E-3</v>
      </c>
      <c r="H103" s="45">
        <v>5.9890522698985591E-3</v>
      </c>
      <c r="I103" s="45">
        <v>7.9609526099606604E-3</v>
      </c>
      <c r="J103" s="45">
        <v>1.0554278596811656E-2</v>
      </c>
      <c r="K103" s="45">
        <v>1.3307469043902098E-2</v>
      </c>
      <c r="L103" s="45">
        <v>1.6909625442239409E-2</v>
      </c>
      <c r="M103" s="45">
        <v>2.1115940937304359E-2</v>
      </c>
      <c r="N103" s="45">
        <v>2.5964397770528256E-2</v>
      </c>
      <c r="O103" s="45">
        <v>3.1618837964014719E-2</v>
      </c>
      <c r="P103" s="45">
        <v>3.8133690187283562E-2</v>
      </c>
      <c r="R103" s="57">
        <f>(J103/D103)^(1/6)-1</f>
        <v>0.42515617662852545</v>
      </c>
      <c r="S103" s="57">
        <f>(P103/J103)^(1/6)-1</f>
        <v>0.23873967225649162</v>
      </c>
      <c r="T103" s="109"/>
    </row>
    <row r="104" spans="1:20" x14ac:dyDescent="0.2">
      <c r="A104" s="62" t="s">
        <v>4</v>
      </c>
      <c r="B104" s="75"/>
      <c r="C104" s="63">
        <f t="shared" ref="C104:P104" si="66">C103/B103-1</f>
        <v>0.31921373982673762</v>
      </c>
      <c r="D104" s="63">
        <f t="shared" si="66"/>
        <v>0.17798392469024793</v>
      </c>
      <c r="E104" s="63">
        <f t="shared" si="66"/>
        <v>0.45768328728922314</v>
      </c>
      <c r="F104" s="63">
        <f t="shared" si="66"/>
        <v>0.4476770804886756</v>
      </c>
      <c r="G104" s="63">
        <f t="shared" si="66"/>
        <v>0.46760856370308446</v>
      </c>
      <c r="H104" s="63">
        <f t="shared" si="66"/>
        <v>0.53517961640283351</v>
      </c>
      <c r="I104" s="63">
        <f t="shared" si="66"/>
        <v>0.32925081485313212</v>
      </c>
      <c r="J104" s="63">
        <f t="shared" si="66"/>
        <v>0.32575573727272955</v>
      </c>
      <c r="K104" s="63">
        <f t="shared" si="66"/>
        <v>0.26086012623564381</v>
      </c>
      <c r="L104" s="63">
        <f t="shared" si="66"/>
        <v>0.27068681403305117</v>
      </c>
      <c r="M104" s="63">
        <f t="shared" si="66"/>
        <v>0.24875273017921384</v>
      </c>
      <c r="N104" s="63">
        <f t="shared" si="66"/>
        <v>0.2296112139932347</v>
      </c>
      <c r="O104" s="63">
        <f t="shared" si="66"/>
        <v>0.21777667417746627</v>
      </c>
      <c r="P104" s="63">
        <f t="shared" si="66"/>
        <v>0.20604337928811201</v>
      </c>
      <c r="R104" s="109"/>
      <c r="S104" s="109"/>
      <c r="T104" s="109"/>
    </row>
    <row r="105" spans="1:20" x14ac:dyDescent="0.2">
      <c r="A105" s="68" t="s">
        <v>10</v>
      </c>
      <c r="B105" s="43">
        <v>1.2661380484399756</v>
      </c>
      <c r="C105" s="43">
        <v>1.7308327468091815</v>
      </c>
      <c r="D105" s="43">
        <v>2.1403490631982272</v>
      </c>
      <c r="E105" s="43">
        <v>2.8828162366795218</v>
      </c>
      <c r="F105" s="43">
        <v>3.5098531200013654</v>
      </c>
      <c r="G105" s="43">
        <v>4.7230819591319237</v>
      </c>
      <c r="H105" s="43">
        <v>6.4034791606077048</v>
      </c>
      <c r="I105" s="43">
        <v>8.1372990491571997</v>
      </c>
      <c r="J105" s="43">
        <v>10.186184152548703</v>
      </c>
      <c r="K105" s="45">
        <v>12.901399180858185</v>
      </c>
      <c r="L105" s="45">
        <v>15.862958808776209</v>
      </c>
      <c r="M105" s="45">
        <v>19.235866576229501</v>
      </c>
      <c r="N105" s="45">
        <v>23.03728789831468</v>
      </c>
      <c r="O105" s="45">
        <v>27.394200299526567</v>
      </c>
      <c r="P105" s="45">
        <v>32.332038716358952</v>
      </c>
      <c r="R105" s="57">
        <f>(J105/D105)^(1/6)-1</f>
        <v>0.29694378619085682</v>
      </c>
      <c r="S105" s="57">
        <f>(P105/J105)^(1/6)-1</f>
        <v>0.21228182602691015</v>
      </c>
      <c r="T105" s="109"/>
    </row>
    <row r="106" spans="1:20" x14ac:dyDescent="0.2">
      <c r="A106" s="62" t="s">
        <v>4</v>
      </c>
      <c r="B106" s="75"/>
      <c r="C106" s="63">
        <f t="shared" ref="C106:P106" si="67">C105/B105-1</f>
        <v>0.36701740299311125</v>
      </c>
      <c r="D106" s="63">
        <f t="shared" si="67"/>
        <v>0.23660074443587664</v>
      </c>
      <c r="E106" s="63">
        <f t="shared" si="67"/>
        <v>0.34689069472241107</v>
      </c>
      <c r="F106" s="63">
        <f t="shared" si="67"/>
        <v>0.21750844724118656</v>
      </c>
      <c r="G106" s="63">
        <f t="shared" si="67"/>
        <v>0.34566370661404955</v>
      </c>
      <c r="H106" s="63">
        <f t="shared" si="67"/>
        <v>0.35578404440490141</v>
      </c>
      <c r="I106" s="63">
        <f t="shared" si="67"/>
        <v>0.27076216616982807</v>
      </c>
      <c r="J106" s="63">
        <f t="shared" si="67"/>
        <v>0.25178933341570042</v>
      </c>
      <c r="K106" s="63">
        <f t="shared" si="67"/>
        <v>0.26655860405096865</v>
      </c>
      <c r="L106" s="63">
        <f t="shared" si="67"/>
        <v>0.2295533675380026</v>
      </c>
      <c r="M106" s="63">
        <f t="shared" si="67"/>
        <v>0.21262790933979003</v>
      </c>
      <c r="N106" s="63">
        <f t="shared" si="67"/>
        <v>0.19762152679842049</v>
      </c>
      <c r="O106" s="63">
        <f t="shared" si="67"/>
        <v>0.18912436309530256</v>
      </c>
      <c r="P106" s="63">
        <f t="shared" si="67"/>
        <v>0.18025123430661782</v>
      </c>
      <c r="R106" s="109"/>
      <c r="S106" s="109"/>
      <c r="T106" s="109"/>
    </row>
    <row r="107" spans="1:20" x14ac:dyDescent="0.2">
      <c r="A107" s="68" t="s">
        <v>11</v>
      </c>
      <c r="B107" s="43">
        <v>5.5415778914163933</v>
      </c>
      <c r="C107" s="43">
        <v>7.5860269241869531</v>
      </c>
      <c r="D107" s="43">
        <v>9.0114607930005501</v>
      </c>
      <c r="E107" s="43">
        <v>10.073523069497273</v>
      </c>
      <c r="F107" s="43">
        <v>10.399129170733822</v>
      </c>
      <c r="G107" s="43">
        <v>13.741393922518851</v>
      </c>
      <c r="H107" s="43">
        <v>18.126098652212907</v>
      </c>
      <c r="I107" s="43">
        <v>21.765901820350955</v>
      </c>
      <c r="J107" s="43">
        <v>25.861444830027878</v>
      </c>
      <c r="K107" s="43">
        <v>29.636493471955564</v>
      </c>
      <c r="L107" s="43">
        <v>34.122344480104168</v>
      </c>
      <c r="M107" s="43">
        <v>38.791683629161923</v>
      </c>
      <c r="N107" s="43">
        <v>43.598103086618558</v>
      </c>
      <c r="O107" s="43">
        <v>48.694145637361046</v>
      </c>
      <c r="P107" s="43">
        <v>54.018885300407305</v>
      </c>
      <c r="R107" s="57">
        <f>(J107/D107)^(1/6)-1</f>
        <v>0.19209151782055334</v>
      </c>
      <c r="S107" s="57">
        <f>(P107/J107)^(1/6)-1</f>
        <v>0.13061689857154235</v>
      </c>
      <c r="T107" s="109"/>
    </row>
    <row r="108" spans="1:20" x14ac:dyDescent="0.2">
      <c r="A108" s="62" t="s">
        <v>4</v>
      </c>
      <c r="B108" s="75"/>
      <c r="C108" s="63">
        <f t="shared" ref="C108:P108" si="68">C107/B107-1</f>
        <v>0.3689290438265429</v>
      </c>
      <c r="D108" s="63">
        <f t="shared" si="68"/>
        <v>0.1879025586198233</v>
      </c>
      <c r="E108" s="63">
        <f t="shared" si="68"/>
        <v>0.11785683818561976</v>
      </c>
      <c r="F108" s="63">
        <f t="shared" si="68"/>
        <v>3.2322961787071947E-2</v>
      </c>
      <c r="G108" s="63">
        <f t="shared" si="68"/>
        <v>0.32139852259852053</v>
      </c>
      <c r="H108" s="63">
        <f t="shared" si="68"/>
        <v>0.31908733236360942</v>
      </c>
      <c r="I108" s="63">
        <f t="shared" si="68"/>
        <v>0.20080455469074066</v>
      </c>
      <c r="J108" s="63">
        <f t="shared" si="68"/>
        <v>0.18816325845261428</v>
      </c>
      <c r="K108" s="63">
        <f t="shared" si="68"/>
        <v>0.14597207026671821</v>
      </c>
      <c r="L108" s="63">
        <f t="shared" si="68"/>
        <v>0.151362407715119</v>
      </c>
      <c r="M108" s="63">
        <f t="shared" si="68"/>
        <v>0.13684109987753978</v>
      </c>
      <c r="N108" s="63">
        <f t="shared" si="68"/>
        <v>0.1239033475165634</v>
      </c>
      <c r="O108" s="63">
        <f t="shared" si="68"/>
        <v>0.11688679529515134</v>
      </c>
      <c r="P108" s="63">
        <f t="shared" si="68"/>
        <v>0.10935071543715114</v>
      </c>
      <c r="R108" s="109"/>
      <c r="S108" s="109"/>
      <c r="T108" s="109"/>
    </row>
    <row r="109" spans="1:20" x14ac:dyDescent="0.2">
      <c r="A109" s="68" t="s">
        <v>22</v>
      </c>
      <c r="B109" s="43">
        <v>0.7228178618278579</v>
      </c>
      <c r="C109" s="43">
        <v>1.0364841023987912</v>
      </c>
      <c r="D109" s="43">
        <v>1.2700169624703594</v>
      </c>
      <c r="E109" s="43">
        <v>1.5030874365535529</v>
      </c>
      <c r="F109" s="43">
        <v>1.621260253039043</v>
      </c>
      <c r="G109" s="43">
        <v>2.2433573221282219</v>
      </c>
      <c r="H109" s="43">
        <v>3.1485329749095601</v>
      </c>
      <c r="I109" s="43">
        <v>3.8969849278819368</v>
      </c>
      <c r="J109" s="43">
        <v>4.7274410988266231</v>
      </c>
      <c r="K109" s="43">
        <v>5.7676813385577725</v>
      </c>
      <c r="L109" s="43">
        <v>6.942118785396314</v>
      </c>
      <c r="M109" s="43">
        <v>8.2513113785116232</v>
      </c>
      <c r="N109" s="43">
        <v>9.6973931986178386</v>
      </c>
      <c r="O109" s="43">
        <v>11.328150622362918</v>
      </c>
      <c r="P109" s="43">
        <v>13.147251747043954</v>
      </c>
      <c r="R109" s="57">
        <f>(J109/D109)^(1/6)-1</f>
        <v>0.24490468355446526</v>
      </c>
      <c r="S109" s="57">
        <f>(P109/J109)^(1/6)-1</f>
        <v>0.18586379147235021</v>
      </c>
      <c r="T109" s="109"/>
    </row>
    <row r="110" spans="1:20" x14ac:dyDescent="0.2">
      <c r="A110" s="62" t="s">
        <v>4</v>
      </c>
      <c r="B110" s="63"/>
      <c r="C110" s="63">
        <f t="shared" ref="C110:P110" si="69">C109/B109-1</f>
        <v>0.43394921063203373</v>
      </c>
      <c r="D110" s="63">
        <f t="shared" si="69"/>
        <v>0.22531253449145106</v>
      </c>
      <c r="E110" s="63">
        <f t="shared" si="69"/>
        <v>0.18351760722143351</v>
      </c>
      <c r="F110" s="63">
        <f t="shared" si="69"/>
        <v>7.862005470317146E-2</v>
      </c>
      <c r="G110" s="63">
        <f t="shared" si="69"/>
        <v>0.38371203384716401</v>
      </c>
      <c r="H110" s="63">
        <f t="shared" si="69"/>
        <v>0.40349151865054589</v>
      </c>
      <c r="I110" s="63">
        <f t="shared" si="69"/>
        <v>0.23771450352806789</v>
      </c>
      <c r="J110" s="63">
        <f t="shared" si="69"/>
        <v>0.21310222808484158</v>
      </c>
      <c r="K110" s="63">
        <f t="shared" si="69"/>
        <v>0.22004298265912658</v>
      </c>
      <c r="L110" s="63">
        <f t="shared" si="69"/>
        <v>0.20362384429723246</v>
      </c>
      <c r="M110" s="63">
        <f t="shared" si="69"/>
        <v>0.18858689019689101</v>
      </c>
      <c r="N110" s="63">
        <f t="shared" si="69"/>
        <v>0.17525478724171717</v>
      </c>
      <c r="O110" s="63">
        <f t="shared" si="69"/>
        <v>0.16816451497269491</v>
      </c>
      <c r="P110" s="63">
        <f t="shared" si="69"/>
        <v>0.16058235676085975</v>
      </c>
      <c r="R110" s="109"/>
      <c r="S110" s="109"/>
      <c r="T110" s="109"/>
    </row>
    <row r="111" spans="1:20" x14ac:dyDescent="0.2">
      <c r="A111" s="77" t="s">
        <v>23</v>
      </c>
      <c r="B111" s="56">
        <f t="shared" ref="B111:P111" si="70">B109+B107+B105+B103</f>
        <v>7.5313443879999999</v>
      </c>
      <c r="C111" s="56">
        <f t="shared" si="70"/>
        <v>10.35441311000001</v>
      </c>
      <c r="D111" s="56">
        <f t="shared" si="70"/>
        <v>12.423086480000009</v>
      </c>
      <c r="E111" s="56">
        <f t="shared" si="70"/>
        <v>14.461262930000006</v>
      </c>
      <c r="F111" s="56">
        <f t="shared" si="70"/>
        <v>15.532900749999996</v>
      </c>
      <c r="G111" s="56">
        <f t="shared" si="70"/>
        <v>20.71173441000002</v>
      </c>
      <c r="H111" s="56">
        <f t="shared" si="70"/>
        <v>27.684099840000073</v>
      </c>
      <c r="I111" s="56">
        <f t="shared" si="70"/>
        <v>33.808146750000056</v>
      </c>
      <c r="J111" s="56">
        <f t="shared" si="70"/>
        <v>40.785624360000021</v>
      </c>
      <c r="K111" s="56">
        <f t="shared" si="70"/>
        <v>48.318881460415426</v>
      </c>
      <c r="L111" s="56">
        <f t="shared" si="70"/>
        <v>56.94433169971893</v>
      </c>
      <c r="M111" s="56">
        <f t="shared" si="70"/>
        <v>66.299977524840358</v>
      </c>
      <c r="N111" s="56">
        <f t="shared" si="70"/>
        <v>76.358748581321592</v>
      </c>
      <c r="O111" s="56">
        <f t="shared" si="70"/>
        <v>87.448115397214551</v>
      </c>
      <c r="P111" s="56">
        <f t="shared" si="70"/>
        <v>99.53630945399749</v>
      </c>
      <c r="R111" s="57">
        <f>(J111/D111)^(1/6)-1</f>
        <v>0.21911947145451571</v>
      </c>
      <c r="S111" s="57">
        <f>(P111/J111)^(1/6)-1</f>
        <v>0.1603234513117906</v>
      </c>
      <c r="T111" s="109"/>
    </row>
    <row r="112" spans="1:20" x14ac:dyDescent="0.2">
      <c r="A112" s="74" t="s">
        <v>4</v>
      </c>
      <c r="B112" s="66"/>
      <c r="C112" s="59">
        <f t="shared" ref="C112:P112" si="71">C111/B111-1</f>
        <v>0.37484260134194924</v>
      </c>
      <c r="D112" s="59">
        <f t="shared" si="71"/>
        <v>0.19978663667592422</v>
      </c>
      <c r="E112" s="59">
        <f t="shared" si="71"/>
        <v>0.16406361279713111</v>
      </c>
      <c r="F112" s="59">
        <f t="shared" si="71"/>
        <v>7.4104027095508229E-2</v>
      </c>
      <c r="G112" s="59">
        <f t="shared" si="71"/>
        <v>0.33341059363944137</v>
      </c>
      <c r="H112" s="59">
        <f t="shared" si="71"/>
        <v>0.33663841433934483</v>
      </c>
      <c r="I112" s="59">
        <f t="shared" si="71"/>
        <v>0.22121170438604976</v>
      </c>
      <c r="J112" s="59">
        <f t="shared" si="71"/>
        <v>0.20638450435027034</v>
      </c>
      <c r="K112" s="59">
        <f t="shared" si="71"/>
        <v>0.18470373369602133</v>
      </c>
      <c r="L112" s="59">
        <f t="shared" si="71"/>
        <v>0.17851096669880051</v>
      </c>
      <c r="M112" s="59">
        <f t="shared" si="71"/>
        <v>0.16429459343655095</v>
      </c>
      <c r="N112" s="59">
        <f t="shared" si="71"/>
        <v>0.15171605529900156</v>
      </c>
      <c r="O112" s="59">
        <f t="shared" si="71"/>
        <v>0.14522719428911079</v>
      </c>
      <c r="P112" s="59">
        <f t="shared" si="71"/>
        <v>0.13823275666805257</v>
      </c>
      <c r="R112" s="109"/>
      <c r="S112" s="109"/>
      <c r="T112" s="109"/>
    </row>
    <row r="113" spans="1:20" ht="17.100000000000001" customHeight="1" x14ac:dyDescent="0.2">
      <c r="R113" s="109"/>
      <c r="S113" s="109"/>
      <c r="T113" s="109"/>
    </row>
    <row r="114" spans="1:20" x14ac:dyDescent="0.2">
      <c r="A114" s="67" t="s">
        <v>33</v>
      </c>
      <c r="R114" s="109"/>
      <c r="S114" s="109"/>
      <c r="T114" s="109"/>
    </row>
    <row r="115" spans="1:20" x14ac:dyDescent="0.2">
      <c r="A115" s="68" t="s">
        <v>82</v>
      </c>
      <c r="B115" s="112">
        <f t="shared" ref="B115:P115" si="72">(B103*1000000)/(B34*1000)</f>
        <v>2.1734406438205244E-2</v>
      </c>
      <c r="C115" s="112">
        <f t="shared" si="72"/>
        <v>2.7417366507603135E-2</v>
      </c>
      <c r="D115" s="112">
        <f t="shared" si="72"/>
        <v>2.8432637953511666E-2</v>
      </c>
      <c r="E115" s="112">
        <f t="shared" si="72"/>
        <v>3.5402791490252397E-2</v>
      </c>
      <c r="F115" s="112">
        <f t="shared" si="72"/>
        <v>4.4374901303501774E-2</v>
      </c>
      <c r="G115" s="112">
        <f t="shared" si="72"/>
        <v>5.4569697754499387E-2</v>
      </c>
      <c r="H115" s="112">
        <f t="shared" si="72"/>
        <v>6.9820038816185953E-2</v>
      </c>
      <c r="I115" s="112">
        <f t="shared" si="72"/>
        <v>7.8375579279998733E-2</v>
      </c>
      <c r="J115" s="112">
        <f t="shared" si="72"/>
        <v>8.8551965584480294E-2</v>
      </c>
      <c r="K115" s="112">
        <f t="shared" si="72"/>
        <v>9.557853386173891E-2</v>
      </c>
      <c r="L115" s="112">
        <f t="shared" si="72"/>
        <v>0.10586045060989369</v>
      </c>
      <c r="M115" s="112">
        <f t="shared" si="72"/>
        <v>0.11564825549258216</v>
      </c>
      <c r="N115" s="112">
        <f t="shared" si="72"/>
        <v>0.1250620642213518</v>
      </c>
      <c r="O115" s="112">
        <f t="shared" si="72"/>
        <v>0.1349925495942336</v>
      </c>
      <c r="P115" s="112">
        <f t="shared" si="72"/>
        <v>0.14501981704861716</v>
      </c>
      <c r="R115" s="57">
        <f>(J115/D115)^(1/6)-1</f>
        <v>0.20845414341847057</v>
      </c>
      <c r="S115" s="57">
        <f>(P115/J115)^(1/6)-1</f>
        <v>8.5687550605212381E-2</v>
      </c>
      <c r="T115" s="109"/>
    </row>
    <row r="116" spans="1:20" x14ac:dyDescent="0.2">
      <c r="A116" s="62" t="s">
        <v>4</v>
      </c>
      <c r="B116" s="75"/>
      <c r="C116" s="13">
        <f>C115/B115-1</f>
        <v>0.26147298227607685</v>
      </c>
      <c r="D116" s="13">
        <f t="shared" ref="D116:P116" si="73">D115/C115-1</f>
        <v>3.7030232120469408E-2</v>
      </c>
      <c r="E116" s="13">
        <f t="shared" si="73"/>
        <v>0.24514621359218136</v>
      </c>
      <c r="F116" s="13">
        <f t="shared" si="73"/>
        <v>0.25342944540742507</v>
      </c>
      <c r="G116" s="13">
        <f t="shared" si="73"/>
        <v>0.22974240283421454</v>
      </c>
      <c r="H116" s="13">
        <f t="shared" si="73"/>
        <v>0.27946537527650395</v>
      </c>
      <c r="I116" s="13">
        <f t="shared" si="73"/>
        <v>0.12253703390708237</v>
      </c>
      <c r="J116" s="13">
        <f t="shared" si="73"/>
        <v>0.12984128982480847</v>
      </c>
      <c r="K116" s="13">
        <f t="shared" si="73"/>
        <v>7.934965904912783E-2</v>
      </c>
      <c r="L116" s="13">
        <f t="shared" si="73"/>
        <v>0.10757558557058733</v>
      </c>
      <c r="M116" s="13">
        <f t="shared" si="73"/>
        <v>9.2459505191013314E-2</v>
      </c>
      <c r="N116" s="13">
        <f t="shared" si="73"/>
        <v>8.1400352203094384E-2</v>
      </c>
      <c r="O116" s="13">
        <f t="shared" si="73"/>
        <v>7.9404457576403686E-2</v>
      </c>
      <c r="P116" s="13">
        <f t="shared" si="73"/>
        <v>7.4280154605005588E-2</v>
      </c>
      <c r="R116" s="109"/>
      <c r="S116" s="109"/>
      <c r="T116" s="109"/>
    </row>
    <row r="117" spans="1:20" x14ac:dyDescent="0.2">
      <c r="A117" s="68" t="s">
        <v>10</v>
      </c>
      <c r="B117" s="112">
        <f>(B105*1000000)/(B36*1000)</f>
        <v>413.28739438490339</v>
      </c>
      <c r="C117" s="112">
        <f t="shared" ref="C117:P117" si="74">(C105*1000000)/(C36*1000)</f>
        <v>467.19782509641612</v>
      </c>
      <c r="D117" s="112">
        <f t="shared" si="74"/>
        <v>480.31832759302449</v>
      </c>
      <c r="E117" s="112">
        <f t="shared" si="74"/>
        <v>514.07925169392388</v>
      </c>
      <c r="F117" s="112">
        <f t="shared" si="74"/>
        <v>609.45891341513698</v>
      </c>
      <c r="G117" s="112">
        <f t="shared" si="74"/>
        <v>653.58627452998644</v>
      </c>
      <c r="H117" s="112">
        <f t="shared" si="74"/>
        <v>714.868859387062</v>
      </c>
      <c r="I117" s="112">
        <f t="shared" si="74"/>
        <v>756.524657792261</v>
      </c>
      <c r="J117" s="112">
        <f t="shared" si="74"/>
        <v>810.33283690428391</v>
      </c>
      <c r="K117" s="112">
        <f t="shared" si="74"/>
        <v>885.81021715693225</v>
      </c>
      <c r="L117" s="112">
        <f t="shared" si="74"/>
        <v>946.48969482586142</v>
      </c>
      <c r="M117" s="112">
        <f t="shared" si="74"/>
        <v>1007.040910289634</v>
      </c>
      <c r="N117" s="112">
        <f t="shared" si="74"/>
        <v>1068.3617545593622</v>
      </c>
      <c r="O117" s="112">
        <f t="shared" si="74"/>
        <v>1132.9366660545656</v>
      </c>
      <c r="P117" s="112">
        <f t="shared" si="74"/>
        <v>1202.8216811560267</v>
      </c>
      <c r="R117" s="57">
        <f>(J117/D117)^(1/6)-1</f>
        <v>9.1077784770405401E-2</v>
      </c>
      <c r="S117" s="57">
        <f>(P117/J117)^(1/6)-1</f>
        <v>6.8045205884706306E-2</v>
      </c>
      <c r="T117" s="109"/>
    </row>
    <row r="118" spans="1:20" x14ac:dyDescent="0.2">
      <c r="A118" s="62" t="s">
        <v>4</v>
      </c>
      <c r="B118" s="75"/>
      <c r="C118" s="13">
        <f>C117/B117-1</f>
        <v>0.13044295917069459</v>
      </c>
      <c r="D118" s="13">
        <f t="shared" ref="D118:P118" si="75">D117/C117-1</f>
        <v>2.8083398063551979E-2</v>
      </c>
      <c r="E118" s="13">
        <f t="shared" si="75"/>
        <v>7.028864434568316E-2</v>
      </c>
      <c r="F118" s="13">
        <f t="shared" si="75"/>
        <v>0.18553493728239578</v>
      </c>
      <c r="G118" s="13">
        <f t="shared" si="75"/>
        <v>7.2404160712949972E-2</v>
      </c>
      <c r="H118" s="13">
        <f t="shared" si="75"/>
        <v>9.3763573754888974E-2</v>
      </c>
      <c r="I118" s="13">
        <f t="shared" si="75"/>
        <v>5.8270545510844096E-2</v>
      </c>
      <c r="J118" s="13">
        <f t="shared" si="75"/>
        <v>7.112547959646065E-2</v>
      </c>
      <c r="K118" s="13">
        <f t="shared" si="75"/>
        <v>9.3143677283268778E-2</v>
      </c>
      <c r="L118" s="13">
        <f t="shared" si="75"/>
        <v>6.8501668296041984E-2</v>
      </c>
      <c r="M118" s="13">
        <f t="shared" si="75"/>
        <v>6.3974511074748719E-2</v>
      </c>
      <c r="N118" s="13">
        <f t="shared" si="75"/>
        <v>6.0892108397157196E-2</v>
      </c>
      <c r="O118" s="13">
        <f t="shared" si="75"/>
        <v>6.0442926957673393E-2</v>
      </c>
      <c r="P118" s="13">
        <f t="shared" si="75"/>
        <v>6.168483834567251E-2</v>
      </c>
      <c r="R118" s="109"/>
      <c r="S118" s="109"/>
      <c r="T118" s="109"/>
    </row>
    <row r="119" spans="1:20" x14ac:dyDescent="0.2">
      <c r="A119" s="68" t="s">
        <v>11</v>
      </c>
      <c r="B119" s="112">
        <f t="shared" ref="B119:P119" si="76">(B107*1000000)/(B38*1000)</f>
        <v>30411.82531018637</v>
      </c>
      <c r="C119" s="112">
        <f t="shared" si="76"/>
        <v>39504.522475572565</v>
      </c>
      <c r="D119" s="112">
        <f t="shared" si="76"/>
        <v>41844.21950467534</v>
      </c>
      <c r="E119" s="112">
        <f t="shared" si="76"/>
        <v>43258.680023201654</v>
      </c>
      <c r="F119" s="112">
        <f t="shared" si="76"/>
        <v>47579.771682452323</v>
      </c>
      <c r="G119" s="112">
        <f t="shared" si="76"/>
        <v>53914.596907175015</v>
      </c>
      <c r="H119" s="112">
        <f t="shared" si="76"/>
        <v>61679.162173710138</v>
      </c>
      <c r="I119" s="112">
        <f t="shared" si="76"/>
        <v>64891.468132471789</v>
      </c>
      <c r="J119" s="112">
        <f t="shared" si="76"/>
        <v>71637.766124374219</v>
      </c>
      <c r="K119" s="112">
        <f t="shared" si="76"/>
        <v>76982.352072220019</v>
      </c>
      <c r="L119" s="112">
        <f t="shared" si="76"/>
        <v>83362.468933876051</v>
      </c>
      <c r="M119" s="112">
        <f t="shared" si="76"/>
        <v>89723.464149813677</v>
      </c>
      <c r="N119" s="112">
        <f t="shared" si="76"/>
        <v>96420.329561762977</v>
      </c>
      <c r="O119" s="112">
        <f t="shared" si="76"/>
        <v>103260.3487930038</v>
      </c>
      <c r="P119" s="112">
        <f t="shared" si="76"/>
        <v>110858.01707122097</v>
      </c>
      <c r="R119" s="57">
        <f>(J119/D119)^(1/6)-1</f>
        <v>9.3749230611706702E-2</v>
      </c>
      <c r="S119" s="57">
        <f>(P119/J119)^(1/6)-1</f>
        <v>7.5484556638642841E-2</v>
      </c>
      <c r="T119" s="109"/>
    </row>
    <row r="120" spans="1:20" x14ac:dyDescent="0.2">
      <c r="A120" s="62" t="s">
        <v>4</v>
      </c>
      <c r="B120" s="75"/>
      <c r="C120" s="13">
        <f>C119/B119-1</f>
        <v>0.29898557790086411</v>
      </c>
      <c r="D120" s="13">
        <f t="shared" ref="D120:P120" si="77">D119/C119-1</f>
        <v>5.922605520797064E-2</v>
      </c>
      <c r="E120" s="13">
        <f t="shared" si="77"/>
        <v>3.3803008761300379E-2</v>
      </c>
      <c r="F120" s="13">
        <f t="shared" si="77"/>
        <v>9.988958648144286E-2</v>
      </c>
      <c r="G120" s="13">
        <f t="shared" si="77"/>
        <v>0.13314114382476139</v>
      </c>
      <c r="H120" s="13">
        <f t="shared" si="77"/>
        <v>0.14401601258196184</v>
      </c>
      <c r="I120" s="13">
        <f t="shared" si="77"/>
        <v>5.2080894836325387E-2</v>
      </c>
      <c r="J120" s="13">
        <f t="shared" si="77"/>
        <v>0.10396278873102838</v>
      </c>
      <c r="K120" s="13">
        <f t="shared" si="77"/>
        <v>7.4605703625190811E-2</v>
      </c>
      <c r="L120" s="13">
        <f t="shared" si="77"/>
        <v>8.2877655591382826E-2</v>
      </c>
      <c r="M120" s="13">
        <f t="shared" si="77"/>
        <v>7.6305264194888922E-2</v>
      </c>
      <c r="N120" s="13">
        <f t="shared" si="77"/>
        <v>7.4638952869311437E-2</v>
      </c>
      <c r="O120" s="13">
        <f t="shared" si="77"/>
        <v>7.0939596061631249E-2</v>
      </c>
      <c r="P120" s="13">
        <f t="shared" si="77"/>
        <v>7.3577790187862924E-2</v>
      </c>
      <c r="R120" s="109"/>
      <c r="S120" s="109"/>
      <c r="T120" s="109"/>
    </row>
    <row r="121" spans="1:20" x14ac:dyDescent="0.2">
      <c r="A121" s="77" t="s">
        <v>23</v>
      </c>
      <c r="B121" s="56">
        <f t="shared" ref="B121:P121" si="78">(B111*1000000)/(B40*1000)</f>
        <v>185.77164974894637</v>
      </c>
      <c r="C121" s="56">
        <f t="shared" si="78"/>
        <v>241.36778170960463</v>
      </c>
      <c r="D121" s="56">
        <f t="shared" si="78"/>
        <v>253.66272641833746</v>
      </c>
      <c r="E121" s="56">
        <f t="shared" si="78"/>
        <v>250.60154009043967</v>
      </c>
      <c r="F121" s="56">
        <f t="shared" si="78"/>
        <v>235.77244301217317</v>
      </c>
      <c r="G121" s="56">
        <f t="shared" si="78"/>
        <v>262.26806320062661</v>
      </c>
      <c r="H121" s="56">
        <f t="shared" si="78"/>
        <v>291.32004111829201</v>
      </c>
      <c r="I121" s="56">
        <f t="shared" si="78"/>
        <v>300.07413555607707</v>
      </c>
      <c r="J121" s="56">
        <f t="shared" si="78"/>
        <v>308.70422911704549</v>
      </c>
      <c r="K121" s="56">
        <f t="shared" si="78"/>
        <v>313.39220771928586</v>
      </c>
      <c r="L121" s="56">
        <f t="shared" si="78"/>
        <v>321.89367468663494</v>
      </c>
      <c r="M121" s="56">
        <f t="shared" si="78"/>
        <v>328.02064949727543</v>
      </c>
      <c r="N121" s="56">
        <f t="shared" si="78"/>
        <v>332.53317982332788</v>
      </c>
      <c r="O121" s="56">
        <f t="shared" si="78"/>
        <v>337.7967269423188</v>
      </c>
      <c r="P121" s="56">
        <f t="shared" si="78"/>
        <v>342.84742066081651</v>
      </c>
      <c r="R121" s="109"/>
      <c r="S121" s="109"/>
      <c r="T121" s="109"/>
    </row>
    <row r="122" spans="1:20" x14ac:dyDescent="0.2">
      <c r="A122" s="74" t="s">
        <v>4</v>
      </c>
      <c r="B122" s="66"/>
      <c r="C122" s="59">
        <f t="shared" ref="C122:P122" si="79">C121/B121-1</f>
        <v>0.29927134756994089</v>
      </c>
      <c r="D122" s="59">
        <f t="shared" si="79"/>
        <v>5.0938632412527829E-2</v>
      </c>
      <c r="E122" s="59">
        <f t="shared" si="79"/>
        <v>-1.2067939074538403E-2</v>
      </c>
      <c r="F122" s="59">
        <f t="shared" si="79"/>
        <v>-5.917400616498536E-2</v>
      </c>
      <c r="G122" s="59">
        <f t="shared" si="79"/>
        <v>0.11237793463032264</v>
      </c>
      <c r="H122" s="59">
        <f t="shared" si="79"/>
        <v>0.11077207633718467</v>
      </c>
      <c r="I122" s="59">
        <f t="shared" si="79"/>
        <v>3.0049750110499263E-2</v>
      </c>
      <c r="J122" s="59">
        <f t="shared" si="79"/>
        <v>2.8759871439688389E-2</v>
      </c>
      <c r="K122" s="59">
        <f t="shared" si="79"/>
        <v>1.5185987622031938E-2</v>
      </c>
      <c r="L122" s="59">
        <f t="shared" si="79"/>
        <v>2.7127244257981298E-2</v>
      </c>
      <c r="M122" s="59">
        <f t="shared" si="79"/>
        <v>1.9034157215437997E-2</v>
      </c>
      <c r="N122" s="59">
        <f t="shared" si="79"/>
        <v>1.3756848335519045E-2</v>
      </c>
      <c r="O122" s="59">
        <f t="shared" si="79"/>
        <v>1.5828637376238408E-2</v>
      </c>
      <c r="P122" s="59">
        <f t="shared" si="79"/>
        <v>1.4951872874008565E-2</v>
      </c>
      <c r="R122" s="109"/>
      <c r="S122" s="109"/>
      <c r="T122" s="109"/>
    </row>
    <row r="123" spans="1:20" x14ac:dyDescent="0.2">
      <c r="R123" s="109"/>
      <c r="S123" s="109"/>
      <c r="T123" s="109"/>
    </row>
    <row r="124" spans="1:20" x14ac:dyDescent="0.2">
      <c r="A124" s="67" t="s">
        <v>51</v>
      </c>
      <c r="R124" s="109"/>
      <c r="S124" s="109"/>
      <c r="T124" s="109"/>
    </row>
    <row r="125" spans="1:20" x14ac:dyDescent="0.2">
      <c r="A125" s="68" t="s">
        <v>52</v>
      </c>
      <c r="B125" s="46">
        <v>3.197043516962903</v>
      </c>
      <c r="C125" s="46">
        <v>4.4990036761316397</v>
      </c>
      <c r="D125" s="46">
        <v>5.5250369630159328</v>
      </c>
      <c r="E125" s="46">
        <v>6.5830434437710874</v>
      </c>
      <c r="F125" s="46">
        <v>7.2374884792733933</v>
      </c>
      <c r="G125" s="46">
        <v>9.8779450519831737</v>
      </c>
      <c r="H125" s="46">
        <v>13.514356269897128</v>
      </c>
      <c r="I125" s="46">
        <v>16.892780584604047</v>
      </c>
      <c r="J125" s="46">
        <v>20.85939512598015</v>
      </c>
      <c r="K125" s="46">
        <v>25.294510963532886</v>
      </c>
      <c r="L125" s="46">
        <v>30.512285188225853</v>
      </c>
      <c r="M125" s="46">
        <v>36.36239122278851</v>
      </c>
      <c r="N125" s="46">
        <v>42.865971961317513</v>
      </c>
      <c r="O125" s="46">
        <v>50.248042423969061</v>
      </c>
      <c r="P125" s="46">
        <v>58.54166177862912</v>
      </c>
      <c r="R125" s="57">
        <f>(J125/D125)^(1/6)-1</f>
        <v>0.24784627565163464</v>
      </c>
      <c r="S125" s="57">
        <f>(P125/J125)^(1/6)-1</f>
        <v>0.18766481150792558</v>
      </c>
      <c r="T125" s="109"/>
    </row>
    <row r="126" spans="1:20" x14ac:dyDescent="0.2">
      <c r="A126" s="62" t="s">
        <v>4</v>
      </c>
      <c r="B126" s="75"/>
      <c r="C126" s="63">
        <f t="shared" ref="C126:P126" si="80">C125/B125-1</f>
        <v>0.40723879805225804</v>
      </c>
      <c r="D126" s="63">
        <f t="shared" si="80"/>
        <v>0.22805789031195078</v>
      </c>
      <c r="E126" s="63">
        <f t="shared" si="80"/>
        <v>0.19149310454162549</v>
      </c>
      <c r="F126" s="63">
        <f t="shared" si="80"/>
        <v>9.9413750052271821E-2</v>
      </c>
      <c r="G126" s="63">
        <f t="shared" si="80"/>
        <v>0.36483050443140308</v>
      </c>
      <c r="H126" s="63">
        <f t="shared" si="80"/>
        <v>0.3681343841028839</v>
      </c>
      <c r="I126" s="63">
        <f t="shared" si="80"/>
        <v>0.24998780905549078</v>
      </c>
      <c r="J126" s="63">
        <f t="shared" si="80"/>
        <v>0.23481122728790105</v>
      </c>
      <c r="K126" s="63">
        <f t="shared" si="80"/>
        <v>0.21261958032660533</v>
      </c>
      <c r="L126" s="63">
        <f t="shared" si="80"/>
        <v>0.20628088964500768</v>
      </c>
      <c r="M126" s="63">
        <f t="shared" si="80"/>
        <v>0.19172952790897835</v>
      </c>
      <c r="N126" s="63">
        <f t="shared" si="80"/>
        <v>0.17885459453648833</v>
      </c>
      <c r="O126" s="63">
        <f t="shared" si="80"/>
        <v>0.17221283281091049</v>
      </c>
      <c r="P126" s="63">
        <f t="shared" si="80"/>
        <v>0.16505358128546477</v>
      </c>
      <c r="R126" s="109"/>
      <c r="S126" s="109"/>
      <c r="T126" s="109"/>
    </row>
    <row r="127" spans="1:20" x14ac:dyDescent="0.2">
      <c r="A127" s="68" t="s">
        <v>53</v>
      </c>
      <c r="B127" s="46">
        <v>4.3343008710370974</v>
      </c>
      <c r="C127" s="46">
        <v>5.855409433868374</v>
      </c>
      <c r="D127" s="46">
        <v>6.8980495169840799</v>
      </c>
      <c r="E127" s="46">
        <v>7.8782194862289199</v>
      </c>
      <c r="F127" s="46">
        <v>8.2954122707266063</v>
      </c>
      <c r="G127" s="46">
        <v>10.833789358016849</v>
      </c>
      <c r="H127" s="46">
        <v>14.169743570102934</v>
      </c>
      <c r="I127" s="46">
        <v>16.915366165396016</v>
      </c>
      <c r="J127" s="46">
        <v>19.926229234019864</v>
      </c>
      <c r="K127" s="46">
        <v>23.024370496882582</v>
      </c>
      <c r="L127" s="46">
        <v>26.432046511493098</v>
      </c>
      <c r="M127" s="46">
        <v>29.93758630205182</v>
      </c>
      <c r="N127" s="46">
        <v>33.492776620004037</v>
      </c>
      <c r="O127" s="46">
        <v>37.200072973245419</v>
      </c>
      <c r="P127" s="46">
        <v>40.99464767536854</v>
      </c>
      <c r="R127" s="57">
        <f>(J127/D127)^(1/6)-1</f>
        <v>0.19339203731251708</v>
      </c>
      <c r="S127" s="57">
        <f>(P127/J127)^(1/6)-1</f>
        <v>0.12776082908678177</v>
      </c>
      <c r="T127" s="109"/>
    </row>
    <row r="128" spans="1:20" x14ac:dyDescent="0.2">
      <c r="A128" s="62" t="s">
        <v>4</v>
      </c>
      <c r="B128" s="63"/>
      <c r="C128" s="63">
        <f t="shared" ref="C128:P128" si="81">C127/B127-1</f>
        <v>0.35094669430904335</v>
      </c>
      <c r="D128" s="63">
        <f t="shared" si="81"/>
        <v>0.17806441972869624</v>
      </c>
      <c r="E128" s="63">
        <f t="shared" si="81"/>
        <v>0.14209378561744268</v>
      </c>
      <c r="F128" s="63">
        <f t="shared" si="81"/>
        <v>5.2955212180485267E-2</v>
      </c>
      <c r="G128" s="63">
        <f t="shared" si="81"/>
        <v>0.30599770143406069</v>
      </c>
      <c r="H128" s="63">
        <f t="shared" si="81"/>
        <v>0.30792127314322637</v>
      </c>
      <c r="I128" s="63">
        <f t="shared" si="81"/>
        <v>0.19376656900736955</v>
      </c>
      <c r="J128" s="63">
        <f t="shared" si="81"/>
        <v>0.17799573708213368</v>
      </c>
      <c r="K128" s="63">
        <f t="shared" si="81"/>
        <v>0.15548055914027592</v>
      </c>
      <c r="L128" s="63">
        <f t="shared" si="81"/>
        <v>0.14800300468896221</v>
      </c>
      <c r="M128" s="63">
        <f t="shared" si="81"/>
        <v>0.13262460736948434</v>
      </c>
      <c r="N128" s="63">
        <f t="shared" si="81"/>
        <v>0.11875340523723366</v>
      </c>
      <c r="O128" s="63">
        <f t="shared" si="81"/>
        <v>0.11068943000166631</v>
      </c>
      <c r="P128" s="63">
        <f t="shared" si="81"/>
        <v>0.10200449619688134</v>
      </c>
      <c r="R128" s="109"/>
      <c r="S128" s="109"/>
      <c r="T128" s="109"/>
    </row>
    <row r="129" spans="1:20" x14ac:dyDescent="0.2">
      <c r="A129" s="77" t="s">
        <v>23</v>
      </c>
      <c r="B129" s="56">
        <f t="shared" ref="B129:P129" si="82">B125+B127</f>
        <v>7.5313443880000008</v>
      </c>
      <c r="C129" s="56">
        <f t="shared" si="82"/>
        <v>10.354413110000014</v>
      </c>
      <c r="D129" s="56">
        <f t="shared" si="82"/>
        <v>12.423086480000013</v>
      </c>
      <c r="E129" s="56">
        <f t="shared" si="82"/>
        <v>14.461262930000007</v>
      </c>
      <c r="F129" s="56">
        <f t="shared" si="82"/>
        <v>15.53290075</v>
      </c>
      <c r="G129" s="56">
        <f t="shared" si="82"/>
        <v>20.711734410000023</v>
      </c>
      <c r="H129" s="56">
        <f t="shared" si="82"/>
        <v>27.684099840000062</v>
      </c>
      <c r="I129" s="56">
        <f t="shared" si="82"/>
        <v>33.808146750000063</v>
      </c>
      <c r="J129" s="56">
        <f t="shared" si="82"/>
        <v>40.785624360000014</v>
      </c>
      <c r="K129" s="56">
        <f t="shared" si="82"/>
        <v>48.318881460415469</v>
      </c>
      <c r="L129" s="56">
        <f t="shared" si="82"/>
        <v>56.944331699718951</v>
      </c>
      <c r="M129" s="56">
        <f t="shared" si="82"/>
        <v>66.29997752484033</v>
      </c>
      <c r="N129" s="56">
        <f t="shared" si="82"/>
        <v>76.358748581321549</v>
      </c>
      <c r="O129" s="56">
        <f t="shared" si="82"/>
        <v>87.44811539721448</v>
      </c>
      <c r="P129" s="56">
        <f t="shared" si="82"/>
        <v>99.53630945399766</v>
      </c>
      <c r="R129" s="57">
        <f>(J129/D129)^(1/6)-1</f>
        <v>0.21911947145451571</v>
      </c>
      <c r="S129" s="57">
        <f>(P129/J129)^(1/6)-1</f>
        <v>0.16032345131179082</v>
      </c>
      <c r="T129" s="109"/>
    </row>
    <row r="130" spans="1:20" x14ac:dyDescent="0.2">
      <c r="A130" s="74" t="s">
        <v>4</v>
      </c>
      <c r="B130" s="66"/>
      <c r="C130" s="59">
        <f t="shared" ref="C130:P130" si="83">C129/B129-1</f>
        <v>0.37484260134194947</v>
      </c>
      <c r="D130" s="59">
        <f t="shared" si="83"/>
        <v>0.19978663667592422</v>
      </c>
      <c r="E130" s="59">
        <f t="shared" si="83"/>
        <v>0.16406361279713089</v>
      </c>
      <c r="F130" s="59">
        <f t="shared" si="83"/>
        <v>7.4104027095508451E-2</v>
      </c>
      <c r="G130" s="59">
        <f t="shared" si="83"/>
        <v>0.33341059363944137</v>
      </c>
      <c r="H130" s="59">
        <f t="shared" si="83"/>
        <v>0.33663841433934416</v>
      </c>
      <c r="I130" s="59">
        <f t="shared" si="83"/>
        <v>0.22121170438605042</v>
      </c>
      <c r="J130" s="59">
        <f t="shared" si="83"/>
        <v>0.20638450435026989</v>
      </c>
      <c r="K130" s="59">
        <f t="shared" si="83"/>
        <v>0.18470373369602267</v>
      </c>
      <c r="L130" s="59">
        <f t="shared" si="83"/>
        <v>0.17851096669879984</v>
      </c>
      <c r="M130" s="59">
        <f t="shared" si="83"/>
        <v>0.16429459343655006</v>
      </c>
      <c r="N130" s="59">
        <f t="shared" si="83"/>
        <v>0.15171605529900134</v>
      </c>
      <c r="O130" s="59">
        <f t="shared" si="83"/>
        <v>0.14522719428911057</v>
      </c>
      <c r="P130" s="59">
        <f t="shared" si="83"/>
        <v>0.13823275666805546</v>
      </c>
      <c r="R130" s="109"/>
      <c r="S130" s="109"/>
      <c r="T130" s="109"/>
    </row>
    <row r="131" spans="1:20" x14ac:dyDescent="0.2">
      <c r="R131" s="109"/>
      <c r="S131" s="109"/>
      <c r="T131" s="109"/>
    </row>
    <row r="132" spans="1:20" x14ac:dyDescent="0.2">
      <c r="A132" s="67" t="s">
        <v>34</v>
      </c>
      <c r="R132" s="109"/>
      <c r="S132" s="109"/>
      <c r="T132" s="109"/>
    </row>
    <row r="133" spans="1:20" x14ac:dyDescent="0.2">
      <c r="A133" s="79" t="s">
        <v>85</v>
      </c>
      <c r="B133" s="45">
        <v>21706.211262736349</v>
      </c>
      <c r="C133" s="45">
        <v>24046.804547877182</v>
      </c>
      <c r="D133" s="45">
        <v>26387.397833018014</v>
      </c>
      <c r="E133" s="45">
        <v>28592.613564884607</v>
      </c>
      <c r="F133" s="45">
        <v>30730.140520114077</v>
      </c>
      <c r="G133" s="45">
        <v>35913.662424013979</v>
      </c>
      <c r="H133" s="45">
        <v>36452.24826720704</v>
      </c>
      <c r="I133" s="45">
        <v>45997.632389402657</v>
      </c>
      <c r="J133" s="45">
        <v>46990</v>
      </c>
      <c r="K133" s="45">
        <v>61611.155647004554</v>
      </c>
      <c r="L133" s="45">
        <v>76000.218108537709</v>
      </c>
      <c r="M133" s="45">
        <v>91789.209572058913</v>
      </c>
      <c r="N133" s="45">
        <v>115875.36008502242</v>
      </c>
      <c r="O133" s="45">
        <v>124968.1588418419</v>
      </c>
      <c r="P133" s="45">
        <v>133715.15205253084</v>
      </c>
      <c r="R133" s="57">
        <f>(J133/D133)^(1/6)-1</f>
        <v>0.10095139656522911</v>
      </c>
      <c r="S133" s="57">
        <f>(P133/J133)^(1/6)-1</f>
        <v>0.19040807148134542</v>
      </c>
      <c r="T133" s="109"/>
    </row>
    <row r="134" spans="1:20" x14ac:dyDescent="0.2">
      <c r="A134" s="80" t="s">
        <v>36</v>
      </c>
      <c r="B134" s="75"/>
      <c r="C134" s="63">
        <f t="shared" ref="C134:P134" si="84">C133/B133-1</f>
        <v>0.10783057700903309</v>
      </c>
      <c r="D134" s="63">
        <f t="shared" si="84"/>
        <v>9.733489871723755E-2</v>
      </c>
      <c r="E134" s="63">
        <f t="shared" si="84"/>
        <v>8.3570791853801119E-2</v>
      </c>
      <c r="F134" s="63">
        <f t="shared" si="84"/>
        <v>7.4758012253018702E-2</v>
      </c>
      <c r="G134" s="63">
        <f t="shared" si="84"/>
        <v>0.16867875695222034</v>
      </c>
      <c r="H134" s="63">
        <f t="shared" si="84"/>
        <v>1.4996683903586883E-2</v>
      </c>
      <c r="I134" s="63">
        <f t="shared" si="84"/>
        <v>0.2618599558585466</v>
      </c>
      <c r="J134" s="63">
        <f t="shared" si="84"/>
        <v>2.1574319351836291E-2</v>
      </c>
      <c r="K134" s="63">
        <f t="shared" si="84"/>
        <v>0.31115462113225267</v>
      </c>
      <c r="L134" s="63">
        <f t="shared" si="84"/>
        <v>0.233546381502304</v>
      </c>
      <c r="M134" s="63">
        <f t="shared" si="84"/>
        <v>0.20774929146877663</v>
      </c>
      <c r="N134" s="63">
        <f t="shared" si="84"/>
        <v>0.26240721131882849</v>
      </c>
      <c r="O134" s="63">
        <f t="shared" si="84"/>
        <v>7.8470511333451176E-2</v>
      </c>
      <c r="P134" s="63">
        <f t="shared" si="84"/>
        <v>6.9993775148428305E-2</v>
      </c>
      <c r="R134" s="109"/>
      <c r="S134" s="109"/>
      <c r="T134" s="109"/>
    </row>
    <row r="135" spans="1:20" x14ac:dyDescent="0.2">
      <c r="A135" s="79" t="s">
        <v>86</v>
      </c>
      <c r="B135" s="45">
        <v>21706.211262736349</v>
      </c>
      <c r="C135" s="45">
        <v>24046.804547877182</v>
      </c>
      <c r="D135" s="45">
        <v>26387.397833018014</v>
      </c>
      <c r="E135" s="45">
        <v>28592.613564884607</v>
      </c>
      <c r="F135" s="45">
        <v>30730.140520114077</v>
      </c>
      <c r="G135" s="45">
        <v>35913.662424013979</v>
      </c>
      <c r="H135" s="45">
        <v>36452.24826720704</v>
      </c>
      <c r="I135" s="45">
        <v>45997.632389402657</v>
      </c>
      <c r="J135" s="45">
        <v>46990</v>
      </c>
      <c r="K135" s="45">
        <v>61611.155647004554</v>
      </c>
      <c r="L135" s="45">
        <v>76000.218108537709</v>
      </c>
      <c r="M135" s="45">
        <v>91789.209572058913</v>
      </c>
      <c r="N135" s="45">
        <v>157179.0501628416</v>
      </c>
      <c r="O135" s="45">
        <v>178941.76469705088</v>
      </c>
      <c r="P135" s="45">
        <v>199527.63638006424</v>
      </c>
      <c r="R135" s="109"/>
      <c r="S135" s="109"/>
      <c r="T135" s="109"/>
    </row>
    <row r="136" spans="1:20" x14ac:dyDescent="0.2">
      <c r="A136" s="80" t="s">
        <v>36</v>
      </c>
      <c r="B136" s="75"/>
      <c r="C136" s="63">
        <f t="shared" ref="C136:P136" si="85">C135/B135-1</f>
        <v>0.10783057700903309</v>
      </c>
      <c r="D136" s="63">
        <f t="shared" si="85"/>
        <v>9.733489871723755E-2</v>
      </c>
      <c r="E136" s="63">
        <f t="shared" si="85"/>
        <v>8.3570791853801119E-2</v>
      </c>
      <c r="F136" s="63">
        <f t="shared" si="85"/>
        <v>7.4758012253018702E-2</v>
      </c>
      <c r="G136" s="63">
        <f t="shared" si="85"/>
        <v>0.16867875695222034</v>
      </c>
      <c r="H136" s="63">
        <f t="shared" si="85"/>
        <v>1.4996683903586883E-2</v>
      </c>
      <c r="I136" s="63">
        <f t="shared" si="85"/>
        <v>0.2618599558585466</v>
      </c>
      <c r="J136" s="63">
        <f t="shared" si="85"/>
        <v>2.1574319351836291E-2</v>
      </c>
      <c r="K136" s="63">
        <f t="shared" si="85"/>
        <v>0.31115462113225267</v>
      </c>
      <c r="L136" s="63">
        <f t="shared" si="85"/>
        <v>0.233546381502304</v>
      </c>
      <c r="M136" s="63">
        <f t="shared" si="85"/>
        <v>0.20774929146877663</v>
      </c>
      <c r="N136" s="63">
        <f t="shared" si="85"/>
        <v>0.71239136817545567</v>
      </c>
      <c r="O136" s="63">
        <f t="shared" si="85"/>
        <v>0.13845811201723479</v>
      </c>
      <c r="P136" s="63">
        <f t="shared" si="85"/>
        <v>0.11504229724047565</v>
      </c>
      <c r="R136" s="109"/>
      <c r="S136" s="109"/>
      <c r="T136" s="109"/>
    </row>
    <row r="137" spans="1:20" x14ac:dyDescent="0.2">
      <c r="A137" s="79" t="s">
        <v>87</v>
      </c>
      <c r="B137" s="45">
        <v>11483.910257034722</v>
      </c>
      <c r="C137" s="45">
        <v>12394.589565287744</v>
      </c>
      <c r="D137" s="45">
        <v>13441.550083057573</v>
      </c>
      <c r="E137" s="45">
        <v>14352.229391310597</v>
      </c>
      <c r="F137" s="45">
        <v>15399.189909080425</v>
      </c>
      <c r="G137" s="45">
        <v>17808.96252201833</v>
      </c>
      <c r="H137" s="45">
        <v>17973</v>
      </c>
      <c r="I137" s="45">
        <v>22923</v>
      </c>
      <c r="J137" s="45">
        <v>23623</v>
      </c>
      <c r="K137" s="45">
        <v>31000.944169434475</v>
      </c>
      <c r="L137" s="45">
        <v>38254.160017050584</v>
      </c>
      <c r="M137" s="45">
        <v>46193.642964037732</v>
      </c>
      <c r="N137" s="45">
        <v>58317.241169139525</v>
      </c>
      <c r="O137" s="45">
        <v>62906.424847466864</v>
      </c>
      <c r="P137" s="45">
        <v>67236.983468058301</v>
      </c>
      <c r="R137" s="57">
        <f>(J137/D137)^(1/6)-1</f>
        <v>9.8535971822984347E-2</v>
      </c>
      <c r="S137" s="57">
        <f>(P137/J137)^(1/6)-1</f>
        <v>0.19045283927451173</v>
      </c>
      <c r="T137" s="109"/>
    </row>
    <row r="138" spans="1:20" x14ac:dyDescent="0.2">
      <c r="A138" s="80" t="s">
        <v>36</v>
      </c>
      <c r="B138" s="75"/>
      <c r="C138" s="63">
        <f t="shared" ref="C138:P138" si="86">C137/B137-1</f>
        <v>7.9300454973092904E-2</v>
      </c>
      <c r="D138" s="63">
        <f t="shared" si="86"/>
        <v>8.4469155856676581E-2</v>
      </c>
      <c r="E138" s="63">
        <f t="shared" si="86"/>
        <v>6.7751063130798483E-2</v>
      </c>
      <c r="F138" s="63">
        <f t="shared" si="86"/>
        <v>7.2947588087165061E-2</v>
      </c>
      <c r="G138" s="63">
        <f t="shared" si="86"/>
        <v>0.15648697283205371</v>
      </c>
      <c r="H138" s="63">
        <f t="shared" si="86"/>
        <v>9.2109508220290515E-3</v>
      </c>
      <c r="I138" s="63">
        <f t="shared" si="86"/>
        <v>0.27541311967951931</v>
      </c>
      <c r="J138" s="63">
        <f t="shared" si="86"/>
        <v>3.053701522488339E-2</v>
      </c>
      <c r="K138" s="63">
        <f t="shared" si="86"/>
        <v>0.31232037291768511</v>
      </c>
      <c r="L138" s="63">
        <f t="shared" si="86"/>
        <v>0.23396757879288876</v>
      </c>
      <c r="M138" s="63">
        <f t="shared" si="86"/>
        <v>0.20754560924742238</v>
      </c>
      <c r="N138" s="63">
        <f t="shared" si="86"/>
        <v>0.26245165843577545</v>
      </c>
      <c r="O138" s="63">
        <f t="shared" si="86"/>
        <v>7.8693429015566307E-2</v>
      </c>
      <c r="P138" s="63">
        <f t="shared" si="86"/>
        <v>6.8841277041129079E-2</v>
      </c>
      <c r="R138" s="109"/>
      <c r="S138" s="109"/>
      <c r="T138" s="109"/>
    </row>
    <row r="139" spans="1:20" x14ac:dyDescent="0.2">
      <c r="A139" s="79" t="s">
        <v>88</v>
      </c>
      <c r="B139" s="90">
        <v>11483.910257034722</v>
      </c>
      <c r="C139" s="90">
        <v>12394.589565287744</v>
      </c>
      <c r="D139" s="90">
        <v>13441.550083057573</v>
      </c>
      <c r="E139" s="90">
        <v>14352.229391310597</v>
      </c>
      <c r="F139" s="90">
        <v>15399.189909080425</v>
      </c>
      <c r="G139" s="90">
        <v>17808.96252201833</v>
      </c>
      <c r="H139" s="90">
        <v>17973</v>
      </c>
      <c r="I139" s="90">
        <v>22923</v>
      </c>
      <c r="J139" s="90">
        <v>23623</v>
      </c>
      <c r="K139" s="90">
        <v>31000.944169434475</v>
      </c>
      <c r="L139" s="90">
        <v>38254.160017050584</v>
      </c>
      <c r="M139" s="90">
        <v>46193.642964037732</v>
      </c>
      <c r="N139" s="90">
        <v>79104.380502956512</v>
      </c>
      <c r="O139" s="90">
        <v>90075.638285063658</v>
      </c>
      <c r="P139" s="90">
        <v>100329.96397773013</v>
      </c>
      <c r="R139" s="109"/>
      <c r="S139" s="109"/>
      <c r="T139" s="109"/>
    </row>
    <row r="140" spans="1:20" x14ac:dyDescent="0.2">
      <c r="A140" s="80" t="s">
        <v>36</v>
      </c>
      <c r="B140" s="75"/>
      <c r="C140" s="63">
        <f t="shared" ref="C140:P140" si="87">C139/B139-1</f>
        <v>7.9300454973092904E-2</v>
      </c>
      <c r="D140" s="63">
        <f t="shared" si="87"/>
        <v>8.4469155856676581E-2</v>
      </c>
      <c r="E140" s="63">
        <f t="shared" si="87"/>
        <v>6.7751063130798483E-2</v>
      </c>
      <c r="F140" s="63">
        <f t="shared" si="87"/>
        <v>7.2947588087165061E-2</v>
      </c>
      <c r="G140" s="63">
        <f t="shared" si="87"/>
        <v>0.15648697283205371</v>
      </c>
      <c r="H140" s="63">
        <f t="shared" si="87"/>
        <v>9.2109508220290515E-3</v>
      </c>
      <c r="I140" s="63">
        <f t="shared" si="87"/>
        <v>0.27541311967951931</v>
      </c>
      <c r="J140" s="63">
        <f t="shared" si="87"/>
        <v>3.053701522488339E-2</v>
      </c>
      <c r="K140" s="63">
        <f t="shared" si="87"/>
        <v>0.31232037291768511</v>
      </c>
      <c r="L140" s="63">
        <f t="shared" si="87"/>
        <v>0.23396757879288876</v>
      </c>
      <c r="M140" s="63">
        <f t="shared" si="87"/>
        <v>0.20754560924742238</v>
      </c>
      <c r="N140" s="63">
        <f t="shared" si="87"/>
        <v>0.71245165843577563</v>
      </c>
      <c r="O140" s="63">
        <f t="shared" si="87"/>
        <v>0.13869342901556636</v>
      </c>
      <c r="P140" s="63">
        <f t="shared" si="87"/>
        <v>0.11384127704112923</v>
      </c>
      <c r="R140" s="109"/>
      <c r="S140" s="109"/>
      <c r="T140" s="109"/>
    </row>
    <row r="141" spans="1:20" x14ac:dyDescent="0.2">
      <c r="A141" s="79" t="s">
        <v>38</v>
      </c>
      <c r="B141" s="43">
        <v>71.073633124929515</v>
      </c>
      <c r="C141" s="43">
        <v>94.288477726754905</v>
      </c>
      <c r="D141" s="43">
        <v>115.72760456479287</v>
      </c>
      <c r="E141" s="43">
        <v>143.46302210087381</v>
      </c>
      <c r="F141" s="43">
        <v>168.99434295067817</v>
      </c>
      <c r="G141" s="43">
        <v>217.17706961944663</v>
      </c>
      <c r="H141" s="43">
        <v>281.40886838359222</v>
      </c>
      <c r="I141" s="43">
        <v>355.55308545234095</v>
      </c>
      <c r="J141" s="43">
        <v>426.19914639834582</v>
      </c>
      <c r="K141" s="43">
        <v>517.47924160918387</v>
      </c>
      <c r="L141" s="43">
        <v>630.08867521522257</v>
      </c>
      <c r="M141" s="43">
        <v>754.22969824932534</v>
      </c>
      <c r="N141" s="43">
        <v>921.17281915971182</v>
      </c>
      <c r="O141" s="43">
        <v>1088.0968564126708</v>
      </c>
      <c r="P141" s="43">
        <v>1265.422640447513</v>
      </c>
      <c r="R141" s="57">
        <f>(J141/D141)^(1/6)-1</f>
        <v>0.24268942315593867</v>
      </c>
      <c r="S141" s="57">
        <f>(P141/J141)^(1/6)-1</f>
        <v>0.19886561469240238</v>
      </c>
      <c r="T141" s="109"/>
    </row>
    <row r="142" spans="1:20" x14ac:dyDescent="0.2">
      <c r="A142" s="80" t="s">
        <v>36</v>
      </c>
      <c r="B142" s="75"/>
      <c r="C142" s="63">
        <f t="shared" ref="C142:P142" si="88">C141/B141-1</f>
        <v>0.3266308978608079</v>
      </c>
      <c r="D142" s="63">
        <f t="shared" si="88"/>
        <v>0.22737801431228832</v>
      </c>
      <c r="E142" s="63">
        <f t="shared" si="88"/>
        <v>0.23966120823448489</v>
      </c>
      <c r="F142" s="63">
        <f t="shared" si="88"/>
        <v>0.17796447109452629</v>
      </c>
      <c r="G142" s="63">
        <f t="shared" si="88"/>
        <v>0.28511443535616343</v>
      </c>
      <c r="H142" s="63">
        <f t="shared" si="88"/>
        <v>0.29575773757651858</v>
      </c>
      <c r="I142" s="63">
        <f t="shared" si="88"/>
        <v>0.26347505497830204</v>
      </c>
      <c r="J142" s="63">
        <f t="shared" si="88"/>
        <v>0.19869342676671664</v>
      </c>
      <c r="K142" s="63">
        <f t="shared" si="88"/>
        <v>0.2141724026953431</v>
      </c>
      <c r="L142" s="63">
        <f t="shared" si="88"/>
        <v>0.21761149926683387</v>
      </c>
      <c r="M142" s="63">
        <f t="shared" si="88"/>
        <v>0.19702151128442247</v>
      </c>
      <c r="N142" s="63">
        <f t="shared" si="88"/>
        <v>0.2213425449805082</v>
      </c>
      <c r="O142" s="63">
        <f t="shared" si="88"/>
        <v>0.18120816613458701</v>
      </c>
      <c r="P142" s="63">
        <f t="shared" si="88"/>
        <v>0.1629687495095471</v>
      </c>
      <c r="R142" s="109"/>
      <c r="S142" s="109"/>
      <c r="T142" s="109"/>
    </row>
    <row r="143" spans="1:20" x14ac:dyDescent="0.2">
      <c r="A143" s="79" t="s">
        <v>60</v>
      </c>
      <c r="B143" s="46">
        <v>20.596836809729517</v>
      </c>
      <c r="C143" s="46">
        <v>25.882847424354814</v>
      </c>
      <c r="D143" s="46">
        <v>30.529569509992719</v>
      </c>
      <c r="E143" s="46">
        <v>35.571566773473599</v>
      </c>
      <c r="F143" s="46">
        <v>40.394591802277802</v>
      </c>
      <c r="G143" s="46">
        <v>44.985099102646231</v>
      </c>
      <c r="H143" s="46">
        <v>48.53726068039181</v>
      </c>
      <c r="I143" s="46">
        <v>63.994484366940505</v>
      </c>
      <c r="J143" s="46">
        <v>67.548765239344831</v>
      </c>
      <c r="K143" s="46">
        <v>89.113567980622278</v>
      </c>
      <c r="L143" s="46">
        <v>110.56179579799171</v>
      </c>
      <c r="M143" s="46">
        <v>134.07619037396407</v>
      </c>
      <c r="N143" s="46">
        <v>169.64591072687963</v>
      </c>
      <c r="O143" s="46">
        <v>183.3768767623358</v>
      </c>
      <c r="P143" s="46">
        <v>196.83243295960472</v>
      </c>
      <c r="R143" s="57">
        <f>(J143/D143)^(1/6)-1</f>
        <v>0.14151806571453873</v>
      </c>
      <c r="S143" s="57">
        <f>(P143/J143)^(1/6)-1</f>
        <v>0.19512466000574458</v>
      </c>
      <c r="T143" s="109"/>
    </row>
    <row r="144" spans="1:20" x14ac:dyDescent="0.2">
      <c r="A144" s="80" t="s">
        <v>36</v>
      </c>
      <c r="B144" s="75"/>
      <c r="C144" s="63">
        <f t="shared" ref="C144:P144" si="89">C143/B143-1</f>
        <v>0.2566418651299065</v>
      </c>
      <c r="D144" s="63">
        <f t="shared" si="89"/>
        <v>0.17952901431028434</v>
      </c>
      <c r="E144" s="63">
        <f t="shared" si="89"/>
        <v>0.16515127282848097</v>
      </c>
      <c r="F144" s="63">
        <f t="shared" si="89"/>
        <v>0.1355865222220356</v>
      </c>
      <c r="G144" s="63">
        <f t="shared" si="89"/>
        <v>0.11364163110838943</v>
      </c>
      <c r="H144" s="63">
        <f t="shared" si="89"/>
        <v>7.8963071074720004E-2</v>
      </c>
      <c r="I144" s="63">
        <f t="shared" si="89"/>
        <v>0.318460981725595</v>
      </c>
      <c r="J144" s="63">
        <f t="shared" si="89"/>
        <v>5.5540425203276733E-2</v>
      </c>
      <c r="K144" s="63">
        <f t="shared" si="89"/>
        <v>0.31924791911246797</v>
      </c>
      <c r="L144" s="63">
        <f t="shared" si="89"/>
        <v>0.24068419998662094</v>
      </c>
      <c r="M144" s="63">
        <f t="shared" si="89"/>
        <v>0.21268101161214581</v>
      </c>
      <c r="N144" s="63">
        <f t="shared" si="89"/>
        <v>0.26529483164538625</v>
      </c>
      <c r="O144" s="63">
        <f t="shared" si="89"/>
        <v>8.0938974459350499E-2</v>
      </c>
      <c r="P144" s="63">
        <f t="shared" si="89"/>
        <v>7.3376515266468934E-2</v>
      </c>
      <c r="R144" s="109"/>
      <c r="S144" s="109"/>
      <c r="T144" s="109"/>
    </row>
    <row r="145" spans="1:20" x14ac:dyDescent="0.2">
      <c r="A145" s="79" t="s">
        <v>89</v>
      </c>
      <c r="B145" s="46">
        <v>16.371266788409869</v>
      </c>
      <c r="C145" s="46">
        <v>17.637790300783617</v>
      </c>
      <c r="D145" s="46">
        <v>19.091994616340653</v>
      </c>
      <c r="E145" s="46">
        <v>20.370071919706756</v>
      </c>
      <c r="F145" s="46">
        <v>21.602145570151336</v>
      </c>
      <c r="G145" s="46">
        <v>26.026440898293565</v>
      </c>
      <c r="H145" s="46">
        <v>26.935182807647482</v>
      </c>
      <c r="I145" s="46">
        <v>33.826448752473169</v>
      </c>
      <c r="J145" s="46">
        <v>35.094314650037816</v>
      </c>
      <c r="K145" s="46">
        <v>45.814501490511148</v>
      </c>
      <c r="L145" s="46">
        <v>56.485404764833326</v>
      </c>
      <c r="M145" s="46">
        <v>89.375194344724648</v>
      </c>
      <c r="N145" s="46">
        <v>128.42359967584824</v>
      </c>
      <c r="O145" s="46">
        <v>135.19491086179389</v>
      </c>
      <c r="P145" s="46">
        <v>141.70252778004911</v>
      </c>
      <c r="R145" s="57">
        <f>(J145/D145)^(1/6)-1</f>
        <v>0.10678749522797304</v>
      </c>
      <c r="S145" s="57">
        <f>(P145/J145)^(1/6)-1</f>
        <v>0.26189573349452311</v>
      </c>
      <c r="T145" s="109"/>
    </row>
    <row r="146" spans="1:20" x14ac:dyDescent="0.2">
      <c r="A146" s="80" t="s">
        <v>36</v>
      </c>
      <c r="B146" s="75"/>
      <c r="C146" s="63">
        <f t="shared" ref="C146:P146" si="90">C145/B145-1</f>
        <v>7.7362584627256314E-2</v>
      </c>
      <c r="D146" s="63">
        <f t="shared" si="90"/>
        <v>8.2448214360073546E-2</v>
      </c>
      <c r="E146" s="63">
        <f t="shared" si="90"/>
        <v>6.6943099924835048E-2</v>
      </c>
      <c r="F146" s="63">
        <f t="shared" si="90"/>
        <v>6.0484501738681917E-2</v>
      </c>
      <c r="G146" s="63">
        <f t="shared" si="90"/>
        <v>0.20480814342143305</v>
      </c>
      <c r="H146" s="63">
        <f t="shared" si="90"/>
        <v>3.4916103700275869E-2</v>
      </c>
      <c r="I146" s="63">
        <f t="shared" si="90"/>
        <v>0.25584626598001425</v>
      </c>
      <c r="J146" s="63">
        <f t="shared" si="90"/>
        <v>3.7481495821282351E-2</v>
      </c>
      <c r="K146" s="63">
        <f t="shared" si="90"/>
        <v>0.30546790690673253</v>
      </c>
      <c r="L146" s="63">
        <f t="shared" si="90"/>
        <v>0.2329154072871944</v>
      </c>
      <c r="M146" s="63">
        <f t="shared" si="90"/>
        <v>0.58227058329177162</v>
      </c>
      <c r="N146" s="63">
        <f t="shared" si="90"/>
        <v>0.43690428443167262</v>
      </c>
      <c r="O146" s="63">
        <f t="shared" si="90"/>
        <v>5.2726377418457426E-2</v>
      </c>
      <c r="P146" s="63">
        <f t="shared" si="90"/>
        <v>4.8135073108689586E-2</v>
      </c>
      <c r="R146" s="109"/>
      <c r="S146" s="109"/>
      <c r="T146" s="109"/>
    </row>
    <row r="147" spans="1:20" x14ac:dyDescent="0.2">
      <c r="A147" s="79" t="s">
        <v>90</v>
      </c>
      <c r="B147" s="46">
        <v>16.371266788409869</v>
      </c>
      <c r="C147" s="46">
        <v>17.637790300783617</v>
      </c>
      <c r="D147" s="46">
        <v>19.091994616340653</v>
      </c>
      <c r="E147" s="46">
        <v>20.370071919706756</v>
      </c>
      <c r="F147" s="46">
        <v>21.602145570151336</v>
      </c>
      <c r="G147" s="46">
        <v>26.026440898293565</v>
      </c>
      <c r="H147" s="46">
        <v>26.935182807647482</v>
      </c>
      <c r="I147" s="46">
        <v>33.826448752473169</v>
      </c>
      <c r="J147" s="46">
        <v>35.094314650037816</v>
      </c>
      <c r="K147" s="46">
        <v>45.814501490511148</v>
      </c>
      <c r="L147" s="46">
        <v>56.485404764833326</v>
      </c>
      <c r="M147" s="46">
        <v>89.375194344724648</v>
      </c>
      <c r="N147" s="46">
        <v>330.41153889492591</v>
      </c>
      <c r="O147" s="46">
        <v>387.48232706550419</v>
      </c>
      <c r="P147" s="46">
        <v>444.88204991367786</v>
      </c>
      <c r="R147" s="109"/>
      <c r="S147" s="109"/>
      <c r="T147" s="109"/>
    </row>
    <row r="148" spans="1:20" x14ac:dyDescent="0.2">
      <c r="A148" s="80" t="s">
        <v>36</v>
      </c>
      <c r="B148" s="75"/>
      <c r="C148" s="63">
        <f t="shared" ref="C148:P148" si="91">C147/B147-1</f>
        <v>7.7362584627256314E-2</v>
      </c>
      <c r="D148" s="63">
        <f t="shared" si="91"/>
        <v>8.2448214360073546E-2</v>
      </c>
      <c r="E148" s="63">
        <f t="shared" si="91"/>
        <v>6.6943099924835048E-2</v>
      </c>
      <c r="F148" s="63">
        <f t="shared" si="91"/>
        <v>6.0484501738681917E-2</v>
      </c>
      <c r="G148" s="63">
        <f t="shared" si="91"/>
        <v>0.20480814342143305</v>
      </c>
      <c r="H148" s="63">
        <f t="shared" si="91"/>
        <v>3.4916103700275869E-2</v>
      </c>
      <c r="I148" s="63">
        <f t="shared" si="91"/>
        <v>0.25584626598001425</v>
      </c>
      <c r="J148" s="63">
        <f t="shared" si="91"/>
        <v>3.7481495821282351E-2</v>
      </c>
      <c r="K148" s="63">
        <f t="shared" si="91"/>
        <v>0.30546790690673253</v>
      </c>
      <c r="L148" s="63">
        <f t="shared" si="91"/>
        <v>0.2329154072871944</v>
      </c>
      <c r="M148" s="63">
        <f t="shared" si="91"/>
        <v>0.58227058329177162</v>
      </c>
      <c r="N148" s="63">
        <f t="shared" si="91"/>
        <v>2.6969042844316724</v>
      </c>
      <c r="O148" s="63">
        <f t="shared" si="91"/>
        <v>0.17272637741845731</v>
      </c>
      <c r="P148" s="63">
        <f t="shared" si="91"/>
        <v>0.14813507310868967</v>
      </c>
      <c r="R148" s="109"/>
      <c r="S148" s="109"/>
      <c r="T148" s="109"/>
    </row>
    <row r="149" spans="1:20" x14ac:dyDescent="0.2">
      <c r="R149" s="109"/>
      <c r="S149" s="109"/>
      <c r="T149" s="109"/>
    </row>
    <row r="150" spans="1:20" x14ac:dyDescent="0.2">
      <c r="A150" s="67" t="s">
        <v>176</v>
      </c>
      <c r="R150" s="109"/>
      <c r="S150" s="109"/>
      <c r="T150" s="109"/>
    </row>
    <row r="151" spans="1:20" x14ac:dyDescent="0.2">
      <c r="A151" s="76" t="s">
        <v>178</v>
      </c>
      <c r="B151" s="56">
        <f t="shared" ref="B151:P151" si="92">B153+B159+B165+B171+B177</f>
        <v>71.073633124929529</v>
      </c>
      <c r="C151" s="56">
        <f t="shared" si="92"/>
        <v>94.288477726754934</v>
      </c>
      <c r="D151" s="56">
        <f t="shared" si="92"/>
        <v>115.72760456479287</v>
      </c>
      <c r="E151" s="56">
        <f t="shared" si="92"/>
        <v>143.46302210087381</v>
      </c>
      <c r="F151" s="56">
        <f t="shared" si="92"/>
        <v>168.99434295067817</v>
      </c>
      <c r="G151" s="56">
        <f t="shared" si="92"/>
        <v>217.17706961944663</v>
      </c>
      <c r="H151" s="56">
        <f t="shared" si="92"/>
        <v>281.40886838359222</v>
      </c>
      <c r="I151" s="56">
        <f t="shared" si="92"/>
        <v>355.55308545234095</v>
      </c>
      <c r="J151" s="56">
        <f t="shared" si="92"/>
        <v>426.19914639834582</v>
      </c>
      <c r="K151" s="56">
        <f t="shared" si="92"/>
        <v>517.47924160918387</v>
      </c>
      <c r="L151" s="56">
        <f t="shared" si="92"/>
        <v>630.08867521522268</v>
      </c>
      <c r="M151" s="56">
        <f t="shared" si="92"/>
        <v>754.22969824932545</v>
      </c>
      <c r="N151" s="56">
        <f t="shared" si="92"/>
        <v>921.17281915971182</v>
      </c>
      <c r="O151" s="56">
        <f t="shared" si="92"/>
        <v>1088.0968564126708</v>
      </c>
      <c r="P151" s="56">
        <f t="shared" si="92"/>
        <v>1265.422640447513</v>
      </c>
      <c r="R151" s="57">
        <f>(J151/D151)^(1/6)-1</f>
        <v>0.24268942315593867</v>
      </c>
      <c r="S151" s="57">
        <f>(P151/J151)^(1/6)-1</f>
        <v>0.19886561469240238</v>
      </c>
      <c r="T151" s="109"/>
    </row>
    <row r="152" spans="1:20" x14ac:dyDescent="0.2">
      <c r="A152" s="58" t="s">
        <v>4</v>
      </c>
      <c r="B152" s="66"/>
      <c r="C152" s="59">
        <f t="shared" ref="C152:P152" si="93">C151/B151-1</f>
        <v>0.32663089786080812</v>
      </c>
      <c r="D152" s="59">
        <f t="shared" si="93"/>
        <v>0.2273780143122881</v>
      </c>
      <c r="E152" s="59">
        <f t="shared" si="93"/>
        <v>0.23966120823448489</v>
      </c>
      <c r="F152" s="59">
        <f t="shared" si="93"/>
        <v>0.17796447109452629</v>
      </c>
      <c r="G152" s="59">
        <f t="shared" si="93"/>
        <v>0.28511443535616343</v>
      </c>
      <c r="H152" s="59">
        <f t="shared" si="93"/>
        <v>0.29575773757651858</v>
      </c>
      <c r="I152" s="59">
        <f t="shared" si="93"/>
        <v>0.26347505497830204</v>
      </c>
      <c r="J152" s="59">
        <f t="shared" si="93"/>
        <v>0.19869342676671664</v>
      </c>
      <c r="K152" s="59">
        <f t="shared" si="93"/>
        <v>0.2141724026953431</v>
      </c>
      <c r="L152" s="59">
        <f t="shared" si="93"/>
        <v>0.2176114992668341</v>
      </c>
      <c r="M152" s="59">
        <f t="shared" si="93"/>
        <v>0.19702151128442247</v>
      </c>
      <c r="N152" s="59">
        <f t="shared" si="93"/>
        <v>0.2213425449805082</v>
      </c>
      <c r="O152" s="59">
        <f t="shared" si="93"/>
        <v>0.18120816613458701</v>
      </c>
      <c r="P152" s="59">
        <f t="shared" si="93"/>
        <v>0.1629687495095471</v>
      </c>
      <c r="R152" s="109"/>
      <c r="S152" s="109"/>
      <c r="T152" s="109"/>
    </row>
    <row r="153" spans="1:20" x14ac:dyDescent="0.2">
      <c r="A153" s="68" t="s">
        <v>26</v>
      </c>
      <c r="B153" s="46">
        <f t="shared" ref="B153:P153" si="94">B155+B157</f>
        <v>29.001697668000002</v>
      </c>
      <c r="C153" s="46">
        <f>C155+C157</f>
        <v>38.549885112000098</v>
      </c>
      <c r="D153" s="46">
        <f t="shared" si="94"/>
        <v>47.684521836000108</v>
      </c>
      <c r="E153" s="46">
        <f t="shared" si="94"/>
        <v>60.706521378000161</v>
      </c>
      <c r="F153" s="46">
        <f t="shared" si="94"/>
        <v>72.616271706000305</v>
      </c>
      <c r="G153" s="46">
        <f t="shared" si="94"/>
        <v>95.679096372000259</v>
      </c>
      <c r="H153" s="46">
        <f t="shared" si="94"/>
        <v>126.84793968000014</v>
      </c>
      <c r="I153" s="46">
        <f t="shared" si="94"/>
        <v>157.86268855200001</v>
      </c>
      <c r="J153" s="46">
        <f t="shared" si="94"/>
        <v>191.85151266000034</v>
      </c>
      <c r="K153" s="46">
        <f t="shared" si="94"/>
        <v>227.83119760432609</v>
      </c>
      <c r="L153" s="46">
        <f t="shared" si="94"/>
        <v>273.91121757352983</v>
      </c>
      <c r="M153" s="46">
        <f t="shared" si="94"/>
        <v>326.09528636795528</v>
      </c>
      <c r="N153" s="46">
        <f t="shared" si="94"/>
        <v>400.21800492165795</v>
      </c>
      <c r="O153" s="46">
        <f t="shared" si="94"/>
        <v>488.00478343028027</v>
      </c>
      <c r="P153" s="46">
        <f t="shared" si="94"/>
        <v>579.56637570695602</v>
      </c>
      <c r="R153" s="57">
        <f>(J153/D153)^(1/6)-1</f>
        <v>0.26114386811728751</v>
      </c>
      <c r="S153" s="57">
        <f>(P153/J153)^(1/6)-1</f>
        <v>0.2023280861731056</v>
      </c>
      <c r="T153" s="109"/>
    </row>
    <row r="154" spans="1:20" x14ac:dyDescent="0.2">
      <c r="A154" s="62" t="s">
        <v>4</v>
      </c>
      <c r="B154" s="75"/>
      <c r="C154" s="63">
        <f t="shared" ref="C154:P154" si="95">C153/B153-1</f>
        <v>0.32922856976525927</v>
      </c>
      <c r="D154" s="63">
        <f t="shared" si="95"/>
        <v>0.23695626322778618</v>
      </c>
      <c r="E154" s="63">
        <f t="shared" si="95"/>
        <v>0.27308650775163912</v>
      </c>
      <c r="F154" s="63">
        <f t="shared" si="95"/>
        <v>0.19618568248774992</v>
      </c>
      <c r="G154" s="63">
        <f t="shared" si="95"/>
        <v>0.31759857844773198</v>
      </c>
      <c r="H154" s="63">
        <f t="shared" si="95"/>
        <v>0.32576439880677222</v>
      </c>
      <c r="I154" s="63">
        <f t="shared" si="95"/>
        <v>0.24450337112483589</v>
      </c>
      <c r="J154" s="63">
        <f t="shared" si="95"/>
        <v>0.21530625393348979</v>
      </c>
      <c r="K154" s="63">
        <f t="shared" si="95"/>
        <v>0.18753922992564065</v>
      </c>
      <c r="L154" s="63">
        <f t="shared" si="95"/>
        <v>0.20225509260250996</v>
      </c>
      <c r="M154" s="63">
        <f t="shared" si="95"/>
        <v>0.1905145369974377</v>
      </c>
      <c r="N154" s="63">
        <f t="shared" si="95"/>
        <v>0.22730386378558376</v>
      </c>
      <c r="O154" s="63">
        <f t="shared" si="95"/>
        <v>0.21934739924008784</v>
      </c>
      <c r="P154" s="63">
        <f t="shared" si="95"/>
        <v>0.18762437456672365</v>
      </c>
      <c r="R154" s="109"/>
      <c r="S154" s="109"/>
      <c r="T154" s="109"/>
    </row>
    <row r="155" spans="1:20" x14ac:dyDescent="0.2">
      <c r="A155" s="82" t="s">
        <v>30</v>
      </c>
      <c r="B155" s="46">
        <f t="shared" ref="B155:P155" si="96">B79</f>
        <v>19.664559427837101</v>
      </c>
      <c r="C155" s="46">
        <f t="shared" si="96"/>
        <v>25.456684954059028</v>
      </c>
      <c r="D155" s="46">
        <f t="shared" si="96"/>
        <v>31.545922529599824</v>
      </c>
      <c r="E155" s="46">
        <f t="shared" si="96"/>
        <v>38.913522987088882</v>
      </c>
      <c r="F155" s="46">
        <f t="shared" si="96"/>
        <v>46.044029067304621</v>
      </c>
      <c r="G155" s="46">
        <f t="shared" si="96"/>
        <v>58.763167425694377</v>
      </c>
      <c r="H155" s="46">
        <f t="shared" si="96"/>
        <v>77.104228849239291</v>
      </c>
      <c r="I155" s="46">
        <f t="shared" si="96"/>
        <v>94.927727484517376</v>
      </c>
      <c r="J155" s="46">
        <f t="shared" si="96"/>
        <v>113.98046107938525</v>
      </c>
      <c r="K155" s="46">
        <f t="shared" si="96"/>
        <v>133.52360139996435</v>
      </c>
      <c r="L155" s="46">
        <f t="shared" si="96"/>
        <v>158.48980589970552</v>
      </c>
      <c r="M155" s="46">
        <f t="shared" si="96"/>
        <v>186.45111523475538</v>
      </c>
      <c r="N155" s="46">
        <f t="shared" si="96"/>
        <v>226.33043370831666</v>
      </c>
      <c r="O155" s="46">
        <f t="shared" si="96"/>
        <v>273.21660359802138</v>
      </c>
      <c r="P155" s="46">
        <f t="shared" si="96"/>
        <v>321.54864628510671</v>
      </c>
      <c r="R155" s="57">
        <f>(J155/D155)^(1/6)-1</f>
        <v>0.23874295100016085</v>
      </c>
      <c r="S155" s="57">
        <f>(P155/J155)^(1/6)-1</f>
        <v>0.18869210803173719</v>
      </c>
      <c r="T155" s="109"/>
    </row>
    <row r="156" spans="1:20" x14ac:dyDescent="0.2">
      <c r="A156" s="83" t="s">
        <v>4</v>
      </c>
      <c r="B156" s="75"/>
      <c r="C156" s="63">
        <f t="shared" ref="C156:P156" si="97">C155/B155-1</f>
        <v>0.29454641724759978</v>
      </c>
      <c r="D156" s="63">
        <f t="shared" si="97"/>
        <v>0.23919994243279796</v>
      </c>
      <c r="E156" s="63">
        <f t="shared" si="97"/>
        <v>0.23355159293807226</v>
      </c>
      <c r="F156" s="63">
        <f t="shared" si="97"/>
        <v>0.18323979770686827</v>
      </c>
      <c r="G156" s="63">
        <f t="shared" si="97"/>
        <v>0.27623860500560493</v>
      </c>
      <c r="H156" s="63">
        <f t="shared" si="97"/>
        <v>0.3121183255946347</v>
      </c>
      <c r="I156" s="63">
        <f t="shared" si="97"/>
        <v>0.23116110362932352</v>
      </c>
      <c r="J156" s="63">
        <f t="shared" si="97"/>
        <v>0.20070778159074076</v>
      </c>
      <c r="K156" s="63">
        <f t="shared" si="97"/>
        <v>0.17146044274174033</v>
      </c>
      <c r="L156" s="63">
        <f t="shared" si="97"/>
        <v>0.18697971173617423</v>
      </c>
      <c r="M156" s="63">
        <f t="shared" si="97"/>
        <v>0.17642339314078126</v>
      </c>
      <c r="N156" s="63">
        <f t="shared" si="97"/>
        <v>0.21388618900643386</v>
      </c>
      <c r="O156" s="63">
        <f t="shared" si="97"/>
        <v>0.20715804375707281</v>
      </c>
      <c r="P156" s="63">
        <f t="shared" si="97"/>
        <v>0.17690009337132162</v>
      </c>
      <c r="R156" s="109"/>
      <c r="S156" s="109"/>
      <c r="T156" s="109"/>
    </row>
    <row r="157" spans="1:20" x14ac:dyDescent="0.2">
      <c r="A157" s="82" t="s">
        <v>31</v>
      </c>
      <c r="B157" s="46">
        <f t="shared" ref="B157:P157" si="98">B81</f>
        <v>9.3371382401629006</v>
      </c>
      <c r="C157" s="46">
        <f t="shared" si="98"/>
        <v>13.09320015794107</v>
      </c>
      <c r="D157" s="46">
        <f t="shared" si="98"/>
        <v>16.138599306400284</v>
      </c>
      <c r="E157" s="46">
        <f t="shared" si="98"/>
        <v>21.792998390911279</v>
      </c>
      <c r="F157" s="46">
        <f t="shared" si="98"/>
        <v>26.572242638695684</v>
      </c>
      <c r="G157" s="46">
        <f t="shared" si="98"/>
        <v>36.915928946305883</v>
      </c>
      <c r="H157" s="46">
        <f t="shared" si="98"/>
        <v>49.743710830760847</v>
      </c>
      <c r="I157" s="46">
        <f t="shared" si="98"/>
        <v>62.934961067482632</v>
      </c>
      <c r="J157" s="46">
        <f t="shared" si="98"/>
        <v>77.871051580615088</v>
      </c>
      <c r="K157" s="46">
        <f t="shared" si="98"/>
        <v>94.307596204361744</v>
      </c>
      <c r="L157" s="46">
        <f t="shared" si="98"/>
        <v>115.42141167382431</v>
      </c>
      <c r="M157" s="46">
        <f t="shared" si="98"/>
        <v>139.6441711331999</v>
      </c>
      <c r="N157" s="46">
        <f t="shared" si="98"/>
        <v>173.88757121334129</v>
      </c>
      <c r="O157" s="46">
        <f t="shared" si="98"/>
        <v>214.78817983225889</v>
      </c>
      <c r="P157" s="46">
        <f t="shared" si="98"/>
        <v>258.01772942184931</v>
      </c>
      <c r="R157" s="57">
        <f>(J157/D157)^(1/6)-1</f>
        <v>0.29992521140003148</v>
      </c>
      <c r="S157" s="57">
        <f>(P157/J157)^(1/6)-1</f>
        <v>0.22099040637021283</v>
      </c>
      <c r="T157" s="109"/>
    </row>
    <row r="158" spans="1:20" x14ac:dyDescent="0.2">
      <c r="A158" s="83" t="s">
        <v>4</v>
      </c>
      <c r="B158" s="75"/>
      <c r="C158" s="63">
        <f t="shared" ref="C158:P158" si="99">C157/B157-1</f>
        <v>0.40227121213883188</v>
      </c>
      <c r="D158" s="63">
        <f t="shared" si="99"/>
        <v>0.23259395042641051</v>
      </c>
      <c r="E158" s="63">
        <f t="shared" si="99"/>
        <v>0.3503649218348559</v>
      </c>
      <c r="F158" s="63">
        <f t="shared" si="99"/>
        <v>0.21930182171616996</v>
      </c>
      <c r="G158" s="63">
        <f t="shared" si="99"/>
        <v>0.38926659101581662</v>
      </c>
      <c r="H158" s="63">
        <f t="shared" si="99"/>
        <v>0.34748636294952617</v>
      </c>
      <c r="I158" s="63">
        <f t="shared" si="99"/>
        <v>0.26518428192061005</v>
      </c>
      <c r="J158" s="63">
        <f t="shared" si="99"/>
        <v>0.23732580841858453</v>
      </c>
      <c r="K158" s="63">
        <f t="shared" si="99"/>
        <v>0.21107387520933774</v>
      </c>
      <c r="L158" s="63">
        <f t="shared" si="99"/>
        <v>0.22388244764196474</v>
      </c>
      <c r="M158" s="63">
        <f t="shared" si="99"/>
        <v>0.20986365621508796</v>
      </c>
      <c r="N158" s="63">
        <f t="shared" si="99"/>
        <v>0.24521897192170128</v>
      </c>
      <c r="O158" s="63">
        <f t="shared" si="99"/>
        <v>0.23521295014660337</v>
      </c>
      <c r="P158" s="63">
        <f t="shared" si="99"/>
        <v>0.20126596176452072</v>
      </c>
      <c r="R158" s="109"/>
      <c r="S158" s="109"/>
      <c r="T158" s="109"/>
    </row>
    <row r="159" spans="1:20" x14ac:dyDescent="0.2">
      <c r="A159" s="68" t="s">
        <v>55</v>
      </c>
      <c r="B159" s="46">
        <f t="shared" ref="B159:P159" si="100">B161+B163</f>
        <v>8.0378929494359994</v>
      </c>
      <c r="C159" s="46">
        <f t="shared" si="100"/>
        <v>11.352892662078762</v>
      </c>
      <c r="D159" s="46">
        <f t="shared" si="100"/>
        <v>14.749349060101785</v>
      </c>
      <c r="E159" s="46">
        <f t="shared" si="100"/>
        <v>19.746310257743325</v>
      </c>
      <c r="F159" s="46">
        <f t="shared" si="100"/>
        <v>25.562850589246484</v>
      </c>
      <c r="G159" s="46">
        <f t="shared" si="100"/>
        <v>36.937897902074482</v>
      </c>
      <c r="H159" s="46">
        <f t="shared" si="100"/>
        <v>53.234833746783963</v>
      </c>
      <c r="I159" s="46">
        <f t="shared" si="100"/>
        <v>69.662849363086721</v>
      </c>
      <c r="J159" s="46">
        <f t="shared" si="100"/>
        <v>90.200552284933195</v>
      </c>
      <c r="K159" s="46">
        <f t="shared" si="100"/>
        <v>112.12460680524643</v>
      </c>
      <c r="L159" s="46">
        <f t="shared" si="100"/>
        <v>143.01739818502386</v>
      </c>
      <c r="M159" s="46">
        <f t="shared" si="100"/>
        <v>177.68298697059137</v>
      </c>
      <c r="N159" s="46">
        <f t="shared" si="100"/>
        <v>220.72974687052826</v>
      </c>
      <c r="O159" s="46">
        <f t="shared" si="100"/>
        <v>272.01269860399958</v>
      </c>
      <c r="P159" s="46">
        <f t="shared" si="100"/>
        <v>331.10737336134491</v>
      </c>
      <c r="R159" s="57">
        <f>(J159/D159)^(1/6)-1</f>
        <v>0.35229899043317547</v>
      </c>
      <c r="S159" s="57">
        <f>(P159/J159)^(1/6)-1</f>
        <v>0.24201433743746081</v>
      </c>
      <c r="T159" s="109"/>
    </row>
    <row r="160" spans="1:20" x14ac:dyDescent="0.2">
      <c r="A160" s="62" t="s">
        <v>4</v>
      </c>
      <c r="B160" s="75"/>
      <c r="C160" s="63">
        <f t="shared" ref="C160:P160" si="101">C159/B159-1</f>
        <v>0.41242148079060548</v>
      </c>
      <c r="D160" s="63">
        <f t="shared" si="101"/>
        <v>0.29917101298490723</v>
      </c>
      <c r="E160" s="63">
        <f t="shared" si="101"/>
        <v>0.33879198175319702</v>
      </c>
      <c r="F160" s="63">
        <f t="shared" si="101"/>
        <v>0.29456340225497368</v>
      </c>
      <c r="G160" s="63">
        <f t="shared" si="101"/>
        <v>0.44498352298836097</v>
      </c>
      <c r="H160" s="63">
        <f t="shared" si="101"/>
        <v>0.44119824814920561</v>
      </c>
      <c r="I160" s="63">
        <f t="shared" si="101"/>
        <v>0.30859522722366362</v>
      </c>
      <c r="J160" s="63">
        <f t="shared" si="101"/>
        <v>0.29481571755417013</v>
      </c>
      <c r="K160" s="63">
        <f t="shared" si="101"/>
        <v>0.24305898317626329</v>
      </c>
      <c r="L160" s="63">
        <f t="shared" si="101"/>
        <v>0.27552195954128367</v>
      </c>
      <c r="M160" s="63">
        <f t="shared" si="101"/>
        <v>0.24238721460112211</v>
      </c>
      <c r="N160" s="63">
        <f t="shared" si="101"/>
        <v>0.24226720089448772</v>
      </c>
      <c r="O160" s="63">
        <f t="shared" si="101"/>
        <v>0.23233366802867739</v>
      </c>
      <c r="P160" s="63">
        <f t="shared" si="101"/>
        <v>0.21724969113804615</v>
      </c>
      <c r="R160" s="109"/>
      <c r="S160" s="109"/>
      <c r="T160" s="109"/>
    </row>
    <row r="161" spans="1:20" x14ac:dyDescent="0.2">
      <c r="A161" s="82" t="s">
        <v>28</v>
      </c>
      <c r="B161" s="46">
        <f t="shared" ref="B161:P161" si="102">B95</f>
        <v>1.14695282142</v>
      </c>
      <c r="C161" s="46">
        <f t="shared" si="102"/>
        <v>1.6474584249176747</v>
      </c>
      <c r="D161" s="46">
        <f t="shared" si="102"/>
        <v>2.1665827960398141</v>
      </c>
      <c r="E161" s="46">
        <f t="shared" si="102"/>
        <v>2.8918613645048961</v>
      </c>
      <c r="F161" s="46">
        <f t="shared" si="102"/>
        <v>3.6465446761773519</v>
      </c>
      <c r="G161" s="46">
        <f t="shared" si="102"/>
        <v>5.1623128756054424</v>
      </c>
      <c r="H161" s="46">
        <f t="shared" si="102"/>
        <v>7.4815734232075393</v>
      </c>
      <c r="I161" s="46">
        <f t="shared" si="102"/>
        <v>9.6770974133052032</v>
      </c>
      <c r="J161" s="46">
        <f t="shared" si="102"/>
        <v>12.461647713008473</v>
      </c>
      <c r="K161" s="46">
        <f t="shared" si="102"/>
        <v>15.635819825405964</v>
      </c>
      <c r="L161" s="46">
        <f t="shared" si="102"/>
        <v>20.086929211462135</v>
      </c>
      <c r="M161" s="46">
        <f t="shared" si="102"/>
        <v>25.461455814957496</v>
      </c>
      <c r="N161" s="46">
        <f t="shared" si="102"/>
        <v>31.799209712430422</v>
      </c>
      <c r="O161" s="46">
        <f t="shared" si="102"/>
        <v>39.383320794700687</v>
      </c>
      <c r="P161" s="46">
        <f t="shared" si="102"/>
        <v>48.184016346652498</v>
      </c>
      <c r="R161" s="57">
        <f>(J161/D161)^(1/6)-1</f>
        <v>0.33854619309951306</v>
      </c>
      <c r="S161" s="57">
        <f>(P161/J161)^(1/6)-1</f>
        <v>0.25281781758277866</v>
      </c>
      <c r="T161" s="109"/>
    </row>
    <row r="162" spans="1:20" x14ac:dyDescent="0.2">
      <c r="A162" s="83" t="s">
        <v>4</v>
      </c>
      <c r="B162" s="75"/>
      <c r="C162" s="63">
        <f t="shared" ref="C162:P162" si="103">C161/B161-1</f>
        <v>0.43637854508960294</v>
      </c>
      <c r="D162" s="63">
        <f t="shared" si="103"/>
        <v>0.31510620436329417</v>
      </c>
      <c r="E162" s="63">
        <f t="shared" si="103"/>
        <v>0.33475691295563759</v>
      </c>
      <c r="F162" s="63">
        <f t="shared" si="103"/>
        <v>0.26096801213762966</v>
      </c>
      <c r="G162" s="63">
        <f t="shared" si="103"/>
        <v>0.41567246092732923</v>
      </c>
      <c r="H162" s="63">
        <f t="shared" si="103"/>
        <v>0.4492677223346504</v>
      </c>
      <c r="I162" s="63">
        <f t="shared" si="103"/>
        <v>0.29345752101920652</v>
      </c>
      <c r="J162" s="63">
        <f t="shared" si="103"/>
        <v>0.28774643684734902</v>
      </c>
      <c r="K162" s="63">
        <f t="shared" si="103"/>
        <v>0.25471528207975536</v>
      </c>
      <c r="L162" s="63">
        <f t="shared" si="103"/>
        <v>0.28467387292502289</v>
      </c>
      <c r="M162" s="63">
        <f t="shared" si="103"/>
        <v>0.2675633765079688</v>
      </c>
      <c r="N162" s="63">
        <f t="shared" si="103"/>
        <v>0.24891561360563563</v>
      </c>
      <c r="O162" s="63">
        <f t="shared" si="103"/>
        <v>0.23849998634732139</v>
      </c>
      <c r="P162" s="63">
        <f t="shared" si="103"/>
        <v>0.22346250581124205</v>
      </c>
      <c r="R162" s="109"/>
      <c r="S162" s="109"/>
      <c r="T162" s="109"/>
    </row>
    <row r="163" spans="1:20" x14ac:dyDescent="0.2">
      <c r="A163" s="82" t="s">
        <v>27</v>
      </c>
      <c r="B163" s="46">
        <f t="shared" ref="B163:P163" si="104">B87</f>
        <v>6.8909401280159992</v>
      </c>
      <c r="C163" s="46">
        <f t="shared" si="104"/>
        <v>9.7054342371610876</v>
      </c>
      <c r="D163" s="46">
        <f t="shared" si="104"/>
        <v>12.582766264061972</v>
      </c>
      <c r="E163" s="46">
        <f t="shared" si="104"/>
        <v>16.85444889323843</v>
      </c>
      <c r="F163" s="46">
        <f t="shared" si="104"/>
        <v>21.916305913069131</v>
      </c>
      <c r="G163" s="46">
        <f t="shared" si="104"/>
        <v>31.775585026469038</v>
      </c>
      <c r="H163" s="46">
        <f t="shared" si="104"/>
        <v>45.753260323576427</v>
      </c>
      <c r="I163" s="46">
        <f t="shared" si="104"/>
        <v>59.985751949781523</v>
      </c>
      <c r="J163" s="46">
        <f t="shared" si="104"/>
        <v>77.738904571924721</v>
      </c>
      <c r="K163" s="46">
        <f t="shared" si="104"/>
        <v>96.488786979840469</v>
      </c>
      <c r="L163" s="46">
        <f t="shared" si="104"/>
        <v>122.93046897356173</v>
      </c>
      <c r="M163" s="46">
        <f t="shared" si="104"/>
        <v>152.22153115563387</v>
      </c>
      <c r="N163" s="46">
        <f t="shared" si="104"/>
        <v>188.93053715809785</v>
      </c>
      <c r="O163" s="46">
        <f t="shared" si="104"/>
        <v>232.62937780929892</v>
      </c>
      <c r="P163" s="46">
        <f t="shared" si="104"/>
        <v>282.92335701469239</v>
      </c>
      <c r="R163" s="57">
        <f>(J163/D163)^(1/6)-1</f>
        <v>0.35459784770251024</v>
      </c>
      <c r="S163" s="57">
        <f>(P163/J163)^(1/6)-1</f>
        <v>0.24023808747556474</v>
      </c>
      <c r="T163" s="109"/>
    </row>
    <row r="164" spans="1:20" x14ac:dyDescent="0.2">
      <c r="A164" s="83" t="s">
        <v>4</v>
      </c>
      <c r="B164" s="75"/>
      <c r="C164" s="63">
        <f t="shared" ref="C164:P164" si="105">C163/B163-1</f>
        <v>0.40843398097487493</v>
      </c>
      <c r="D164" s="63">
        <f t="shared" si="105"/>
        <v>0.29646607834236649</v>
      </c>
      <c r="E164" s="63">
        <f t="shared" si="105"/>
        <v>0.33948676622698959</v>
      </c>
      <c r="F164" s="63">
        <f t="shared" si="105"/>
        <v>0.30032764950632029</v>
      </c>
      <c r="G164" s="63">
        <f t="shared" si="105"/>
        <v>0.44986044420563687</v>
      </c>
      <c r="H164" s="63">
        <f t="shared" si="105"/>
        <v>0.43988726833712088</v>
      </c>
      <c r="I164" s="63">
        <f t="shared" si="105"/>
        <v>0.31107054503985077</v>
      </c>
      <c r="J164" s="63">
        <f t="shared" si="105"/>
        <v>0.29595615700551137</v>
      </c>
      <c r="K164" s="63">
        <f t="shared" si="105"/>
        <v>0.24119046327142657</v>
      </c>
      <c r="L164" s="63">
        <f t="shared" si="105"/>
        <v>0.27403890981908341</v>
      </c>
      <c r="M164" s="63">
        <f t="shared" si="105"/>
        <v>0.23827341119451573</v>
      </c>
      <c r="N164" s="63">
        <f t="shared" si="105"/>
        <v>0.2411551488398318</v>
      </c>
      <c r="O164" s="63">
        <f t="shared" si="105"/>
        <v>0.23129580484193357</v>
      </c>
      <c r="P164" s="63">
        <f t="shared" si="105"/>
        <v>0.2161978838572256</v>
      </c>
      <c r="R164" s="109"/>
      <c r="S164" s="109"/>
      <c r="T164" s="109"/>
    </row>
    <row r="165" spans="1:20" x14ac:dyDescent="0.2">
      <c r="A165" s="68" t="s">
        <v>56</v>
      </c>
      <c r="B165" s="46">
        <f t="shared" ref="B165:P165" si="106">B167+B169</f>
        <v>5.9058613097640009</v>
      </c>
      <c r="C165" s="46">
        <f t="shared" si="106"/>
        <v>8.1484394183212405</v>
      </c>
      <c r="D165" s="46">
        <f t="shared" si="106"/>
        <v>10.341077678698246</v>
      </c>
      <c r="E165" s="46">
        <f t="shared" si="106"/>
        <v>12.977360761656737</v>
      </c>
      <c r="F165" s="46">
        <f t="shared" si="106"/>
        <v>14.887728103153572</v>
      </c>
      <c r="G165" s="46">
        <f t="shared" si="106"/>
        <v>18.863241832725624</v>
      </c>
      <c r="H165" s="46">
        <f t="shared" si="106"/>
        <v>25.104734436416233</v>
      </c>
      <c r="I165" s="46">
        <f t="shared" si="106"/>
        <v>30.224916420313669</v>
      </c>
      <c r="J165" s="46">
        <f t="shared" si="106"/>
        <v>35.812691854067467</v>
      </c>
      <c r="K165" s="46">
        <f t="shared" si="106"/>
        <v>40.090987758573668</v>
      </c>
      <c r="L165" s="46">
        <f t="shared" si="106"/>
        <v>45.653931958958239</v>
      </c>
      <c r="M165" s="46">
        <f t="shared" si="106"/>
        <v>50.075257011974422</v>
      </c>
      <c r="N165" s="46">
        <f t="shared" si="106"/>
        <v>54.22040805932447</v>
      </c>
      <c r="O165" s="46">
        <f t="shared" si="106"/>
        <v>57.254382218840739</v>
      </c>
      <c r="P165" s="46">
        <f t="shared" si="106"/>
        <v>58.38014896560972</v>
      </c>
      <c r="R165" s="57">
        <f>(J165/D165)^(1/6)-1</f>
        <v>0.23001911587404922</v>
      </c>
      <c r="S165" s="57">
        <f>(P165/J165)^(1/6)-1</f>
        <v>8.4854193660649724E-2</v>
      </c>
      <c r="T165" s="109"/>
    </row>
    <row r="166" spans="1:20" x14ac:dyDescent="0.2">
      <c r="A166" s="62" t="s">
        <v>4</v>
      </c>
      <c r="B166" s="75"/>
      <c r="C166" s="63">
        <f t="shared" ref="C166:P166" si="107">C165/B165-1</f>
        <v>0.37972075382969894</v>
      </c>
      <c r="D166" s="63">
        <f t="shared" si="107"/>
        <v>0.26908689477975378</v>
      </c>
      <c r="E166" s="63">
        <f t="shared" si="107"/>
        <v>0.2549331089920166</v>
      </c>
      <c r="F166" s="63">
        <f t="shared" si="107"/>
        <v>0.14720769319608173</v>
      </c>
      <c r="G166" s="63">
        <f t="shared" si="107"/>
        <v>0.26703293491301361</v>
      </c>
      <c r="H166" s="63">
        <f t="shared" si="107"/>
        <v>0.33088122704668477</v>
      </c>
      <c r="I166" s="63">
        <f t="shared" si="107"/>
        <v>0.20395284390940382</v>
      </c>
      <c r="J166" s="63">
        <f t="shared" si="107"/>
        <v>0.18487314757298545</v>
      </c>
      <c r="K166" s="63">
        <f t="shared" si="107"/>
        <v>0.11946312000057846</v>
      </c>
      <c r="L166" s="63">
        <f t="shared" si="107"/>
        <v>0.13875797308573179</v>
      </c>
      <c r="M166" s="63">
        <f t="shared" si="107"/>
        <v>9.6844343155171098E-2</v>
      </c>
      <c r="N166" s="63">
        <f t="shared" si="107"/>
        <v>8.2778427804351074E-2</v>
      </c>
      <c r="O166" s="63">
        <f t="shared" si="107"/>
        <v>5.5956313648482414E-2</v>
      </c>
      <c r="P166" s="63">
        <f t="shared" si="107"/>
        <v>1.9662542903109426E-2</v>
      </c>
      <c r="R166" s="109"/>
      <c r="S166" s="109"/>
      <c r="T166" s="109"/>
    </row>
    <row r="167" spans="1:20" x14ac:dyDescent="0.2">
      <c r="A167" s="82" t="s">
        <v>28</v>
      </c>
      <c r="B167" s="46">
        <f t="shared" ref="B167:P167" si="108">B97</f>
        <v>0.49155120918000011</v>
      </c>
      <c r="C167" s="46">
        <f t="shared" si="108"/>
        <v>0.68413661728232356</v>
      </c>
      <c r="D167" s="46">
        <f t="shared" si="108"/>
        <v>0.87115755076018053</v>
      </c>
      <c r="E167" s="46">
        <f t="shared" si="108"/>
        <v>1.1250248328950931</v>
      </c>
      <c r="F167" s="46">
        <f t="shared" si="108"/>
        <v>1.3714511662226343</v>
      </c>
      <c r="G167" s="46">
        <f t="shared" si="108"/>
        <v>1.8753714151945338</v>
      </c>
      <c r="H167" s="46">
        <f t="shared" si="108"/>
        <v>2.6229328999924135</v>
      </c>
      <c r="I167" s="46">
        <f t="shared" si="108"/>
        <v>3.2709407280947453</v>
      </c>
      <c r="J167" s="46">
        <f t="shared" si="108"/>
        <v>4.0568682179914815</v>
      </c>
      <c r="K167" s="46">
        <f t="shared" si="108"/>
        <v>4.5060989072505393</v>
      </c>
      <c r="L167" s="46">
        <f t="shared" si="108"/>
        <v>5.0596176752462183</v>
      </c>
      <c r="M167" s="46">
        <f t="shared" si="108"/>
        <v>5.5150669053845762</v>
      </c>
      <c r="N167" s="46">
        <f t="shared" si="108"/>
        <v>5.7975472172536708</v>
      </c>
      <c r="O167" s="46">
        <f t="shared" si="108"/>
        <v>5.8679745834502404</v>
      </c>
      <c r="P167" s="46">
        <f t="shared" si="108"/>
        <v>5.6189605576790917</v>
      </c>
      <c r="R167" s="57">
        <f>(J167/D167)^(1/6)-1</f>
        <v>0.29225741410775274</v>
      </c>
      <c r="S167" s="57">
        <f>(P167/J167)^(1/6)-1</f>
        <v>5.5789926155861869E-2</v>
      </c>
      <c r="T167" s="109"/>
    </row>
    <row r="168" spans="1:20" x14ac:dyDescent="0.2">
      <c r="A168" s="83" t="s">
        <v>4</v>
      </c>
      <c r="B168" s="75"/>
      <c r="C168" s="63">
        <f t="shared" ref="C168:P168" si="109">C167/B167-1</f>
        <v>0.39179113896106998</v>
      </c>
      <c r="D168" s="63">
        <f t="shared" si="109"/>
        <v>0.27336781682696976</v>
      </c>
      <c r="E168" s="63">
        <f t="shared" si="109"/>
        <v>0.29141374245495033</v>
      </c>
      <c r="F168" s="63">
        <f t="shared" si="109"/>
        <v>0.2190407945870827</v>
      </c>
      <c r="G168" s="63">
        <f t="shared" si="109"/>
        <v>0.36743579456776354</v>
      </c>
      <c r="H168" s="63">
        <f t="shared" si="109"/>
        <v>0.39862049658058507</v>
      </c>
      <c r="I168" s="63">
        <f t="shared" si="109"/>
        <v>0.24705467231136802</v>
      </c>
      <c r="J168" s="63">
        <f t="shared" si="109"/>
        <v>0.24027567456244392</v>
      </c>
      <c r="K168" s="63">
        <f t="shared" si="109"/>
        <v>0.11073336995932004</v>
      </c>
      <c r="L168" s="63">
        <f t="shared" si="109"/>
        <v>0.12283768718548083</v>
      </c>
      <c r="M168" s="63">
        <f t="shared" si="109"/>
        <v>9.0016530768047387E-2</v>
      </c>
      <c r="N168" s="63">
        <f t="shared" si="109"/>
        <v>5.1219743425650499E-2</v>
      </c>
      <c r="O168" s="63">
        <f t="shared" si="109"/>
        <v>1.2147786565148699E-2</v>
      </c>
      <c r="P168" s="63">
        <f t="shared" si="109"/>
        <v>-4.2436111852538705E-2</v>
      </c>
      <c r="R168" s="109"/>
      <c r="S168" s="109"/>
      <c r="T168" s="109"/>
    </row>
    <row r="169" spans="1:20" x14ac:dyDescent="0.2">
      <c r="A169" s="82" t="s">
        <v>27</v>
      </c>
      <c r="B169" s="46">
        <f t="shared" ref="B169:P169" si="110">B89</f>
        <v>5.4143101005840011</v>
      </c>
      <c r="C169" s="46">
        <f t="shared" si="110"/>
        <v>7.464302801038917</v>
      </c>
      <c r="D169" s="46">
        <f t="shared" si="110"/>
        <v>9.4699201279380656</v>
      </c>
      <c r="E169" s="46">
        <f t="shared" si="110"/>
        <v>11.852335928761644</v>
      </c>
      <c r="F169" s="46">
        <f t="shared" si="110"/>
        <v>13.516276936930938</v>
      </c>
      <c r="G169" s="46">
        <f t="shared" si="110"/>
        <v>16.987870417531092</v>
      </c>
      <c r="H169" s="46">
        <f t="shared" si="110"/>
        <v>22.48180153642382</v>
      </c>
      <c r="I169" s="46">
        <f t="shared" si="110"/>
        <v>26.953975692218922</v>
      </c>
      <c r="J169" s="46">
        <f t="shared" si="110"/>
        <v>31.755823636075988</v>
      </c>
      <c r="K169" s="46">
        <f t="shared" si="110"/>
        <v>35.584888851323129</v>
      </c>
      <c r="L169" s="46">
        <f t="shared" si="110"/>
        <v>40.594314283712023</v>
      </c>
      <c r="M169" s="46">
        <f t="shared" si="110"/>
        <v>44.560190106589843</v>
      </c>
      <c r="N169" s="46">
        <f t="shared" si="110"/>
        <v>48.422860842070797</v>
      </c>
      <c r="O169" s="46">
        <f t="shared" si="110"/>
        <v>51.386407635390498</v>
      </c>
      <c r="P169" s="46">
        <f t="shared" si="110"/>
        <v>52.761188407930632</v>
      </c>
      <c r="R169" s="57">
        <f>(J169/D169)^(1/6)-1</f>
        <v>0.22343108499622755</v>
      </c>
      <c r="S169" s="57">
        <f>(P169/J169)^(1/6)-1</f>
        <v>8.8299754758632831E-2</v>
      </c>
      <c r="T169" s="109"/>
    </row>
    <row r="170" spans="1:20" x14ac:dyDescent="0.2">
      <c r="A170" s="83" t="s">
        <v>4</v>
      </c>
      <c r="B170" s="75"/>
      <c r="C170" s="63">
        <f t="shared" ref="C170:P170" si="111">C169/B169-1</f>
        <v>0.37862491478532023</v>
      </c>
      <c r="D170" s="63">
        <f t="shared" si="111"/>
        <v>0.26869452919568015</v>
      </c>
      <c r="E170" s="63">
        <f t="shared" si="111"/>
        <v>0.25157718002235296</v>
      </c>
      <c r="F170" s="63">
        <f t="shared" si="111"/>
        <v>0.14038928850569166</v>
      </c>
      <c r="G170" s="63">
        <f t="shared" si="111"/>
        <v>0.2568453943936746</v>
      </c>
      <c r="H170" s="63">
        <f t="shared" si="111"/>
        <v>0.32340316848797701</v>
      </c>
      <c r="I170" s="63">
        <f t="shared" si="111"/>
        <v>0.19892418979633475</v>
      </c>
      <c r="J170" s="63">
        <f t="shared" si="111"/>
        <v>0.17814989516530821</v>
      </c>
      <c r="K170" s="63">
        <f t="shared" si="111"/>
        <v>0.12057836254315113</v>
      </c>
      <c r="L170" s="63">
        <f t="shared" si="111"/>
        <v>0.14077395192433295</v>
      </c>
      <c r="M170" s="63">
        <f t="shared" si="111"/>
        <v>9.769535199339674E-2</v>
      </c>
      <c r="N170" s="63">
        <f t="shared" si="111"/>
        <v>8.6684341477028859E-2</v>
      </c>
      <c r="O170" s="63">
        <f t="shared" si="111"/>
        <v>6.1201398302037413E-2</v>
      </c>
      <c r="P170" s="63">
        <f t="shared" si="111"/>
        <v>2.6753782484559396E-2</v>
      </c>
      <c r="R170" s="109"/>
      <c r="S170" s="109"/>
      <c r="T170" s="109"/>
    </row>
    <row r="171" spans="1:20" x14ac:dyDescent="0.2">
      <c r="A171" s="68" t="s">
        <v>57</v>
      </c>
      <c r="B171" s="46">
        <f t="shared" ref="B171:P171" si="112">B173+B175</f>
        <v>7.5313443880000008</v>
      </c>
      <c r="C171" s="46">
        <f t="shared" si="112"/>
        <v>10.354413110000014</v>
      </c>
      <c r="D171" s="46">
        <f t="shared" si="112"/>
        <v>12.423086480000013</v>
      </c>
      <c r="E171" s="46">
        <f t="shared" si="112"/>
        <v>14.461262930000007</v>
      </c>
      <c r="F171" s="46">
        <f t="shared" si="112"/>
        <v>15.53290075</v>
      </c>
      <c r="G171" s="46">
        <f t="shared" si="112"/>
        <v>20.711734410000023</v>
      </c>
      <c r="H171" s="46">
        <f t="shared" si="112"/>
        <v>27.684099840000062</v>
      </c>
      <c r="I171" s="46">
        <f t="shared" si="112"/>
        <v>33.808146750000063</v>
      </c>
      <c r="J171" s="46">
        <f t="shared" si="112"/>
        <v>40.785624360000014</v>
      </c>
      <c r="K171" s="46">
        <f t="shared" si="112"/>
        <v>48.318881460415469</v>
      </c>
      <c r="L171" s="46">
        <f t="shared" si="112"/>
        <v>56.944331699718951</v>
      </c>
      <c r="M171" s="46">
        <f t="shared" si="112"/>
        <v>66.29997752484033</v>
      </c>
      <c r="N171" s="46">
        <f t="shared" si="112"/>
        <v>76.358748581321549</v>
      </c>
      <c r="O171" s="46">
        <f t="shared" si="112"/>
        <v>87.44811539721448</v>
      </c>
      <c r="P171" s="46">
        <f t="shared" si="112"/>
        <v>99.53630945399766</v>
      </c>
      <c r="R171" s="57">
        <f>(J171/D171)^(1/6)-1</f>
        <v>0.21911947145451571</v>
      </c>
      <c r="S171" s="57">
        <f>(P171/J171)^(1/6)-1</f>
        <v>0.16032345131179082</v>
      </c>
      <c r="T171" s="109"/>
    </row>
    <row r="172" spans="1:20" x14ac:dyDescent="0.2">
      <c r="A172" s="62" t="s">
        <v>4</v>
      </c>
      <c r="B172" s="75"/>
      <c r="C172" s="63">
        <f t="shared" ref="C172:P172" si="113">C171/B171-1</f>
        <v>0.37484260134194947</v>
      </c>
      <c r="D172" s="63">
        <f t="shared" si="113"/>
        <v>0.19978663667592422</v>
      </c>
      <c r="E172" s="63">
        <f t="shared" si="113"/>
        <v>0.16406361279713089</v>
      </c>
      <c r="F172" s="63">
        <f t="shared" si="113"/>
        <v>7.4104027095508451E-2</v>
      </c>
      <c r="G172" s="63">
        <f t="shared" si="113"/>
        <v>0.33341059363944137</v>
      </c>
      <c r="H172" s="63">
        <f t="shared" si="113"/>
        <v>0.33663841433934416</v>
      </c>
      <c r="I172" s="63">
        <f t="shared" si="113"/>
        <v>0.22121170438605042</v>
      </c>
      <c r="J172" s="63">
        <f t="shared" si="113"/>
        <v>0.20638450435026989</v>
      </c>
      <c r="K172" s="63">
        <f t="shared" si="113"/>
        <v>0.18470373369602267</v>
      </c>
      <c r="L172" s="63">
        <f t="shared" si="113"/>
        <v>0.17851096669879984</v>
      </c>
      <c r="M172" s="63">
        <f t="shared" si="113"/>
        <v>0.16429459343655006</v>
      </c>
      <c r="N172" s="63">
        <f t="shared" si="113"/>
        <v>0.15171605529900134</v>
      </c>
      <c r="O172" s="63">
        <f t="shared" si="113"/>
        <v>0.14522719428911057</v>
      </c>
      <c r="P172" s="63">
        <f t="shared" si="113"/>
        <v>0.13823275666805546</v>
      </c>
      <c r="R172" s="109"/>
      <c r="S172" s="109"/>
      <c r="T172" s="109"/>
    </row>
    <row r="173" spans="1:20" x14ac:dyDescent="0.2">
      <c r="A173" s="82" t="s">
        <v>58</v>
      </c>
      <c r="B173" s="46">
        <f t="shared" ref="B173:P173" si="114">B125</f>
        <v>3.197043516962903</v>
      </c>
      <c r="C173" s="46">
        <f t="shared" si="114"/>
        <v>4.4990036761316397</v>
      </c>
      <c r="D173" s="46">
        <f t="shared" si="114"/>
        <v>5.5250369630159328</v>
      </c>
      <c r="E173" s="46">
        <f t="shared" si="114"/>
        <v>6.5830434437710874</v>
      </c>
      <c r="F173" s="46">
        <f t="shared" si="114"/>
        <v>7.2374884792733933</v>
      </c>
      <c r="G173" s="46">
        <f t="shared" si="114"/>
        <v>9.8779450519831737</v>
      </c>
      <c r="H173" s="46">
        <f t="shared" si="114"/>
        <v>13.514356269897128</v>
      </c>
      <c r="I173" s="46">
        <f t="shared" si="114"/>
        <v>16.892780584604047</v>
      </c>
      <c r="J173" s="46">
        <f t="shared" si="114"/>
        <v>20.85939512598015</v>
      </c>
      <c r="K173" s="46">
        <f t="shared" si="114"/>
        <v>25.294510963532886</v>
      </c>
      <c r="L173" s="46">
        <f t="shared" si="114"/>
        <v>30.512285188225853</v>
      </c>
      <c r="M173" s="46">
        <f t="shared" si="114"/>
        <v>36.36239122278851</v>
      </c>
      <c r="N173" s="46">
        <f t="shared" si="114"/>
        <v>42.865971961317513</v>
      </c>
      <c r="O173" s="46">
        <f t="shared" si="114"/>
        <v>50.248042423969061</v>
      </c>
      <c r="P173" s="46">
        <f t="shared" si="114"/>
        <v>58.54166177862912</v>
      </c>
      <c r="R173" s="57">
        <f>(J173/D173)^(1/6)-1</f>
        <v>0.24784627565163464</v>
      </c>
      <c r="S173" s="57">
        <f>(P173/J173)^(1/6)-1</f>
        <v>0.18766481150792558</v>
      </c>
      <c r="T173" s="109"/>
    </row>
    <row r="174" spans="1:20" x14ac:dyDescent="0.2">
      <c r="A174" s="83" t="s">
        <v>4</v>
      </c>
      <c r="B174" s="75"/>
      <c r="C174" s="63">
        <f t="shared" ref="C174:P174" si="115">C173/B173-1</f>
        <v>0.40723879805225804</v>
      </c>
      <c r="D174" s="63">
        <f t="shared" si="115"/>
        <v>0.22805789031195078</v>
      </c>
      <c r="E174" s="63">
        <f t="shared" si="115"/>
        <v>0.19149310454162549</v>
      </c>
      <c r="F174" s="63">
        <f t="shared" si="115"/>
        <v>9.9413750052271821E-2</v>
      </c>
      <c r="G174" s="63">
        <f t="shared" si="115"/>
        <v>0.36483050443140308</v>
      </c>
      <c r="H174" s="63">
        <f t="shared" si="115"/>
        <v>0.3681343841028839</v>
      </c>
      <c r="I174" s="63">
        <f t="shared" si="115"/>
        <v>0.24998780905549078</v>
      </c>
      <c r="J174" s="63">
        <f t="shared" si="115"/>
        <v>0.23481122728790105</v>
      </c>
      <c r="K174" s="63">
        <f t="shared" si="115"/>
        <v>0.21261958032660533</v>
      </c>
      <c r="L174" s="63">
        <f t="shared" si="115"/>
        <v>0.20628088964500768</v>
      </c>
      <c r="M174" s="63">
        <f t="shared" si="115"/>
        <v>0.19172952790897835</v>
      </c>
      <c r="N174" s="63">
        <f t="shared" si="115"/>
        <v>0.17885459453648833</v>
      </c>
      <c r="O174" s="63">
        <f t="shared" si="115"/>
        <v>0.17221283281091049</v>
      </c>
      <c r="P174" s="63">
        <f t="shared" si="115"/>
        <v>0.16505358128546477</v>
      </c>
      <c r="R174" s="109"/>
      <c r="S174" s="109"/>
      <c r="T174" s="109"/>
    </row>
    <row r="175" spans="1:20" x14ac:dyDescent="0.2">
      <c r="A175" s="82" t="s">
        <v>53</v>
      </c>
      <c r="B175" s="46">
        <f t="shared" ref="B175:P175" si="116">B127</f>
        <v>4.3343008710370974</v>
      </c>
      <c r="C175" s="46">
        <f t="shared" si="116"/>
        <v>5.855409433868374</v>
      </c>
      <c r="D175" s="46">
        <f t="shared" si="116"/>
        <v>6.8980495169840799</v>
      </c>
      <c r="E175" s="46">
        <f t="shared" si="116"/>
        <v>7.8782194862289199</v>
      </c>
      <c r="F175" s="46">
        <f t="shared" si="116"/>
        <v>8.2954122707266063</v>
      </c>
      <c r="G175" s="46">
        <f t="shared" si="116"/>
        <v>10.833789358016849</v>
      </c>
      <c r="H175" s="46">
        <f t="shared" si="116"/>
        <v>14.169743570102934</v>
      </c>
      <c r="I175" s="46">
        <f t="shared" si="116"/>
        <v>16.915366165396016</v>
      </c>
      <c r="J175" s="46">
        <f t="shared" si="116"/>
        <v>19.926229234019864</v>
      </c>
      <c r="K175" s="46">
        <f t="shared" si="116"/>
        <v>23.024370496882582</v>
      </c>
      <c r="L175" s="46">
        <f t="shared" si="116"/>
        <v>26.432046511493098</v>
      </c>
      <c r="M175" s="46">
        <f t="shared" si="116"/>
        <v>29.93758630205182</v>
      </c>
      <c r="N175" s="46">
        <f t="shared" si="116"/>
        <v>33.492776620004037</v>
      </c>
      <c r="O175" s="46">
        <f t="shared" si="116"/>
        <v>37.200072973245419</v>
      </c>
      <c r="P175" s="46">
        <f t="shared" si="116"/>
        <v>40.99464767536854</v>
      </c>
      <c r="R175" s="57">
        <f>(J175/D175)^(1/6)-1</f>
        <v>0.19339203731251708</v>
      </c>
      <c r="S175" s="57">
        <f>(P175/J175)^(1/6)-1</f>
        <v>0.12776082908678177</v>
      </c>
      <c r="T175" s="109"/>
    </row>
    <row r="176" spans="1:20" x14ac:dyDescent="0.2">
      <c r="A176" s="83" t="s">
        <v>4</v>
      </c>
      <c r="B176" s="75"/>
      <c r="C176" s="63">
        <f t="shared" ref="C176:P176" si="117">C175/B175-1</f>
        <v>0.35094669430904335</v>
      </c>
      <c r="D176" s="63">
        <f t="shared" si="117"/>
        <v>0.17806441972869624</v>
      </c>
      <c r="E176" s="63">
        <f t="shared" si="117"/>
        <v>0.14209378561744268</v>
      </c>
      <c r="F176" s="63">
        <f t="shared" si="117"/>
        <v>5.2955212180485267E-2</v>
      </c>
      <c r="G176" s="63">
        <f t="shared" si="117"/>
        <v>0.30599770143406069</v>
      </c>
      <c r="H176" s="63">
        <f t="shared" si="117"/>
        <v>0.30792127314322637</v>
      </c>
      <c r="I176" s="63">
        <f t="shared" si="117"/>
        <v>0.19376656900736955</v>
      </c>
      <c r="J176" s="63">
        <f t="shared" si="117"/>
        <v>0.17799573708213368</v>
      </c>
      <c r="K176" s="63">
        <f t="shared" si="117"/>
        <v>0.15548055914027592</v>
      </c>
      <c r="L176" s="63">
        <f t="shared" si="117"/>
        <v>0.14800300468896221</v>
      </c>
      <c r="M176" s="63">
        <f t="shared" si="117"/>
        <v>0.13262460736948434</v>
      </c>
      <c r="N176" s="63">
        <f t="shared" si="117"/>
        <v>0.11875340523723366</v>
      </c>
      <c r="O176" s="63">
        <f t="shared" si="117"/>
        <v>0.11068943000166631</v>
      </c>
      <c r="P176" s="63">
        <f t="shared" si="117"/>
        <v>0.10200449619688134</v>
      </c>
      <c r="R176" s="109"/>
      <c r="S176" s="109"/>
      <c r="T176" s="109"/>
    </row>
    <row r="177" spans="1:20" x14ac:dyDescent="0.2">
      <c r="A177" s="68" t="s">
        <v>59</v>
      </c>
      <c r="B177" s="46">
        <f t="shared" ref="B177:O177" si="118">B143</f>
        <v>20.596836809729517</v>
      </c>
      <c r="C177" s="46">
        <f t="shared" si="118"/>
        <v>25.882847424354814</v>
      </c>
      <c r="D177" s="46">
        <f t="shared" si="118"/>
        <v>30.529569509992719</v>
      </c>
      <c r="E177" s="46">
        <f t="shared" si="118"/>
        <v>35.571566773473599</v>
      </c>
      <c r="F177" s="46">
        <f t="shared" si="118"/>
        <v>40.394591802277802</v>
      </c>
      <c r="G177" s="46">
        <f t="shared" si="118"/>
        <v>44.985099102646231</v>
      </c>
      <c r="H177" s="46">
        <f t="shared" si="118"/>
        <v>48.53726068039181</v>
      </c>
      <c r="I177" s="46">
        <f t="shared" si="118"/>
        <v>63.994484366940505</v>
      </c>
      <c r="J177" s="46">
        <f t="shared" si="118"/>
        <v>67.548765239344831</v>
      </c>
      <c r="K177" s="46">
        <f t="shared" si="118"/>
        <v>89.113567980622278</v>
      </c>
      <c r="L177" s="46">
        <f t="shared" si="118"/>
        <v>110.56179579799171</v>
      </c>
      <c r="M177" s="46">
        <f t="shared" si="118"/>
        <v>134.07619037396407</v>
      </c>
      <c r="N177" s="46">
        <f t="shared" si="118"/>
        <v>169.64591072687963</v>
      </c>
      <c r="O177" s="46">
        <f t="shared" si="118"/>
        <v>183.3768767623358</v>
      </c>
      <c r="P177" s="46">
        <f>P143</f>
        <v>196.83243295960472</v>
      </c>
      <c r="R177" s="57">
        <f>(J177/D177)^(1/6)-1</f>
        <v>0.14151806571453873</v>
      </c>
      <c r="S177" s="57">
        <f>(P177/J177)^(1/6)-1</f>
        <v>0.19512466000574458</v>
      </c>
      <c r="T177" s="109"/>
    </row>
    <row r="178" spans="1:20" x14ac:dyDescent="0.2">
      <c r="A178" s="62" t="s">
        <v>4</v>
      </c>
      <c r="B178" s="75"/>
      <c r="C178" s="63">
        <f t="shared" ref="C178:P178" si="119">C177/B177-1</f>
        <v>0.2566418651299065</v>
      </c>
      <c r="D178" s="63">
        <f t="shared" si="119"/>
        <v>0.17952901431028434</v>
      </c>
      <c r="E178" s="63">
        <f t="shared" si="119"/>
        <v>0.16515127282848097</v>
      </c>
      <c r="F178" s="63">
        <f t="shared" si="119"/>
        <v>0.1355865222220356</v>
      </c>
      <c r="G178" s="63">
        <f t="shared" si="119"/>
        <v>0.11364163110838943</v>
      </c>
      <c r="H178" s="63">
        <f t="shared" si="119"/>
        <v>7.8963071074720004E-2</v>
      </c>
      <c r="I178" s="63">
        <f t="shared" si="119"/>
        <v>0.318460981725595</v>
      </c>
      <c r="J178" s="63">
        <f t="shared" si="119"/>
        <v>5.5540425203276733E-2</v>
      </c>
      <c r="K178" s="63">
        <f t="shared" si="119"/>
        <v>0.31924791911246797</v>
      </c>
      <c r="L178" s="63">
        <f t="shared" si="119"/>
        <v>0.24068419998662094</v>
      </c>
      <c r="M178" s="63">
        <f t="shared" si="119"/>
        <v>0.21268101161214581</v>
      </c>
      <c r="N178" s="63">
        <f t="shared" si="119"/>
        <v>0.26529483164538625</v>
      </c>
      <c r="O178" s="63">
        <f t="shared" si="119"/>
        <v>8.0938974459350499E-2</v>
      </c>
      <c r="P178" s="63">
        <f t="shared" si="119"/>
        <v>7.3376515266468934E-2</v>
      </c>
      <c r="R178" s="109"/>
      <c r="S178" s="109"/>
      <c r="T178" s="109"/>
    </row>
    <row r="179" spans="1:20" x14ac:dyDescent="0.2">
      <c r="R179" s="109"/>
      <c r="S179" s="109"/>
      <c r="T179" s="109"/>
    </row>
    <row r="180" spans="1:20" x14ac:dyDescent="0.2">
      <c r="A180" s="67" t="s">
        <v>61</v>
      </c>
      <c r="R180" s="109"/>
      <c r="S180" s="109"/>
      <c r="T180" s="109"/>
    </row>
    <row r="181" spans="1:20" x14ac:dyDescent="0.2">
      <c r="A181" s="55" t="s">
        <v>62</v>
      </c>
      <c r="B181" s="56"/>
      <c r="C181" s="56"/>
      <c r="D181" s="56"/>
      <c r="E181" s="87">
        <v>20.870073059999999</v>
      </c>
      <c r="F181" s="87">
        <v>24.440544030000023</v>
      </c>
      <c r="G181" s="87">
        <v>32.417525540000021</v>
      </c>
      <c r="H181" s="87">
        <v>44.981175590000106</v>
      </c>
      <c r="I181" s="87">
        <v>77.433392500000366</v>
      </c>
      <c r="J181" s="87">
        <v>108.91813550000066</v>
      </c>
      <c r="K181" s="87">
        <v>152.27195906790985</v>
      </c>
      <c r="L181" s="87">
        <v>202.90798090003372</v>
      </c>
      <c r="M181" s="87">
        <v>262.94612656330162</v>
      </c>
      <c r="N181" s="87">
        <v>334.21289824695418</v>
      </c>
      <c r="O181" s="87">
        <v>420.00239168496717</v>
      </c>
      <c r="P181" s="87">
        <v>533.98089225490503</v>
      </c>
      <c r="R181" s="57"/>
      <c r="S181" s="57">
        <f>(P181/J181)^(1/6)-1</f>
        <v>0.30337960128450225</v>
      </c>
      <c r="T181" s="109"/>
    </row>
    <row r="182" spans="1:20" x14ac:dyDescent="0.2">
      <c r="A182" s="58" t="s">
        <v>4</v>
      </c>
      <c r="B182" s="66"/>
      <c r="C182" s="59"/>
      <c r="D182" s="59"/>
      <c r="E182" s="59"/>
      <c r="F182" s="59">
        <f t="shared" ref="F182:P182" si="120">F181/E181-1</f>
        <v>0.17108090420839295</v>
      </c>
      <c r="G182" s="59">
        <f t="shared" si="120"/>
        <v>0.32638314025287229</v>
      </c>
      <c r="H182" s="59">
        <f t="shared" si="120"/>
        <v>0.38755734253984886</v>
      </c>
      <c r="I182" s="59">
        <f t="shared" si="120"/>
        <v>0.72146217799640633</v>
      </c>
      <c r="J182" s="59">
        <f t="shared" si="120"/>
        <v>0.40660420502692229</v>
      </c>
      <c r="K182" s="59">
        <f t="shared" si="120"/>
        <v>0.39804044908489034</v>
      </c>
      <c r="L182" s="59">
        <f t="shared" si="120"/>
        <v>0.33253674637193931</v>
      </c>
      <c r="M182" s="59">
        <f t="shared" si="120"/>
        <v>0.29588853724214403</v>
      </c>
      <c r="N182" s="59">
        <f t="shared" si="120"/>
        <v>0.27103183688273802</v>
      </c>
      <c r="O182" s="59">
        <f t="shared" si="120"/>
        <v>0.25669115072459592</v>
      </c>
      <c r="P182" s="59">
        <f t="shared" si="120"/>
        <v>0.27137583696292422</v>
      </c>
      <c r="R182" s="109"/>
      <c r="S182" s="109"/>
      <c r="T182" s="109"/>
    </row>
    <row r="183" spans="1:20" x14ac:dyDescent="0.2">
      <c r="A183" s="67"/>
      <c r="R183" s="109"/>
      <c r="S183" s="109"/>
      <c r="T183" s="109"/>
    </row>
    <row r="184" spans="1:20" x14ac:dyDescent="0.2">
      <c r="A184" s="67" t="s">
        <v>64</v>
      </c>
      <c r="R184" s="109"/>
      <c r="S184" s="109"/>
      <c r="T184" s="109"/>
    </row>
    <row r="185" spans="1:20" x14ac:dyDescent="0.2">
      <c r="A185" s="129" t="s">
        <v>75</v>
      </c>
      <c r="E185" s="43">
        <v>4.5881603017444981</v>
      </c>
      <c r="F185" s="43">
        <v>5.3454158904507549</v>
      </c>
      <c r="G185" s="43">
        <v>7.0737983825863484</v>
      </c>
      <c r="H185" s="43">
        <v>9.8739546577253634</v>
      </c>
      <c r="I185" s="43">
        <v>16.961838138336827</v>
      </c>
      <c r="J185" s="43">
        <v>23.771059386741072</v>
      </c>
      <c r="K185" s="43">
        <v>33.24487581251605</v>
      </c>
      <c r="L185" s="43">
        <v>44.332644742709718</v>
      </c>
      <c r="M185" s="43">
        <v>57.487787298121141</v>
      </c>
      <c r="N185" s="43">
        <v>73.139288667680717</v>
      </c>
      <c r="O185" s="43">
        <v>91.906982984170256</v>
      </c>
      <c r="P185" s="43">
        <v>116.81287525800349</v>
      </c>
      <c r="R185" s="57"/>
      <c r="S185" s="57">
        <f>(P185/J185)^(1/6)-1</f>
        <v>0.30388822331598475</v>
      </c>
      <c r="T185" s="109"/>
    </row>
    <row r="186" spans="1:20" x14ac:dyDescent="0.2">
      <c r="A186" s="12" t="s">
        <v>4</v>
      </c>
      <c r="E186" s="63"/>
      <c r="F186" s="63">
        <f t="shared" ref="F186:P186" si="121">F185/E185-1</f>
        <v>0.16504558230416122</v>
      </c>
      <c r="G186" s="63">
        <f t="shared" si="121"/>
        <v>0.32333919896171937</v>
      </c>
      <c r="H186" s="63">
        <f t="shared" si="121"/>
        <v>0.39584903664093574</v>
      </c>
      <c r="I186" s="63">
        <f t="shared" si="121"/>
        <v>0.71783634078833014</v>
      </c>
      <c r="J186" s="63">
        <f t="shared" si="121"/>
        <v>0.40144359313358691</v>
      </c>
      <c r="K186" s="63">
        <f t="shared" si="121"/>
        <v>0.39854414023546814</v>
      </c>
      <c r="L186" s="63">
        <f t="shared" si="121"/>
        <v>0.33351813352298154</v>
      </c>
      <c r="M186" s="63">
        <f t="shared" si="121"/>
        <v>0.29673714780065596</v>
      </c>
      <c r="N186" s="63">
        <f t="shared" si="121"/>
        <v>0.27225784997418234</v>
      </c>
      <c r="O186" s="63">
        <f t="shared" si="121"/>
        <v>0.25660208977097598</v>
      </c>
      <c r="P186" s="63">
        <f t="shared" si="121"/>
        <v>0.27099020624061754</v>
      </c>
      <c r="R186" s="109"/>
      <c r="S186" s="109"/>
      <c r="T186" s="109"/>
    </row>
    <row r="187" spans="1:20" x14ac:dyDescent="0.2">
      <c r="A187" s="129" t="s">
        <v>69</v>
      </c>
      <c r="E187" s="43">
        <v>3.3194584756638634</v>
      </c>
      <c r="F187" s="43">
        <v>3.9276050241294129</v>
      </c>
      <c r="G187" s="43">
        <v>5.2122763175628277</v>
      </c>
      <c r="H187" s="43">
        <v>7.2383335083042359</v>
      </c>
      <c r="I187" s="43">
        <v>12.199954936607531</v>
      </c>
      <c r="J187" s="43">
        <v>17.38410561491709</v>
      </c>
      <c r="K187" s="43">
        <v>24.12913379338854</v>
      </c>
      <c r="L187" s="43">
        <v>32.079396801085551</v>
      </c>
      <c r="M187" s="43">
        <v>41.480065157126688</v>
      </c>
      <c r="N187" s="43">
        <v>52.584856634434153</v>
      </c>
      <c r="O187" s="43">
        <v>65.934795799670823</v>
      </c>
      <c r="P187" s="43">
        <v>83.666954598116533</v>
      </c>
      <c r="R187" s="57"/>
      <c r="S187" s="57">
        <f>(P187/J187)^(1/6)-1</f>
        <v>0.29937229204979166</v>
      </c>
      <c r="T187" s="109"/>
    </row>
    <row r="188" spans="1:20" x14ac:dyDescent="0.2">
      <c r="A188" s="12" t="s">
        <v>4</v>
      </c>
      <c r="E188" s="63"/>
      <c r="F188" s="63">
        <f t="shared" ref="F188:P188" si="122">F187/E187-1</f>
        <v>0.1832065539979153</v>
      </c>
      <c r="G188" s="63">
        <f t="shared" si="122"/>
        <v>0.32708769989369624</v>
      </c>
      <c r="H188" s="63">
        <f t="shared" si="122"/>
        <v>0.38870870754004039</v>
      </c>
      <c r="I188" s="63">
        <f t="shared" si="122"/>
        <v>0.68546460626759398</v>
      </c>
      <c r="J188" s="63">
        <f t="shared" si="122"/>
        <v>0.42493195304794518</v>
      </c>
      <c r="K188" s="63">
        <f t="shared" si="122"/>
        <v>0.38799972387901427</v>
      </c>
      <c r="L188" s="63">
        <f t="shared" si="122"/>
        <v>0.32948812318639509</v>
      </c>
      <c r="M188" s="63">
        <f t="shared" si="122"/>
        <v>0.29304380049075673</v>
      </c>
      <c r="N188" s="63">
        <f t="shared" si="122"/>
        <v>0.26771393524196418</v>
      </c>
      <c r="O188" s="63">
        <f t="shared" si="122"/>
        <v>0.25387421435879176</v>
      </c>
      <c r="P188" s="63">
        <f t="shared" si="122"/>
        <v>0.26893476476853273</v>
      </c>
      <c r="R188" s="109"/>
      <c r="S188" s="109"/>
      <c r="T188" s="109"/>
    </row>
    <row r="189" spans="1:20" x14ac:dyDescent="0.2">
      <c r="A189" s="129" t="s">
        <v>72</v>
      </c>
      <c r="E189" s="43">
        <v>2.2701949656086722</v>
      </c>
      <c r="F189" s="43">
        <v>2.6422975469281309</v>
      </c>
      <c r="G189" s="43">
        <v>3.4762192238560576</v>
      </c>
      <c r="H189" s="43">
        <v>4.9106530126737864</v>
      </c>
      <c r="I189" s="43">
        <v>8.5203357941127429</v>
      </c>
      <c r="J189" s="43">
        <v>11.879850952804205</v>
      </c>
      <c r="K189" s="43">
        <v>16.742803662770932</v>
      </c>
      <c r="L189" s="43">
        <v>22.360516089311929</v>
      </c>
      <c r="M189" s="43">
        <v>29.04224155034397</v>
      </c>
      <c r="N189" s="43">
        <v>36.99396582865711</v>
      </c>
      <c r="O189" s="43">
        <v>46.544817717778344</v>
      </c>
      <c r="P189" s="43">
        <v>59.250809905137231</v>
      </c>
      <c r="R189" s="57"/>
      <c r="S189" s="57">
        <f>(P189/J189)^(1/6)-1</f>
        <v>0.30711525493834113</v>
      </c>
      <c r="T189" s="109"/>
    </row>
    <row r="190" spans="1:20" x14ac:dyDescent="0.2">
      <c r="A190" s="12" t="s">
        <v>4</v>
      </c>
      <c r="E190" s="63"/>
      <c r="F190" s="63">
        <f t="shared" ref="F190:P190" si="123">F189/E189-1</f>
        <v>0.1639077642918183</v>
      </c>
      <c r="G190" s="63">
        <f t="shared" si="123"/>
        <v>0.31560475764639873</v>
      </c>
      <c r="H190" s="63">
        <f t="shared" si="123"/>
        <v>0.41264192401150046</v>
      </c>
      <c r="I190" s="63">
        <f t="shared" si="123"/>
        <v>0.73507184729257258</v>
      </c>
      <c r="J190" s="63">
        <f t="shared" si="123"/>
        <v>0.3942937508416946</v>
      </c>
      <c r="K190" s="63">
        <f t="shared" si="123"/>
        <v>0.40934458936278495</v>
      </c>
      <c r="L190" s="63">
        <f t="shared" si="123"/>
        <v>0.33552997094700854</v>
      </c>
      <c r="M190" s="63">
        <f t="shared" si="123"/>
        <v>0.29881803417881891</v>
      </c>
      <c r="N190" s="63">
        <f t="shared" si="123"/>
        <v>0.27379857248721784</v>
      </c>
      <c r="O190" s="63">
        <f t="shared" si="123"/>
        <v>0.25817323650449864</v>
      </c>
      <c r="P190" s="63">
        <f t="shared" si="123"/>
        <v>0.27298403582544672</v>
      </c>
      <c r="R190" s="109"/>
      <c r="S190" s="109"/>
      <c r="T190" s="109"/>
    </row>
    <row r="191" spans="1:20" x14ac:dyDescent="0.2">
      <c r="A191" s="129" t="s">
        <v>74</v>
      </c>
      <c r="E191" s="43">
        <v>2.0120927757813787</v>
      </c>
      <c r="F191" s="43">
        <v>2.3459633481946698</v>
      </c>
      <c r="G191" s="43">
        <v>3.1268667054355039</v>
      </c>
      <c r="H191" s="43">
        <v>4.3250645917997979</v>
      </c>
      <c r="I191" s="43">
        <v>7.4829177195188441</v>
      </c>
      <c r="J191" s="43">
        <v>10.559514753358654</v>
      </c>
      <c r="K191" s="43">
        <v>14.916864223484726</v>
      </c>
      <c r="L191" s="43">
        <v>20.086049441635108</v>
      </c>
      <c r="M191" s="43">
        <v>26.301868020803713</v>
      </c>
      <c r="N191" s="43">
        <v>33.767224450290229</v>
      </c>
      <c r="O191" s="43">
        <v>42.878522359284375</v>
      </c>
      <c r="P191" s="43">
        <v>55.08874895497614</v>
      </c>
      <c r="R191" s="57"/>
      <c r="S191" s="57">
        <f>(P191/J191)^(1/6)-1</f>
        <v>0.31695163180483465</v>
      </c>
      <c r="T191" s="109"/>
    </row>
    <row r="192" spans="1:20" x14ac:dyDescent="0.2">
      <c r="A192" s="12" t="s">
        <v>4</v>
      </c>
      <c r="E192" s="63"/>
      <c r="F192" s="63">
        <f t="shared" ref="F192:P192" si="124">F191/E191-1</f>
        <v>0.16593199698937111</v>
      </c>
      <c r="G192" s="63">
        <f t="shared" si="124"/>
        <v>0.33287108165682833</v>
      </c>
      <c r="H192" s="63">
        <f t="shared" si="124"/>
        <v>0.38319442408000293</v>
      </c>
      <c r="I192" s="63">
        <f t="shared" si="124"/>
        <v>0.73012854737620514</v>
      </c>
      <c r="J192" s="63">
        <f t="shared" si="124"/>
        <v>0.41114938706524184</v>
      </c>
      <c r="K192" s="63">
        <f t="shared" si="124"/>
        <v>0.41264675242204052</v>
      </c>
      <c r="L192" s="63">
        <f t="shared" si="124"/>
        <v>0.34653296703017178</v>
      </c>
      <c r="M192" s="63">
        <f t="shared" si="124"/>
        <v>0.3094594881502295</v>
      </c>
      <c r="N192" s="63">
        <f t="shared" si="124"/>
        <v>0.28383369666297931</v>
      </c>
      <c r="O192" s="63">
        <f t="shared" si="124"/>
        <v>0.26982667534333982</v>
      </c>
      <c r="P192" s="63">
        <f t="shared" si="124"/>
        <v>0.28476323165665041</v>
      </c>
      <c r="R192" s="109"/>
      <c r="S192" s="109"/>
      <c r="T192" s="109"/>
    </row>
    <row r="193" spans="1:20" x14ac:dyDescent="0.2">
      <c r="A193" s="129" t="s">
        <v>66</v>
      </c>
      <c r="E193" s="43">
        <v>1.4736563274057166</v>
      </c>
      <c r="F193" s="43">
        <v>1.719235906549736</v>
      </c>
      <c r="G193" s="43">
        <v>2.3058167741597719</v>
      </c>
      <c r="H193" s="43">
        <v>3.2018218616425282</v>
      </c>
      <c r="I193" s="43">
        <v>5.5167544894947111</v>
      </c>
      <c r="J193" s="43">
        <v>7.72252552830623</v>
      </c>
      <c r="K193" s="43">
        <v>10.751404000914977</v>
      </c>
      <c r="L193" s="43">
        <v>14.271760191434067</v>
      </c>
      <c r="M193" s="43">
        <v>18.421534362768959</v>
      </c>
      <c r="N193" s="43">
        <v>23.331100213867824</v>
      </c>
      <c r="O193" s="43">
        <v>29.186274847177021</v>
      </c>
      <c r="P193" s="43">
        <v>36.926206389402218</v>
      </c>
      <c r="R193" s="57"/>
      <c r="S193" s="57">
        <f>(P193/J193)^(1/6)-1</f>
        <v>0.29796372963326934</v>
      </c>
      <c r="T193" s="109"/>
    </row>
    <row r="194" spans="1:20" x14ac:dyDescent="0.2">
      <c r="A194" s="12" t="s">
        <v>4</v>
      </c>
      <c r="E194" s="63"/>
      <c r="F194" s="63">
        <f t="shared" ref="F194:P194" si="125">F193/E193-1</f>
        <v>0.16664643891316744</v>
      </c>
      <c r="G194" s="63">
        <f t="shared" si="125"/>
        <v>0.34118695716821135</v>
      </c>
      <c r="H194" s="63">
        <f t="shared" si="125"/>
        <v>0.38858468613979791</v>
      </c>
      <c r="I194" s="63">
        <f t="shared" si="125"/>
        <v>0.7230048165967069</v>
      </c>
      <c r="J194" s="63">
        <f t="shared" si="125"/>
        <v>0.39983128540736446</v>
      </c>
      <c r="K194" s="63">
        <f t="shared" si="125"/>
        <v>0.3922134619700075</v>
      </c>
      <c r="L194" s="63">
        <f t="shared" si="125"/>
        <v>0.32743223026680957</v>
      </c>
      <c r="M194" s="63">
        <f t="shared" si="125"/>
        <v>0.29076821048503843</v>
      </c>
      <c r="N194" s="63">
        <f t="shared" si="125"/>
        <v>0.26651231946354015</v>
      </c>
      <c r="O194" s="63">
        <f t="shared" si="125"/>
        <v>0.25096007387722441</v>
      </c>
      <c r="P194" s="63">
        <f t="shared" si="125"/>
        <v>0.26519079885159869</v>
      </c>
      <c r="R194" s="109"/>
      <c r="S194" s="109"/>
      <c r="T194" s="109"/>
    </row>
    <row r="195" spans="1:20" x14ac:dyDescent="0.2">
      <c r="A195" s="129" t="s">
        <v>67</v>
      </c>
      <c r="E195" s="43">
        <v>1.0840732393653312</v>
      </c>
      <c r="F195" s="43">
        <v>1.2508486392784572</v>
      </c>
      <c r="G195" s="43">
        <v>1.6389349715396737</v>
      </c>
      <c r="H195" s="43">
        <v>2.2505983055777961</v>
      </c>
      <c r="I195" s="43">
        <v>3.9250792718959771</v>
      </c>
      <c r="J195" s="43">
        <v>5.500729819794218</v>
      </c>
      <c r="K195" s="43">
        <v>7.7735640836655664</v>
      </c>
      <c r="L195" s="43">
        <v>10.408353385215475</v>
      </c>
      <c r="M195" s="43">
        <v>13.551306499625923</v>
      </c>
      <c r="N195" s="43">
        <v>17.313005571507102</v>
      </c>
      <c r="O195" s="43">
        <v>21.787048113966147</v>
      </c>
      <c r="P195" s="43">
        <v>27.727548816726156</v>
      </c>
      <c r="R195" s="57"/>
      <c r="S195" s="57">
        <f>(P195/J195)^(1/6)-1</f>
        <v>0.30942871567326136</v>
      </c>
      <c r="T195" s="109"/>
    </row>
    <row r="196" spans="1:20" x14ac:dyDescent="0.2">
      <c r="A196" s="12" t="s">
        <v>4</v>
      </c>
      <c r="E196" s="63"/>
      <c r="F196" s="63">
        <f t="shared" ref="F196:P196" si="126">F195/E195-1</f>
        <v>0.15384145079604061</v>
      </c>
      <c r="G196" s="63">
        <f t="shared" si="126"/>
        <v>0.31025842781831803</v>
      </c>
      <c r="H196" s="63">
        <f t="shared" si="126"/>
        <v>0.37320781157259963</v>
      </c>
      <c r="I196" s="63">
        <f t="shared" si="126"/>
        <v>0.74401591886398033</v>
      </c>
      <c r="J196" s="63">
        <f t="shared" si="126"/>
        <v>0.4014315224612357</v>
      </c>
      <c r="K196" s="63">
        <f t="shared" si="126"/>
        <v>0.41318776568385873</v>
      </c>
      <c r="L196" s="63">
        <f t="shared" si="126"/>
        <v>0.33894225006600753</v>
      </c>
      <c r="M196" s="63">
        <f t="shared" si="126"/>
        <v>0.30196448929903252</v>
      </c>
      <c r="N196" s="63">
        <f t="shared" si="126"/>
        <v>0.27758940231962281</v>
      </c>
      <c r="O196" s="63">
        <f t="shared" si="126"/>
        <v>0.25842090352135072</v>
      </c>
      <c r="P196" s="63">
        <f t="shared" si="126"/>
        <v>0.27266202707616771</v>
      </c>
      <c r="R196" s="109"/>
      <c r="S196" s="109"/>
      <c r="T196" s="109"/>
    </row>
    <row r="197" spans="1:20" x14ac:dyDescent="0.2">
      <c r="A197" s="129" t="s">
        <v>70</v>
      </c>
      <c r="E197" s="43">
        <v>1.2229697524378322</v>
      </c>
      <c r="F197" s="43">
        <v>1.4459160354026124</v>
      </c>
      <c r="G197" s="43">
        <v>1.9181681855533312</v>
      </c>
      <c r="H197" s="43">
        <v>2.6448332257975964</v>
      </c>
      <c r="I197" s="43">
        <v>4.5429306238514133</v>
      </c>
      <c r="J197" s="43">
        <v>6.3971819144953006</v>
      </c>
      <c r="K197" s="43">
        <v>8.8957041918117312</v>
      </c>
      <c r="L197" s="43">
        <v>11.803734275271928</v>
      </c>
      <c r="M197" s="43">
        <v>15.232687126224992</v>
      </c>
      <c r="N197" s="43">
        <v>19.276091636277108</v>
      </c>
      <c r="O197" s="43">
        <v>24.129639568937037</v>
      </c>
      <c r="P197" s="43">
        <v>30.563605268240035</v>
      </c>
      <c r="R197" s="57"/>
      <c r="S197" s="57">
        <f>(P197/J197)^(1/6)-1</f>
        <v>0.29778469124451301</v>
      </c>
      <c r="T197" s="109"/>
    </row>
    <row r="198" spans="1:20" x14ac:dyDescent="0.2">
      <c r="A198" s="12" t="s">
        <v>4</v>
      </c>
      <c r="E198" s="63"/>
      <c r="F198" s="63">
        <f t="shared" ref="F198:P198" si="127">F197/E197-1</f>
        <v>0.18229909817504941</v>
      </c>
      <c r="G198" s="63">
        <f t="shared" si="127"/>
        <v>0.32661104696803589</v>
      </c>
      <c r="H198" s="63">
        <f t="shared" si="127"/>
        <v>0.37883280815370468</v>
      </c>
      <c r="I198" s="63">
        <f t="shared" si="127"/>
        <v>0.71766241422704913</v>
      </c>
      <c r="J198" s="63">
        <f t="shared" si="127"/>
        <v>0.40816192105348215</v>
      </c>
      <c r="K198" s="63">
        <f t="shared" si="127"/>
        <v>0.39056608217675626</v>
      </c>
      <c r="L198" s="63">
        <f t="shared" si="127"/>
        <v>0.32690274100356942</v>
      </c>
      <c r="M198" s="63">
        <f t="shared" si="127"/>
        <v>0.29049729272002511</v>
      </c>
      <c r="N198" s="63">
        <f t="shared" si="127"/>
        <v>0.26544262850977129</v>
      </c>
      <c r="O198" s="63">
        <f t="shared" si="127"/>
        <v>0.25179108007173379</v>
      </c>
      <c r="P198" s="63">
        <f t="shared" si="127"/>
        <v>0.26664159988471914</v>
      </c>
      <c r="R198" s="109"/>
      <c r="S198" s="109"/>
      <c r="T198" s="109"/>
    </row>
    <row r="199" spans="1:20" x14ac:dyDescent="0.2">
      <c r="A199" s="129" t="s">
        <v>68</v>
      </c>
      <c r="E199" s="43">
        <v>1.2251712168820452</v>
      </c>
      <c r="F199" s="43">
        <v>1.4202067601640496</v>
      </c>
      <c r="G199" s="43">
        <v>1.8795984353598123</v>
      </c>
      <c r="H199" s="43">
        <v>2.5095204627337755</v>
      </c>
      <c r="I199" s="43">
        <v>4.4335196403422721</v>
      </c>
      <c r="J199" s="43">
        <v>6.1555079873574643</v>
      </c>
      <c r="K199" s="43">
        <v>8.5904776037623556</v>
      </c>
      <c r="L199" s="43">
        <v>11.450168739629197</v>
      </c>
      <c r="M199" s="43">
        <v>14.843025675687121</v>
      </c>
      <c r="N199" s="43">
        <v>18.871483050593813</v>
      </c>
      <c r="O199" s="43">
        <v>23.718118801228623</v>
      </c>
      <c r="P199" s="43">
        <v>30.158538064081903</v>
      </c>
      <c r="R199" s="57"/>
      <c r="S199" s="57">
        <f>(P199/J199)^(1/6)-1</f>
        <v>0.3032399894690565</v>
      </c>
      <c r="T199" s="109"/>
    </row>
    <row r="200" spans="1:20" x14ac:dyDescent="0.2">
      <c r="A200" s="12" t="s">
        <v>4</v>
      </c>
      <c r="E200" s="63"/>
      <c r="F200" s="63">
        <f t="shared" ref="F200:P200" si="128">F199/E199-1</f>
        <v>0.159190438523648</v>
      </c>
      <c r="G200" s="63">
        <f t="shared" si="128"/>
        <v>0.32346816539776069</v>
      </c>
      <c r="H200" s="63">
        <f t="shared" si="128"/>
        <v>0.33513649273355406</v>
      </c>
      <c r="I200" s="63">
        <f t="shared" si="128"/>
        <v>0.7666800116515351</v>
      </c>
      <c r="J200" s="63">
        <f t="shared" si="128"/>
        <v>0.38840210187548707</v>
      </c>
      <c r="K200" s="63">
        <f t="shared" si="128"/>
        <v>0.39557573825035597</v>
      </c>
      <c r="L200" s="63">
        <f t="shared" si="128"/>
        <v>0.33289082025129635</v>
      </c>
      <c r="M200" s="63">
        <f t="shared" si="128"/>
        <v>0.29631501624209244</v>
      </c>
      <c r="N200" s="63">
        <f t="shared" si="128"/>
        <v>0.27140405621646968</v>
      </c>
      <c r="O200" s="63">
        <f t="shared" si="128"/>
        <v>0.2568232574854421</v>
      </c>
      <c r="P200" s="63">
        <f t="shared" si="128"/>
        <v>0.27154005411759963</v>
      </c>
      <c r="R200" s="109"/>
      <c r="S200" s="109"/>
      <c r="T200" s="109"/>
    </row>
    <row r="201" spans="1:20" x14ac:dyDescent="0.2">
      <c r="A201" s="129" t="s">
        <v>73</v>
      </c>
      <c r="E201" s="43">
        <v>0.18920399927098297</v>
      </c>
      <c r="F201" s="43">
        <v>0.21321753250128445</v>
      </c>
      <c r="G201" s="43">
        <v>0.26998973794633385</v>
      </c>
      <c r="H201" s="43">
        <v>0.38565614612766147</v>
      </c>
      <c r="I201" s="43">
        <v>0.64373847126275563</v>
      </c>
      <c r="J201" s="43">
        <v>0.95127395265406989</v>
      </c>
      <c r="K201" s="43">
        <v>1.2605590791799903</v>
      </c>
      <c r="L201" s="43">
        <v>1.5976486595354584</v>
      </c>
      <c r="M201" s="43">
        <v>1.9645114518923084</v>
      </c>
      <c r="N201" s="43">
        <v>2.3570519273878134</v>
      </c>
      <c r="O201" s="43">
        <v>2.9936643629389175</v>
      </c>
      <c r="P201" s="43">
        <v>3.8492895533465181</v>
      </c>
      <c r="R201" s="57"/>
      <c r="S201" s="57">
        <f>(P201/J201)^(1/6)-1</f>
        <v>0.2623481927880762</v>
      </c>
      <c r="T201" s="109"/>
    </row>
    <row r="202" spans="1:20" x14ac:dyDescent="0.2">
      <c r="A202" s="12" t="s">
        <v>4</v>
      </c>
      <c r="E202" s="63"/>
      <c r="F202" s="63">
        <f t="shared" ref="F202:P202" si="129">F201/E201-1</f>
        <v>0.12691874021071126</v>
      </c>
      <c r="G202" s="63">
        <f t="shared" si="129"/>
        <v>0.26626424562298801</v>
      </c>
      <c r="H202" s="63">
        <f t="shared" si="129"/>
        <v>0.42841038722856473</v>
      </c>
      <c r="I202" s="63">
        <f t="shared" si="129"/>
        <v>0.66920319493537317</v>
      </c>
      <c r="J202" s="63">
        <f t="shared" si="129"/>
        <v>0.47773357523289461</v>
      </c>
      <c r="K202" s="63">
        <f t="shared" si="129"/>
        <v>0.32512729446970545</v>
      </c>
      <c r="L202" s="63">
        <f t="shared" si="129"/>
        <v>0.26741275829352573</v>
      </c>
      <c r="M202" s="63">
        <f t="shared" si="129"/>
        <v>0.22962670182036216</v>
      </c>
      <c r="N202" s="63">
        <f t="shared" si="129"/>
        <v>0.19981582449793911</v>
      </c>
      <c r="O202" s="63">
        <f t="shared" si="129"/>
        <v>0.27008842196218619</v>
      </c>
      <c r="P202" s="63">
        <f t="shared" si="129"/>
        <v>0.28581199716310968</v>
      </c>
      <c r="R202" s="109"/>
      <c r="S202" s="109"/>
      <c r="T202" s="109"/>
    </row>
    <row r="203" spans="1:20" x14ac:dyDescent="0.2">
      <c r="A203" s="129" t="s">
        <v>65</v>
      </c>
      <c r="E203" s="43">
        <v>0.2189494236354789</v>
      </c>
      <c r="F203" s="43">
        <v>0.28082684604989894</v>
      </c>
      <c r="G203" s="43">
        <v>0.40546958888365248</v>
      </c>
      <c r="H203" s="43">
        <v>0.60923198318555416</v>
      </c>
      <c r="I203" s="43">
        <v>1.1305287129223238</v>
      </c>
      <c r="J203" s="43">
        <v>1.7073857273955537</v>
      </c>
      <c r="K203" s="43">
        <v>2.5539462923078089</v>
      </c>
      <c r="L203" s="43">
        <v>3.6299893098952269</v>
      </c>
      <c r="M203" s="43">
        <v>5.003644840114549</v>
      </c>
      <c r="N203" s="43">
        <v>6.7480631935611832</v>
      </c>
      <c r="O203" s="43">
        <v>8.9778633501684322</v>
      </c>
      <c r="P203" s="43">
        <v>12.059612856320438</v>
      </c>
      <c r="R203" s="57"/>
      <c r="S203" s="57">
        <f>(P203/J203)^(1/6)-1</f>
        <v>0.38516109991556258</v>
      </c>
      <c r="T203" s="109"/>
    </row>
    <row r="204" spans="1:20" x14ac:dyDescent="0.2">
      <c r="A204" s="12" t="s">
        <v>4</v>
      </c>
      <c r="E204" s="63"/>
      <c r="F204" s="63">
        <f t="shared" ref="F204:P204" si="130">F203/E203-1</f>
        <v>0.28261057456555605</v>
      </c>
      <c r="G204" s="63">
        <f t="shared" si="130"/>
        <v>0.44384197802658187</v>
      </c>
      <c r="H204" s="63">
        <f t="shared" si="130"/>
        <v>0.50253434508591543</v>
      </c>
      <c r="I204" s="63">
        <f t="shared" si="130"/>
        <v>0.85566211906835821</v>
      </c>
      <c r="J204" s="63">
        <f t="shared" si="130"/>
        <v>0.51025419158271701</v>
      </c>
      <c r="K204" s="63">
        <f t="shared" si="130"/>
        <v>0.49582267868878027</v>
      </c>
      <c r="L204" s="63">
        <f t="shared" si="130"/>
        <v>0.42132562490774972</v>
      </c>
      <c r="M204" s="63">
        <f t="shared" si="130"/>
        <v>0.37841861585508907</v>
      </c>
      <c r="N204" s="63">
        <f t="shared" si="130"/>
        <v>0.34862953090945181</v>
      </c>
      <c r="O204" s="63">
        <f t="shared" si="130"/>
        <v>0.33043557723864581</v>
      </c>
      <c r="P204" s="63">
        <f t="shared" si="130"/>
        <v>0.34326090584729041</v>
      </c>
      <c r="R204" s="109"/>
      <c r="S204" s="109"/>
      <c r="T204" s="109"/>
    </row>
    <row r="205" spans="1:20" x14ac:dyDescent="0.2">
      <c r="A205" s="129" t="s">
        <v>71</v>
      </c>
      <c r="E205" s="43">
        <v>0.157382026560867</v>
      </c>
      <c r="F205" s="43">
        <v>0.19218526273963582</v>
      </c>
      <c r="G205" s="43">
        <v>0.26695170219112696</v>
      </c>
      <c r="H205" s="43">
        <v>0.37319056037650433</v>
      </c>
      <c r="I205" s="43">
        <v>0.69119871094767293</v>
      </c>
      <c r="J205" s="43">
        <v>0.93881527212032645</v>
      </c>
      <c r="K205" s="43">
        <v>1.3541609778623132</v>
      </c>
      <c r="L205" s="43">
        <v>1.8282779717491116</v>
      </c>
      <c r="M205" s="43">
        <v>2.3999206836144844</v>
      </c>
      <c r="N205" s="43">
        <v>3.0897476961027128</v>
      </c>
      <c r="O205" s="43">
        <v>3.9107977385734443</v>
      </c>
      <c r="P205" s="43">
        <v>5.0074082279533689</v>
      </c>
      <c r="R205" s="57"/>
      <c r="S205" s="57">
        <f>(P205/J205)^(1/6)-1</f>
        <v>0.32181946245413462</v>
      </c>
      <c r="T205" s="109"/>
    </row>
    <row r="206" spans="1:20" x14ac:dyDescent="0.2">
      <c r="A206" s="12" t="s">
        <v>4</v>
      </c>
      <c r="E206" s="63"/>
      <c r="F206" s="63">
        <f t="shared" ref="F206:P206" si="131">F205/E205-1</f>
        <v>0.22113856924639852</v>
      </c>
      <c r="G206" s="63">
        <f t="shared" si="131"/>
        <v>0.38903315678674821</v>
      </c>
      <c r="H206" s="63">
        <f t="shared" si="131"/>
        <v>0.39797033438398732</v>
      </c>
      <c r="I206" s="63">
        <f t="shared" si="131"/>
        <v>0.85213342548197546</v>
      </c>
      <c r="J206" s="63">
        <f t="shared" si="131"/>
        <v>0.35824222072572587</v>
      </c>
      <c r="K206" s="63">
        <f t="shared" si="131"/>
        <v>0.44241473064655534</v>
      </c>
      <c r="L206" s="63">
        <f t="shared" si="131"/>
        <v>0.35011863555191369</v>
      </c>
      <c r="M206" s="63">
        <f t="shared" si="131"/>
        <v>0.31266728621057704</v>
      </c>
      <c r="N206" s="63">
        <f t="shared" si="131"/>
        <v>0.28743742124397653</v>
      </c>
      <c r="O206" s="63">
        <f t="shared" si="131"/>
        <v>0.2657336854741803</v>
      </c>
      <c r="P206" s="63">
        <f t="shared" si="131"/>
        <v>0.28040583090342563</v>
      </c>
      <c r="R206" s="109"/>
      <c r="S206" s="109"/>
      <c r="T206" s="109"/>
    </row>
    <row r="207" spans="1:20" x14ac:dyDescent="0.2">
      <c r="A207" s="129" t="s">
        <v>80</v>
      </c>
      <c r="E207" s="46">
        <v>1.0998482466428654</v>
      </c>
      <c r="F207" s="46">
        <v>1.2615876286961949</v>
      </c>
      <c r="G207" s="46">
        <v>1.6376555720884529</v>
      </c>
      <c r="H207" s="46">
        <v>2.2218948829653207</v>
      </c>
      <c r="I207" s="46">
        <v>3.7364384967453481</v>
      </c>
      <c r="J207" s="46">
        <v>5.1288929670941164</v>
      </c>
      <c r="K207" s="46">
        <v>6.9897447490548039</v>
      </c>
      <c r="L207" s="46">
        <v>9.0687175116685754</v>
      </c>
      <c r="M207" s="46">
        <v>11.427874551680326</v>
      </c>
      <c r="N207" s="46">
        <v>14.105052526936189</v>
      </c>
      <c r="O207" s="46">
        <v>17.187217967965807</v>
      </c>
      <c r="P207" s="46">
        <v>21.153068231684742</v>
      </c>
      <c r="R207" s="57"/>
      <c r="S207" s="57">
        <f>(P207/J207)^(1/6)-1</f>
        <v>0.26636322164212678</v>
      </c>
      <c r="T207" s="109"/>
    </row>
    <row r="208" spans="1:20" x14ac:dyDescent="0.2">
      <c r="A208" s="12" t="s">
        <v>4</v>
      </c>
      <c r="E208" s="63"/>
      <c r="F208" s="63">
        <f t="shared" ref="F208:P208" si="132">F207/E207-1</f>
        <v>0.14705608937143522</v>
      </c>
      <c r="G208" s="63">
        <f t="shared" si="132"/>
        <v>0.29809102026540213</v>
      </c>
      <c r="H208" s="63">
        <f t="shared" si="132"/>
        <v>0.35675347175218586</v>
      </c>
      <c r="I208" s="63">
        <f t="shared" si="132"/>
        <v>0.68164503433156631</v>
      </c>
      <c r="J208" s="63">
        <f t="shared" si="132"/>
        <v>0.37266891227078291</v>
      </c>
      <c r="K208" s="63">
        <f t="shared" si="132"/>
        <v>0.36281743329399063</v>
      </c>
      <c r="L208" s="63">
        <f t="shared" si="132"/>
        <v>0.29743185727846533</v>
      </c>
      <c r="M208" s="63">
        <f t="shared" si="132"/>
        <v>0.26014230093464263</v>
      </c>
      <c r="N208" s="63">
        <f t="shared" si="132"/>
        <v>0.2342673576918306</v>
      </c>
      <c r="O208" s="63">
        <f t="shared" si="132"/>
        <v>0.218514992067109</v>
      </c>
      <c r="P208" s="63">
        <f t="shared" si="132"/>
        <v>0.23074416529252373</v>
      </c>
      <c r="R208" s="109"/>
      <c r="S208" s="109"/>
      <c r="T208" s="109"/>
    </row>
    <row r="209" spans="1:20" x14ac:dyDescent="0.2">
      <c r="A209" s="129" t="s">
        <v>76</v>
      </c>
      <c r="E209" s="43">
        <v>2.0089123090004697</v>
      </c>
      <c r="F209" s="43">
        <v>2.395237608915187</v>
      </c>
      <c r="G209" s="43">
        <v>3.2057799428371276</v>
      </c>
      <c r="H209" s="43">
        <v>4.4364223910901854</v>
      </c>
      <c r="I209" s="43">
        <v>7.6481574939619454</v>
      </c>
      <c r="J209" s="43">
        <v>10.821291622962347</v>
      </c>
      <c r="K209" s="43">
        <v>15.068720597190053</v>
      </c>
      <c r="L209" s="43">
        <v>19.990723780892353</v>
      </c>
      <c r="M209" s="43">
        <v>25.789659345297441</v>
      </c>
      <c r="N209" s="43">
        <v>32.635966849658274</v>
      </c>
      <c r="O209" s="43">
        <v>40.846648073108</v>
      </c>
      <c r="P209" s="43">
        <v>51.716226130916276</v>
      </c>
      <c r="R209" s="109"/>
      <c r="S209" s="109"/>
      <c r="T209" s="109"/>
    </row>
    <row r="210" spans="1:20" x14ac:dyDescent="0.2">
      <c r="A210" s="12" t="s">
        <v>4</v>
      </c>
      <c r="F210" s="63">
        <f t="shared" ref="F210:P210" si="133">F209/E209-1</f>
        <v>0.19230570602005659</v>
      </c>
      <c r="G210" s="63">
        <f t="shared" si="133"/>
        <v>0.33839746457932351</v>
      </c>
      <c r="H210" s="63">
        <f t="shared" si="133"/>
        <v>0.38388238437973832</v>
      </c>
      <c r="I210" s="63">
        <f t="shared" si="133"/>
        <v>0.72394709514630406</v>
      </c>
      <c r="J210" s="63">
        <f t="shared" si="133"/>
        <v>0.41488870116829091</v>
      </c>
      <c r="K210" s="63">
        <f t="shared" si="133"/>
        <v>0.39250665467834089</v>
      </c>
      <c r="L210" s="63">
        <f t="shared" si="133"/>
        <v>0.3266370991456391</v>
      </c>
      <c r="M210" s="63">
        <f t="shared" si="133"/>
        <v>0.29008132111493934</v>
      </c>
      <c r="N210" s="63">
        <f t="shared" si="133"/>
        <v>0.26546715537013132</v>
      </c>
      <c r="O210" s="63">
        <f t="shared" si="133"/>
        <v>0.25158382042956684</v>
      </c>
      <c r="P210" s="63">
        <f t="shared" si="133"/>
        <v>0.26610697745268408</v>
      </c>
      <c r="R210" s="109"/>
      <c r="S210" s="109"/>
      <c r="T210" s="109"/>
    </row>
    <row r="211" spans="1:20" x14ac:dyDescent="0.2">
      <c r="A211" s="23" t="s">
        <v>23</v>
      </c>
      <c r="E211" s="56">
        <f t="shared" ref="E211:P211" si="134">E209+E207+E205+E203+E201+E199+E197+E195+E193+E191+E189+E187+E185</f>
        <v>20.870073059999999</v>
      </c>
      <c r="F211" s="56">
        <f t="shared" si="134"/>
        <v>24.440544030000023</v>
      </c>
      <c r="G211" s="56">
        <f t="shared" si="134"/>
        <v>32.417525540000021</v>
      </c>
      <c r="H211" s="56">
        <f t="shared" si="134"/>
        <v>44.981175590000106</v>
      </c>
      <c r="I211" s="56">
        <f t="shared" si="134"/>
        <v>77.433392500000366</v>
      </c>
      <c r="J211" s="56">
        <f t="shared" si="134"/>
        <v>108.91813550000064</v>
      </c>
      <c r="K211" s="56">
        <f t="shared" si="134"/>
        <v>152.27195906790988</v>
      </c>
      <c r="L211" s="56">
        <f t="shared" si="134"/>
        <v>202.90798090003369</v>
      </c>
      <c r="M211" s="56">
        <f t="shared" si="134"/>
        <v>262.94612656330162</v>
      </c>
      <c r="N211" s="56">
        <f t="shared" si="134"/>
        <v>334.21289824695424</v>
      </c>
      <c r="O211" s="56">
        <f t="shared" si="134"/>
        <v>420.00239168496728</v>
      </c>
      <c r="P211" s="56">
        <f t="shared" si="134"/>
        <v>533.98089225490503</v>
      </c>
      <c r="R211" s="57"/>
      <c r="S211" s="57">
        <f>(P211/J211)^(1/6)-1</f>
        <v>0.30337960128450225</v>
      </c>
      <c r="T211" s="109"/>
    </row>
    <row r="212" spans="1:20" x14ac:dyDescent="0.2">
      <c r="A212" s="19" t="s">
        <v>4</v>
      </c>
      <c r="E212" s="59"/>
      <c r="F212" s="59">
        <f t="shared" ref="F212:P212" si="135">F211/E211-1</f>
        <v>0.17108090420839295</v>
      </c>
      <c r="G212" s="59">
        <f t="shared" si="135"/>
        <v>0.32638314025287229</v>
      </c>
      <c r="H212" s="59">
        <f t="shared" si="135"/>
        <v>0.38755734253984886</v>
      </c>
      <c r="I212" s="59">
        <f t="shared" si="135"/>
        <v>0.72146217799640633</v>
      </c>
      <c r="J212" s="59">
        <f t="shared" si="135"/>
        <v>0.40660420502692207</v>
      </c>
      <c r="K212" s="59">
        <f t="shared" si="135"/>
        <v>0.39804044908489078</v>
      </c>
      <c r="L212" s="59">
        <f t="shared" si="135"/>
        <v>0.33253674637193886</v>
      </c>
      <c r="M212" s="59">
        <f t="shared" si="135"/>
        <v>0.29588853724214426</v>
      </c>
      <c r="N212" s="59">
        <f t="shared" si="135"/>
        <v>0.27103183688273824</v>
      </c>
      <c r="O212" s="59">
        <f t="shared" si="135"/>
        <v>0.25669115072459614</v>
      </c>
      <c r="P212" s="59">
        <f t="shared" si="135"/>
        <v>0.27137583696292378</v>
      </c>
      <c r="R212" s="109"/>
      <c r="S212" s="109"/>
      <c r="T212" s="109"/>
    </row>
    <row r="213" spans="1:20" x14ac:dyDescent="0.2">
      <c r="R213" s="109"/>
      <c r="S213" s="109"/>
      <c r="T213" s="109"/>
    </row>
    <row r="214" spans="1:20" x14ac:dyDescent="0.2">
      <c r="A214" s="67" t="s">
        <v>63</v>
      </c>
      <c r="R214" s="109"/>
      <c r="S214" s="109"/>
      <c r="T214" s="109"/>
    </row>
    <row r="215" spans="1:20" x14ac:dyDescent="0.2">
      <c r="A215" s="68" t="s">
        <v>82</v>
      </c>
      <c r="E215" s="46">
        <v>1.0998482466428654</v>
      </c>
      <c r="F215" s="46">
        <v>1.2615876286961949</v>
      </c>
      <c r="G215" s="46">
        <v>1.6376555720884529</v>
      </c>
      <c r="H215" s="46">
        <v>2.2218948829653207</v>
      </c>
      <c r="I215" s="46">
        <v>3.7364384967453481</v>
      </c>
      <c r="J215" s="46">
        <v>5.1288929670941164</v>
      </c>
      <c r="K215" s="46">
        <v>6.9897447490548039</v>
      </c>
      <c r="L215" s="46">
        <v>9.0687175116685754</v>
      </c>
      <c r="M215" s="46">
        <v>11.427874551680326</v>
      </c>
      <c r="N215" s="46">
        <v>14.105052526936189</v>
      </c>
      <c r="O215" s="46">
        <v>17.187217967965807</v>
      </c>
      <c r="P215" s="46">
        <v>21.153068231684742</v>
      </c>
      <c r="R215" s="57"/>
      <c r="S215" s="57">
        <f>(P215/J215)^(1/6)-1</f>
        <v>0.26636322164212678</v>
      </c>
      <c r="T215" s="109"/>
    </row>
    <row r="216" spans="1:20" x14ac:dyDescent="0.2">
      <c r="A216" s="62" t="s">
        <v>4</v>
      </c>
      <c r="F216" s="63">
        <f t="shared" ref="F216:P216" si="136">F215/E215-1</f>
        <v>0.14705608937143522</v>
      </c>
      <c r="G216" s="63">
        <f t="shared" si="136"/>
        <v>0.29809102026540213</v>
      </c>
      <c r="H216" s="63">
        <f t="shared" si="136"/>
        <v>0.35675347175218586</v>
      </c>
      <c r="I216" s="63">
        <f t="shared" si="136"/>
        <v>0.68164503433156631</v>
      </c>
      <c r="J216" s="63">
        <f t="shared" si="136"/>
        <v>0.37266891227078291</v>
      </c>
      <c r="K216" s="63">
        <f t="shared" si="136"/>
        <v>0.36281743329399063</v>
      </c>
      <c r="L216" s="63">
        <f t="shared" si="136"/>
        <v>0.29743185727846533</v>
      </c>
      <c r="M216" s="63">
        <f t="shared" si="136"/>
        <v>0.26014230093464263</v>
      </c>
      <c r="N216" s="63">
        <f t="shared" si="136"/>
        <v>0.2342673576918306</v>
      </c>
      <c r="O216" s="63">
        <f t="shared" si="136"/>
        <v>0.218514992067109</v>
      </c>
      <c r="P216" s="63">
        <f t="shared" si="136"/>
        <v>0.23074416529252373</v>
      </c>
      <c r="R216" s="109"/>
      <c r="S216" s="109"/>
      <c r="T216" s="109"/>
    </row>
    <row r="217" spans="1:20" x14ac:dyDescent="0.2">
      <c r="A217" s="68" t="s">
        <v>10</v>
      </c>
      <c r="E217" s="46">
        <v>8.8912104671547763</v>
      </c>
      <c r="F217" s="46">
        <v>10.218956094566762</v>
      </c>
      <c r="G217" s="46">
        <v>13.293046509290441</v>
      </c>
      <c r="H217" s="46">
        <v>18.075694875728768</v>
      </c>
      <c r="I217" s="46">
        <v>30.469197093762102</v>
      </c>
      <c r="J217" s="46">
        <v>41.930187692465452</v>
      </c>
      <c r="K217" s="46">
        <v>57.298047994223211</v>
      </c>
      <c r="L217" s="46">
        <v>74.55608343248096</v>
      </c>
      <c r="M217" s="46">
        <v>94.244049660276175</v>
      </c>
      <c r="N217" s="46">
        <v>116.71256553545103</v>
      </c>
      <c r="O217" s="46">
        <v>142.73102621598474</v>
      </c>
      <c r="P217" s="46">
        <v>176.3542222172847</v>
      </c>
      <c r="R217" s="57"/>
      <c r="S217" s="57">
        <f>(P217/J217)^(1/6)-1</f>
        <v>0.2705053823753929</v>
      </c>
      <c r="T217" s="109"/>
    </row>
    <row r="218" spans="1:20" x14ac:dyDescent="0.2">
      <c r="A218" s="62" t="s">
        <v>4</v>
      </c>
      <c r="F218" s="63">
        <f t="shared" ref="F218:P218" si="137">F217/E217-1</f>
        <v>0.14933238081775713</v>
      </c>
      <c r="G218" s="63">
        <f t="shared" si="137"/>
        <v>0.30082235272134294</v>
      </c>
      <c r="H218" s="63">
        <f t="shared" si="137"/>
        <v>0.35978572429546229</v>
      </c>
      <c r="I218" s="63">
        <f t="shared" si="137"/>
        <v>0.68564457982053972</v>
      </c>
      <c r="J218" s="63">
        <f t="shared" si="137"/>
        <v>0.37615006931212291</v>
      </c>
      <c r="K218" s="63">
        <f t="shared" si="137"/>
        <v>0.36651064894992702</v>
      </c>
      <c r="L218" s="63">
        <f t="shared" si="137"/>
        <v>0.30119761566742564</v>
      </c>
      <c r="M218" s="63">
        <f t="shared" si="137"/>
        <v>0.2640692123483781</v>
      </c>
      <c r="N218" s="63">
        <f t="shared" si="137"/>
        <v>0.23840779291814895</v>
      </c>
      <c r="O218" s="63">
        <f t="shared" si="137"/>
        <v>0.22292767330721297</v>
      </c>
      <c r="P218" s="63">
        <f t="shared" si="137"/>
        <v>0.23557033738705391</v>
      </c>
      <c r="R218" s="109"/>
      <c r="S218" s="109"/>
      <c r="T218" s="109"/>
    </row>
    <row r="219" spans="1:20" x14ac:dyDescent="0.2">
      <c r="A219" s="68" t="s">
        <v>11</v>
      </c>
      <c r="E219" s="46">
        <v>10.66006492256688</v>
      </c>
      <c r="F219" s="46">
        <v>12.679173460687164</v>
      </c>
      <c r="G219" s="46">
        <v>17.081353869737473</v>
      </c>
      <c r="H219" s="46">
        <v>24.07435384812046</v>
      </c>
      <c r="I219" s="46">
        <v>42.097228196570597</v>
      </c>
      <c r="J219" s="46">
        <v>60.15166911304555</v>
      </c>
      <c r="K219" s="46">
        <v>85.430220032324016</v>
      </c>
      <c r="L219" s="46">
        <v>115.65319064598896</v>
      </c>
      <c r="M219" s="46">
        <v>152.27055751123058</v>
      </c>
      <c r="N219" s="46">
        <v>196.64721699100573</v>
      </c>
      <c r="O219" s="46">
        <v>251.10628415084815</v>
      </c>
      <c r="P219" s="46">
        <v>324.4139889496152</v>
      </c>
      <c r="R219" s="57"/>
      <c r="S219" s="57">
        <f>(P219/J219)^(1/6)-1</f>
        <v>0.3242662627673365</v>
      </c>
      <c r="T219" s="109"/>
    </row>
    <row r="220" spans="1:20" x14ac:dyDescent="0.2">
      <c r="A220" s="62" t="s">
        <v>4</v>
      </c>
      <c r="F220" s="63">
        <f t="shared" ref="F220:P220" si="138">F219/E219-1</f>
        <v>0.18940865302292131</v>
      </c>
      <c r="G220" s="63">
        <f t="shared" si="138"/>
        <v>0.34719774303109241</v>
      </c>
      <c r="H220" s="63">
        <f t="shared" si="138"/>
        <v>0.40939377708064906</v>
      </c>
      <c r="I220" s="63">
        <f t="shared" si="138"/>
        <v>0.74863377277547261</v>
      </c>
      <c r="J220" s="63">
        <f t="shared" si="138"/>
        <v>0.42887481408920269</v>
      </c>
      <c r="K220" s="63">
        <f t="shared" si="138"/>
        <v>0.42024687414361561</v>
      </c>
      <c r="L220" s="63">
        <f t="shared" si="138"/>
        <v>0.35377376532835281</v>
      </c>
      <c r="M220" s="63">
        <f t="shared" si="138"/>
        <v>0.31661354659316165</v>
      </c>
      <c r="N220" s="63">
        <f t="shared" si="138"/>
        <v>0.29143296120461226</v>
      </c>
      <c r="O220" s="63">
        <f t="shared" si="138"/>
        <v>0.27693789921437473</v>
      </c>
      <c r="P220" s="63">
        <f t="shared" si="138"/>
        <v>0.2919389494638398</v>
      </c>
      <c r="R220" s="109"/>
      <c r="S220" s="109"/>
      <c r="T220" s="109"/>
    </row>
    <row r="221" spans="1:20" x14ac:dyDescent="0.2">
      <c r="A221" s="68" t="s">
        <v>22</v>
      </c>
      <c r="E221" s="43">
        <v>0.2189494236354789</v>
      </c>
      <c r="F221" s="43">
        <v>0.28082684604989894</v>
      </c>
      <c r="G221" s="43">
        <v>0.40546958888365248</v>
      </c>
      <c r="H221" s="43">
        <v>0.60923198318555416</v>
      </c>
      <c r="I221" s="43">
        <v>1.1305287129223238</v>
      </c>
      <c r="J221" s="43">
        <v>1.7073857273955537</v>
      </c>
      <c r="K221" s="43">
        <v>2.5539462923078089</v>
      </c>
      <c r="L221" s="43">
        <v>3.6299893098952269</v>
      </c>
      <c r="M221" s="43">
        <v>5.003644840114549</v>
      </c>
      <c r="N221" s="43">
        <v>6.7480631935611832</v>
      </c>
      <c r="O221" s="43">
        <v>8.9778633501684322</v>
      </c>
      <c r="P221" s="43">
        <v>12.059612856320438</v>
      </c>
      <c r="R221" s="57"/>
      <c r="S221" s="57">
        <f>(P221/J221)^(1/6)-1</f>
        <v>0.38516109991556258</v>
      </c>
      <c r="T221" s="109"/>
    </row>
    <row r="222" spans="1:20" x14ac:dyDescent="0.2">
      <c r="A222" s="62" t="s">
        <v>4</v>
      </c>
      <c r="F222" s="63">
        <f t="shared" ref="F222:P222" si="139">F221/E221-1</f>
        <v>0.28261057456555605</v>
      </c>
      <c r="G222" s="63">
        <f t="shared" si="139"/>
        <v>0.44384197802658187</v>
      </c>
      <c r="H222" s="63">
        <f t="shared" si="139"/>
        <v>0.50253434508591543</v>
      </c>
      <c r="I222" s="63">
        <f t="shared" si="139"/>
        <v>0.85566211906835821</v>
      </c>
      <c r="J222" s="63">
        <f t="shared" si="139"/>
        <v>0.51025419158271701</v>
      </c>
      <c r="K222" s="63">
        <f t="shared" si="139"/>
        <v>0.49582267868878027</v>
      </c>
      <c r="L222" s="63">
        <f t="shared" si="139"/>
        <v>0.42132562490774972</v>
      </c>
      <c r="M222" s="63">
        <f t="shared" si="139"/>
        <v>0.37841861585508907</v>
      </c>
      <c r="N222" s="63">
        <f t="shared" si="139"/>
        <v>0.34862953090945181</v>
      </c>
      <c r="O222" s="63">
        <f t="shared" si="139"/>
        <v>0.33043557723864581</v>
      </c>
      <c r="P222" s="63">
        <f t="shared" si="139"/>
        <v>0.34326090584729041</v>
      </c>
      <c r="R222" s="109"/>
      <c r="S222" s="109"/>
      <c r="T222" s="109"/>
    </row>
    <row r="223" spans="1:20" x14ac:dyDescent="0.2">
      <c r="A223" s="77" t="s">
        <v>23</v>
      </c>
      <c r="E223" s="56">
        <f t="shared" ref="E223:P223" si="140">E221+E219+E217+E215</f>
        <v>20.870073059999999</v>
      </c>
      <c r="F223" s="56">
        <f t="shared" si="140"/>
        <v>24.440544030000019</v>
      </c>
      <c r="G223" s="56">
        <f t="shared" si="140"/>
        <v>32.417525540000021</v>
      </c>
      <c r="H223" s="56">
        <f t="shared" si="140"/>
        <v>44.981175590000106</v>
      </c>
      <c r="I223" s="56">
        <f t="shared" si="140"/>
        <v>77.43339250000038</v>
      </c>
      <c r="J223" s="56">
        <f t="shared" si="140"/>
        <v>108.91813550000067</v>
      </c>
      <c r="K223" s="56">
        <f t="shared" si="140"/>
        <v>152.27195906790985</v>
      </c>
      <c r="L223" s="56">
        <f t="shared" si="140"/>
        <v>202.90798090003372</v>
      </c>
      <c r="M223" s="56">
        <f t="shared" si="140"/>
        <v>262.94612656330162</v>
      </c>
      <c r="N223" s="56">
        <f t="shared" si="140"/>
        <v>334.21289824695413</v>
      </c>
      <c r="O223" s="56">
        <f t="shared" si="140"/>
        <v>420.00239168496711</v>
      </c>
      <c r="P223" s="56">
        <f t="shared" si="140"/>
        <v>533.98089225490503</v>
      </c>
      <c r="R223" s="57"/>
      <c r="S223" s="57">
        <f>(P223/J223)^(1/6)-1</f>
        <v>0.30337960128450225</v>
      </c>
      <c r="T223" s="109"/>
    </row>
    <row r="224" spans="1:20" x14ac:dyDescent="0.2">
      <c r="A224" s="74" t="s">
        <v>4</v>
      </c>
      <c r="E224" s="59"/>
      <c r="F224" s="59">
        <f t="shared" ref="F224:P224" si="141">F223/E223-1</f>
        <v>0.17108090420839295</v>
      </c>
      <c r="G224" s="59">
        <f t="shared" si="141"/>
        <v>0.32638314025287252</v>
      </c>
      <c r="H224" s="59">
        <f t="shared" si="141"/>
        <v>0.38755734253984886</v>
      </c>
      <c r="I224" s="59">
        <f t="shared" si="141"/>
        <v>0.72146217799640655</v>
      </c>
      <c r="J224" s="59">
        <f t="shared" si="141"/>
        <v>0.40660420502692207</v>
      </c>
      <c r="K224" s="59">
        <f t="shared" si="141"/>
        <v>0.39804044908489011</v>
      </c>
      <c r="L224" s="59">
        <f t="shared" si="141"/>
        <v>0.33253674637193931</v>
      </c>
      <c r="M224" s="59">
        <f t="shared" si="141"/>
        <v>0.29588853724214403</v>
      </c>
      <c r="N224" s="59">
        <f t="shared" si="141"/>
        <v>0.2710318368827378</v>
      </c>
      <c r="O224" s="59">
        <f t="shared" si="141"/>
        <v>0.25669115072459614</v>
      </c>
      <c r="P224" s="59">
        <f t="shared" si="141"/>
        <v>0.27137583696292444</v>
      </c>
      <c r="R224" s="109"/>
      <c r="S224" s="109"/>
      <c r="T224" s="109"/>
    </row>
    <row r="225" spans="1:20" x14ac:dyDescent="0.2">
      <c r="R225" s="109"/>
      <c r="S225" s="109"/>
      <c r="T225" s="109"/>
    </row>
    <row r="226" spans="1:20" x14ac:dyDescent="0.2">
      <c r="A226" s="67" t="s">
        <v>175</v>
      </c>
      <c r="B226" s="79"/>
      <c r="R226" s="109"/>
      <c r="S226" s="109"/>
      <c r="T226" s="109"/>
    </row>
    <row r="227" spans="1:20" x14ac:dyDescent="0.2">
      <c r="A227" s="85" t="s">
        <v>40</v>
      </c>
      <c r="B227" s="52">
        <v>2016</v>
      </c>
      <c r="C227" s="52">
        <v>2017</v>
      </c>
      <c r="D227" s="52">
        <v>2018</v>
      </c>
      <c r="E227" s="52">
        <v>2019</v>
      </c>
      <c r="F227" s="52">
        <v>2020</v>
      </c>
      <c r="G227" s="52">
        <v>2021</v>
      </c>
      <c r="H227" s="52">
        <v>2022</v>
      </c>
      <c r="I227" s="52">
        <v>2023</v>
      </c>
      <c r="J227" s="52">
        <v>2024</v>
      </c>
      <c r="K227" s="52" t="s">
        <v>42</v>
      </c>
      <c r="L227" s="52" t="s">
        <v>1</v>
      </c>
      <c r="M227" s="52" t="s">
        <v>2</v>
      </c>
      <c r="N227" s="52" t="s">
        <v>43</v>
      </c>
      <c r="O227" s="52" t="s">
        <v>44</v>
      </c>
      <c r="P227" s="52" t="s">
        <v>45</v>
      </c>
      <c r="R227" s="109"/>
      <c r="S227" s="109"/>
      <c r="T227" s="109"/>
    </row>
    <row r="228" spans="1:20" x14ac:dyDescent="0.2">
      <c r="A228" s="32" t="s">
        <v>105</v>
      </c>
      <c r="B228" s="43">
        <v>174.44818486226313</v>
      </c>
      <c r="C228" s="43">
        <v>177.37845671728866</v>
      </c>
      <c r="D228" s="43">
        <v>180.61565633388196</v>
      </c>
      <c r="E228" s="43">
        <v>185.18121463708383</v>
      </c>
      <c r="F228" s="43">
        <v>167.53951807768937</v>
      </c>
      <c r="G228" s="43">
        <v>184.57458469255511</v>
      </c>
      <c r="H228" s="43">
        <v>207.85418485388143</v>
      </c>
      <c r="I228" s="43">
        <v>225.19689088489028</v>
      </c>
      <c r="J228" s="43">
        <v>237.57340343836984</v>
      </c>
      <c r="K228" s="43">
        <v>250.58417239255439</v>
      </c>
      <c r="L228" s="43">
        <v>260.82601587100237</v>
      </c>
      <c r="M228" s="43">
        <v>271.41121559420378</v>
      </c>
      <c r="N228" s="43">
        <v>280.91080179190322</v>
      </c>
      <c r="O228" s="43">
        <v>290.89121460131389</v>
      </c>
      <c r="P228" s="43">
        <v>300.99326826663474</v>
      </c>
      <c r="R228" s="109"/>
      <c r="S228" s="109"/>
      <c r="T228" s="109"/>
    </row>
    <row r="229" spans="1:20" x14ac:dyDescent="0.2">
      <c r="A229" s="32" t="s">
        <v>91</v>
      </c>
      <c r="B229" s="44">
        <v>-3.1795210504455442E-4</v>
      </c>
      <c r="C229" s="44">
        <v>1.4731246652034855E-2</v>
      </c>
      <c r="D229" s="44">
        <v>2.0646724893826018E-2</v>
      </c>
      <c r="E229" s="44">
        <v>2.2771806795136768E-2</v>
      </c>
      <c r="F229" s="44">
        <v>-9.196231598845514E-2</v>
      </c>
      <c r="G229" s="44">
        <v>8.6544979686972431E-2</v>
      </c>
      <c r="H229" s="44">
        <v>5.7436491424990944E-2</v>
      </c>
      <c r="I229" s="44">
        <v>2.3321239682272364E-2</v>
      </c>
      <c r="J229" s="44">
        <v>2.2717361921896783E-2</v>
      </c>
      <c r="K229" s="44">
        <v>2.1206326124045747E-2</v>
      </c>
      <c r="L229" s="44">
        <v>1.9617518457268626E-2</v>
      </c>
      <c r="M229" s="44">
        <v>1.8828000000000001E-2</v>
      </c>
      <c r="N229" s="44">
        <v>1.5935000000000001E-2</v>
      </c>
      <c r="O229" s="44">
        <v>1.5075E-2</v>
      </c>
      <c r="P229" s="44">
        <v>1.4290000000000001E-2</v>
      </c>
      <c r="R229" s="109"/>
      <c r="S229" s="109"/>
      <c r="T229" s="109"/>
    </row>
    <row r="230" spans="1:20" x14ac:dyDescent="0.2">
      <c r="A230" s="32" t="s">
        <v>92</v>
      </c>
      <c r="B230" s="43">
        <v>16194.61787345682</v>
      </c>
      <c r="C230" s="43">
        <v>16503.638402610006</v>
      </c>
      <c r="D230" s="43">
        <v>16834.434669170241</v>
      </c>
      <c r="E230" s="43">
        <v>17273.898128053046</v>
      </c>
      <c r="F230" s="43">
        <v>15674.30673540711</v>
      </c>
      <c r="G230" s="43">
        <v>17554.117441761377</v>
      </c>
      <c r="H230" s="43">
        <v>19937.207918003809</v>
      </c>
      <c r="I230" s="43">
        <v>21661.355181743074</v>
      </c>
      <c r="J230" s="43">
        <v>22928.005163853817</v>
      </c>
      <c r="K230" s="43">
        <v>24264.028710879906</v>
      </c>
      <c r="L230" s="43">
        <v>25342.415520040227</v>
      </c>
      <c r="M230" s="43">
        <v>26466.660404014227</v>
      </c>
      <c r="N230" s="43">
        <v>27492.591211840652</v>
      </c>
      <c r="O230" s="43">
        <v>28373.332800417942</v>
      </c>
      <c r="P230" s="43">
        <v>29472.626576906921</v>
      </c>
      <c r="R230" s="109"/>
      <c r="S230" s="109"/>
      <c r="T230" s="109"/>
    </row>
    <row r="231" spans="1:20" x14ac:dyDescent="0.2">
      <c r="A231" s="32" t="s">
        <v>93</v>
      </c>
      <c r="B231" s="44">
        <v>2.2708910254453942E-3</v>
      </c>
      <c r="C231" s="44">
        <v>2.7908400433285008E-2</v>
      </c>
      <c r="D231" s="44">
        <v>2.4123759095063094E-2</v>
      </c>
      <c r="E231" s="44">
        <v>2.5342070859895927E-2</v>
      </c>
      <c r="F231" s="44">
        <v>-6.262959832622883E-2</v>
      </c>
      <c r="G231" s="44">
        <v>5.1746262944560042E-2</v>
      </c>
      <c r="H231" s="44">
        <v>8.8198764793054496E-2</v>
      </c>
      <c r="I231" s="44">
        <v>1.8198877936820707E-2</v>
      </c>
      <c r="J231" s="44">
        <v>2.0528448679832962E-2</v>
      </c>
      <c r="K231" s="44">
        <v>1.8944333247317199E-2</v>
      </c>
      <c r="L231" s="44">
        <v>1.8456618180514528E-2</v>
      </c>
      <c r="M231" s="44">
        <v>1.8118014793189748E-2</v>
      </c>
      <c r="N231" s="44">
        <v>1.599642344054502E-2</v>
      </c>
      <c r="O231" s="44">
        <v>1.5145467711424365E-2</v>
      </c>
      <c r="P231" s="44">
        <v>1.3325118586587487E-2</v>
      </c>
      <c r="R231" s="109"/>
      <c r="S231" s="109"/>
      <c r="T231" s="109"/>
    </row>
    <row r="232" spans="1:20" x14ac:dyDescent="0.2">
      <c r="A232" s="32" t="s">
        <v>94</v>
      </c>
      <c r="B232" s="44">
        <v>2.6000000000000002E-2</v>
      </c>
      <c r="C232" s="44">
        <v>7.6999999999999999E-2</v>
      </c>
      <c r="D232" s="44">
        <v>-4.5999999999999999E-2</v>
      </c>
      <c r="E232" s="44">
        <v>-8.0000000000000002E-3</v>
      </c>
      <c r="F232" s="44">
        <v>1.7000000000000001E-2</v>
      </c>
      <c r="G232" s="44">
        <v>0.21664621232836836</v>
      </c>
      <c r="H232" s="44">
        <v>0.16361656094516391</v>
      </c>
      <c r="I232" s="44">
        <v>6.5626751508836498E-2</v>
      </c>
      <c r="J232" s="44">
        <v>4.5007378098877525E-2</v>
      </c>
      <c r="K232" s="44">
        <v>7.2516688038753732E-2</v>
      </c>
      <c r="L232" s="44">
        <v>6.9489072259557597E-2</v>
      </c>
      <c r="M232" s="44">
        <v>2.0689367393075312E-2</v>
      </c>
      <c r="N232" s="44">
        <v>2.9254818050541989E-2</v>
      </c>
      <c r="O232" s="44">
        <v>2.6356954110466509E-2</v>
      </c>
      <c r="P232" s="44">
        <v>1.8612176774564948E-2</v>
      </c>
      <c r="R232" s="109"/>
      <c r="S232" s="109"/>
      <c r="T232" s="109"/>
    </row>
    <row r="233" spans="1:20" x14ac:dyDescent="0.2">
      <c r="A233" s="32" t="s">
        <v>95</v>
      </c>
      <c r="B233" s="44">
        <v>2.1095090000000029E-3</v>
      </c>
      <c r="C233" s="44">
        <v>7.2331220000000033E-3</v>
      </c>
      <c r="D233" s="44">
        <v>9.0136150000000043E-3</v>
      </c>
      <c r="E233" s="44">
        <v>8.2351770000000032E-3</v>
      </c>
      <c r="F233" s="44">
        <v>-9.5613262000000004E-2</v>
      </c>
      <c r="G233" s="44">
        <v>-7.0670459000000005E-2</v>
      </c>
      <c r="H233" s="44">
        <v>-2.4555698000000001E-2</v>
      </c>
      <c r="I233" s="44">
        <v>-1.3508173000000002E-2</v>
      </c>
      <c r="J233" s="44">
        <v>1.3389568999999999E-2</v>
      </c>
      <c r="K233" s="44">
        <v>9.0507600000000021E-4</v>
      </c>
      <c r="L233" s="44">
        <v>3.8586325E-3</v>
      </c>
      <c r="M233" s="44">
        <v>-6.4300000000000017E-3</v>
      </c>
      <c r="N233" s="44">
        <v>-7.2200000000000007E-3</v>
      </c>
      <c r="O233" s="44">
        <v>-8.1300000000000001E-3</v>
      </c>
      <c r="P233" s="44">
        <v>-8.2800000000000009E-3</v>
      </c>
    </row>
    <row r="234" spans="1:20" x14ac:dyDescent="0.2">
      <c r="A234" s="32" t="s">
        <v>96</v>
      </c>
      <c r="B234" s="44">
        <v>1.831</v>
      </c>
      <c r="C234" s="44">
        <v>1.821</v>
      </c>
      <c r="D234" s="44">
        <v>1.89</v>
      </c>
      <c r="E234" s="44">
        <v>1.8319999999999999</v>
      </c>
      <c r="F234" s="44">
        <v>2.0939999999999999</v>
      </c>
      <c r="G234" s="44">
        <v>1.9730000000000001</v>
      </c>
      <c r="H234" s="44">
        <v>1.77</v>
      </c>
      <c r="I234" s="44">
        <v>1.639</v>
      </c>
      <c r="J234" s="44">
        <v>1.536</v>
      </c>
      <c r="K234" s="44">
        <v>1.4458449999999998</v>
      </c>
      <c r="L234" s="44">
        <v>1.39463</v>
      </c>
      <c r="M234" s="44">
        <v>1.3427199999999999</v>
      </c>
      <c r="N234" s="44">
        <v>1.3021949999999998</v>
      </c>
      <c r="O234" s="44">
        <v>1.2618450000000001</v>
      </c>
      <c r="P234" s="44">
        <v>1.25068</v>
      </c>
    </row>
    <row r="235" spans="1:20" x14ac:dyDescent="0.2">
      <c r="A235" s="32" t="s">
        <v>97</v>
      </c>
      <c r="B235" s="44">
        <v>6.7030000000000006E-2</v>
      </c>
      <c r="C235" s="44">
        <v>6.3750000000000001E-2</v>
      </c>
      <c r="D235" s="44">
        <v>4.8620000000000003E-2</v>
      </c>
      <c r="E235" s="44">
        <v>2.75E-2</v>
      </c>
      <c r="F235" s="44">
        <v>-2.4220000000000005E-2</v>
      </c>
      <c r="G235" s="44">
        <v>-4.2340000000000003E-2</v>
      </c>
      <c r="H235" s="44">
        <v>-2.0150000000000001E-2</v>
      </c>
      <c r="I235" s="44">
        <v>-1.6629999999999999E-2</v>
      </c>
      <c r="J235" s="44">
        <v>-9.6100000000000005E-3</v>
      </c>
      <c r="K235" s="44">
        <v>-9.5716923076923071E-3</v>
      </c>
      <c r="L235" s="44">
        <v>-8.5078333333333325E-3</v>
      </c>
      <c r="M235" s="44">
        <v>-8.0800000000000004E-3</v>
      </c>
      <c r="N235" s="44">
        <v>-7.8200000000000006E-3</v>
      </c>
      <c r="O235" s="44">
        <v>-8.09E-3</v>
      </c>
      <c r="P235" s="44">
        <v>-8.1200000000000005E-3</v>
      </c>
    </row>
    <row r="236" spans="1:20" x14ac:dyDescent="0.2">
      <c r="A236" s="32" t="s">
        <v>98</v>
      </c>
      <c r="B236" s="44">
        <v>-8.2565757358903369E-3</v>
      </c>
      <c r="C236" s="44">
        <v>1.1212590076056683E-2</v>
      </c>
      <c r="D236" s="44">
        <v>6.2562052376688992E-3</v>
      </c>
      <c r="E236" s="44">
        <v>2.529927481254024E-3</v>
      </c>
      <c r="F236" s="44">
        <v>-1.2479717044385552E-2</v>
      </c>
      <c r="G236" s="44">
        <v>1.2238256278377158E-2</v>
      </c>
      <c r="H236" s="44">
        <v>9.6452611330376956E-2</v>
      </c>
      <c r="I236" s="44">
        <v>3.46480147040511E-2</v>
      </c>
      <c r="J236" s="44">
        <v>2.7414964092638217E-2</v>
      </c>
      <c r="K236" s="44">
        <v>2.4730528089776618E-2</v>
      </c>
      <c r="L236" s="44">
        <v>2.0845415267650894E-2</v>
      </c>
      <c r="M236" s="44">
        <v>2.1353333333333332E-2</v>
      </c>
      <c r="N236" s="44">
        <v>1.8766666666666668E-2</v>
      </c>
      <c r="O236" s="44">
        <v>2.0150000000000001E-2</v>
      </c>
      <c r="P236" s="44">
        <v>2.0150000000000001E-2</v>
      </c>
    </row>
    <row r="237" spans="1:20" x14ac:dyDescent="0.2">
      <c r="A237" s="32" t="s">
        <v>99</v>
      </c>
      <c r="B237" s="43">
        <v>1301.6372474023417</v>
      </c>
      <c r="C237" s="43">
        <v>1307.325704125125</v>
      </c>
      <c r="D237" s="43">
        <v>1259.5339789457582</v>
      </c>
      <c r="E237" s="43">
        <v>1262.8895708729083</v>
      </c>
      <c r="F237" s="43">
        <v>1259.41374871825</v>
      </c>
      <c r="G237" s="43">
        <v>1284.10941667405</v>
      </c>
      <c r="H237" s="43">
        <v>1446.4931916237051</v>
      </c>
      <c r="I237" s="43">
        <v>1531.0194411411305</v>
      </c>
      <c r="J237" s="43">
        <v>1597.289749670957</v>
      </c>
      <c r="K237" s="43">
        <v>1654.3448879194161</v>
      </c>
      <c r="L237" s="43">
        <v>1706.8892772594204</v>
      </c>
      <c r="M237" s="43">
        <v>1753.6077904673996</v>
      </c>
      <c r="N237" s="43">
        <v>1799.6748175009236</v>
      </c>
      <c r="O237" s="43">
        <v>1843.8442253777362</v>
      </c>
      <c r="P237" s="43">
        <v>1890.5542781003899</v>
      </c>
    </row>
    <row r="238" spans="1:20" x14ac:dyDescent="0.2">
      <c r="A238" s="32" t="s">
        <v>100</v>
      </c>
      <c r="B238" s="44">
        <v>-3.1005871132564033E-2</v>
      </c>
      <c r="C238" s="44">
        <v>4.3702319783300858E-3</v>
      </c>
      <c r="D238" s="44">
        <v>-3.655686186584195E-2</v>
      </c>
      <c r="E238" s="44">
        <v>2.6641535546017003E-3</v>
      </c>
      <c r="F238" s="44">
        <v>-2.7522771862434903E-3</v>
      </c>
      <c r="G238" s="44">
        <v>1.96088600596378E-2</v>
      </c>
      <c r="H238" s="44">
        <v>0.12645633840941883</v>
      </c>
      <c r="I238" s="44">
        <v>5.8435290263996187E-2</v>
      </c>
      <c r="J238" s="44">
        <v>4.3285086230147707E-2</v>
      </c>
      <c r="K238" s="44">
        <v>3.5719967689151311E-2</v>
      </c>
      <c r="L238" s="44">
        <v>3.1761448125902314E-2</v>
      </c>
      <c r="M238" s="44">
        <v>2.7370558729497896E-2</v>
      </c>
      <c r="N238" s="44">
        <v>2.6269857652289286E-2</v>
      </c>
      <c r="O238" s="44">
        <v>2.4542993793816192E-2</v>
      </c>
      <c r="P238" s="44">
        <v>2.5332971234641288E-2</v>
      </c>
    </row>
    <row r="239" spans="1:20" x14ac:dyDescent="0.2">
      <c r="A239" s="32" t="s">
        <v>101</v>
      </c>
      <c r="B239" s="44">
        <v>-2.2938690431503539E-2</v>
      </c>
      <c r="C239" s="44">
        <v>-6.7664882388499548E-3</v>
      </c>
      <c r="D239" s="44">
        <v>-4.2546885058362245E-2</v>
      </c>
      <c r="E239" s="44">
        <v>1.3388734806651925E-4</v>
      </c>
      <c r="F239" s="44">
        <v>9.8503696845884114E-3</v>
      </c>
      <c r="G239" s="44">
        <v>7.2814910279717093E-3</v>
      </c>
      <c r="H239" s="44">
        <v>2.7364362826987065E-2</v>
      </c>
      <c r="I239" s="44">
        <v>2.2990693667690687E-2</v>
      </c>
      <c r="J239" s="44">
        <v>1.5446652708163811E-2</v>
      </c>
      <c r="K239" s="44">
        <v>1.072422387948202E-2</v>
      </c>
      <c r="L239" s="44">
        <v>1.0693130120380978E-2</v>
      </c>
      <c r="M239" s="44">
        <v>5.8914238587017831E-3</v>
      </c>
      <c r="N239" s="44">
        <v>7.3649749556221611E-3</v>
      </c>
      <c r="O239" s="44">
        <v>4.3062233924580084E-3</v>
      </c>
      <c r="P239" s="44">
        <v>5.080597201040149E-3</v>
      </c>
    </row>
    <row r="240" spans="1:20" x14ac:dyDescent="0.2">
      <c r="A240" s="32" t="s">
        <v>102</v>
      </c>
      <c r="B240" s="44">
        <v>-2.8508576982847478E-3</v>
      </c>
      <c r="C240" s="44">
        <v>1.616858025853074E-2</v>
      </c>
      <c r="D240" s="44">
        <v>-1.3808590478616933E-2</v>
      </c>
      <c r="E240" s="44">
        <v>7.211165124581842E-2</v>
      </c>
      <c r="F240" s="44">
        <v>-3.2943692776129407E-2</v>
      </c>
      <c r="G240" s="44">
        <v>9.2027207000000555E-2</v>
      </c>
      <c r="H240" s="44">
        <v>3.5042689188236054E-3</v>
      </c>
      <c r="I240" s="44">
        <v>3.3263750643329537E-2</v>
      </c>
      <c r="J240" s="44">
        <v>1.4938811024431953E-2</v>
      </c>
      <c r="K240" s="44">
        <v>1.9983399457590201E-2</v>
      </c>
      <c r="L240" s="44">
        <v>2.4351736514167888E-2</v>
      </c>
      <c r="M240" s="44">
        <v>1.5346245579894724E-2</v>
      </c>
      <c r="N240" s="44">
        <v>1.2768254359452502E-2</v>
      </c>
      <c r="O240" s="44">
        <v>9.9871337049641795E-3</v>
      </c>
      <c r="P240" s="44">
        <v>8.0674175675574666E-3</v>
      </c>
    </row>
    <row r="241" spans="1:16" x14ac:dyDescent="0.2">
      <c r="A241" s="32" t="s">
        <v>103</v>
      </c>
      <c r="B241" s="44">
        <v>0.2389193843502305</v>
      </c>
      <c r="C241" s="44">
        <v>0.21838917524231374</v>
      </c>
      <c r="D241" s="44">
        <v>0.19739241181401115</v>
      </c>
      <c r="E241" s="44">
        <v>0.17896147459555661</v>
      </c>
      <c r="F241" s="44">
        <v>0.176250610437933</v>
      </c>
      <c r="G241" s="44">
        <v>0.14779841192344578</v>
      </c>
      <c r="H241" s="44">
        <v>0.12463059576682042</v>
      </c>
      <c r="I241" s="44">
        <v>0.11085151500984081</v>
      </c>
      <c r="J241" s="44">
        <v>0.10114058522203166</v>
      </c>
      <c r="K241" s="44">
        <v>9.4042578367749458E-2</v>
      </c>
      <c r="L241" s="44">
        <v>9.0178982317832765E-2</v>
      </c>
      <c r="M241" s="44">
        <v>8.497527531765732E-2</v>
      </c>
      <c r="N241" s="44">
        <v>8.4994379380398222E-2</v>
      </c>
      <c r="O241" s="44">
        <v>8.3607768494422974E-2</v>
      </c>
      <c r="P241" s="44">
        <v>8.2838543311792814E-2</v>
      </c>
    </row>
    <row r="242" spans="1:16" x14ac:dyDescent="0.2">
      <c r="A242" s="32" t="s">
        <v>104</v>
      </c>
      <c r="B242" s="43">
        <v>10771.985249999994</v>
      </c>
      <c r="C242" s="43">
        <v>10747.839499999995</v>
      </c>
      <c r="D242" s="43">
        <v>10728.940999999995</v>
      </c>
      <c r="E242" s="43">
        <v>10720.290999999994</v>
      </c>
      <c r="F242" s="43">
        <v>10688.799249999995</v>
      </c>
      <c r="G242" s="43">
        <v>10514.603499999994</v>
      </c>
      <c r="H242" s="43">
        <v>10425.440999999995</v>
      </c>
      <c r="I242" s="43">
        <v>10396.251249999994</v>
      </c>
      <c r="J242" s="43">
        <v>10361.712749999995</v>
      </c>
      <c r="K242" s="43">
        <v>10327.393499999995</v>
      </c>
      <c r="L242" s="43">
        <v>10292.073999999995</v>
      </c>
      <c r="M242" s="43">
        <v>10254.834249999994</v>
      </c>
      <c r="N242" s="43">
        <v>10217.690999999995</v>
      </c>
      <c r="O242" s="43">
        <v>10180.513999999994</v>
      </c>
      <c r="P242" s="43">
        <v>10143.802655504936</v>
      </c>
    </row>
    <row r="243" spans="1:16" x14ac:dyDescent="0.2">
      <c r="A243" s="32" t="s">
        <v>106</v>
      </c>
      <c r="B243" s="43">
        <v>1.0069159403274957</v>
      </c>
      <c r="C243" s="43">
        <v>0.64617072373204065</v>
      </c>
      <c r="D243" s="43">
        <v>0.75354351552093723</v>
      </c>
      <c r="E243" s="43">
        <v>1.1536426745834814</v>
      </c>
      <c r="F243" s="43">
        <v>3.0895333333071462</v>
      </c>
      <c r="G243" s="43">
        <v>4.6041530680788529</v>
      </c>
      <c r="H243" s="43">
        <v>6.1591955060577437</v>
      </c>
      <c r="I243" s="43">
        <v>10.816739384828505</v>
      </c>
      <c r="J243" s="43">
        <v>6.7277842987695076</v>
      </c>
      <c r="K243" s="43">
        <v>5.8680970132918562</v>
      </c>
      <c r="L243" s="43">
        <v>4.3588999066018213</v>
      </c>
      <c r="M243" s="43">
        <v>5.034627576932647</v>
      </c>
      <c r="N243" s="43">
        <v>4.36528657921437</v>
      </c>
      <c r="O243" s="43">
        <v>3.2606295752120671</v>
      </c>
      <c r="P243" s="43">
        <v>3.275474985869558</v>
      </c>
    </row>
    <row r="244" spans="1:16" x14ac:dyDescent="0.2">
      <c r="A244" s="32" t="s">
        <v>107</v>
      </c>
      <c r="B244" s="44">
        <v>5.7720058315454152E-3</v>
      </c>
      <c r="C244" s="44">
        <v>3.6428929177229675E-3</v>
      </c>
      <c r="D244" s="44">
        <v>4.1720830343076904E-3</v>
      </c>
      <c r="E244" s="44">
        <v>6.229804015727934E-3</v>
      </c>
      <c r="F244" s="44">
        <v>1.8440624449417992E-2</v>
      </c>
      <c r="G244" s="44">
        <v>2.4944675214889234E-2</v>
      </c>
      <c r="H244" s="44">
        <v>2.9632290109470594E-2</v>
      </c>
      <c r="I244" s="44">
        <v>4.8032365554982276E-2</v>
      </c>
      <c r="J244" s="44">
        <v>2.8318760439506846E-2</v>
      </c>
      <c r="K244" s="44">
        <v>2.3417668232050777E-2</v>
      </c>
      <c r="L244" s="44">
        <v>1.6711906180239388E-2</v>
      </c>
      <c r="M244" s="44">
        <v>1.8549814037383375E-2</v>
      </c>
      <c r="N244" s="44">
        <v>1.5539760491118972E-2</v>
      </c>
      <c r="O244" s="44">
        <v>1.1209102962016163E-2</v>
      </c>
      <c r="P244" s="44">
        <v>1.0882220073333932E-2</v>
      </c>
    </row>
    <row r="245" spans="1:16" x14ac:dyDescent="0.2">
      <c r="A245" s="32" t="s">
        <v>108</v>
      </c>
      <c r="B245" s="43">
        <v>799.84628531539988</v>
      </c>
      <c r="C245" s="43">
        <v>723.17418333030002</v>
      </c>
      <c r="D245" s="43">
        <v>708.69899999999996</v>
      </c>
      <c r="E245" s="43">
        <v>717.67999999999984</v>
      </c>
      <c r="F245" s="43">
        <v>711.17099999999994</v>
      </c>
      <c r="G245" s="43">
        <v>736.25549999999987</v>
      </c>
      <c r="H245" s="43">
        <v>767.62299999999993</v>
      </c>
      <c r="I245" s="43">
        <v>791.30499999999984</v>
      </c>
      <c r="J245" s="43">
        <v>810.0129482253069</v>
      </c>
      <c r="K245" s="43">
        <v>828.16800081941187</v>
      </c>
      <c r="L245" s="43">
        <v>835.39844641656748</v>
      </c>
      <c r="M245" s="43">
        <v>842.92756683331879</v>
      </c>
      <c r="N245" s="43">
        <v>849.80624863569494</v>
      </c>
      <c r="O245" s="43">
        <v>854.4513146993271</v>
      </c>
      <c r="P245" s="43">
        <v>859.35084177061378</v>
      </c>
    </row>
    <row r="246" spans="1:16" x14ac:dyDescent="0.2">
      <c r="A246" s="32" t="s">
        <v>109</v>
      </c>
      <c r="B246" s="44">
        <v>4.5238101728584112E-3</v>
      </c>
      <c r="C246" s="44">
        <v>-9.5858546064092942E-2</v>
      </c>
      <c r="D246" s="44">
        <v>-2.0016178209847246E-2</v>
      </c>
      <c r="E246" s="44">
        <v>1.2672516823079905E-2</v>
      </c>
      <c r="F246" s="44">
        <v>-9.0695017277895307E-3</v>
      </c>
      <c r="G246" s="44">
        <v>3.5272107552192011E-2</v>
      </c>
      <c r="H246" s="44">
        <v>4.2604095996566338E-2</v>
      </c>
      <c r="I246" s="44">
        <v>3.0851081846166695E-2</v>
      </c>
      <c r="J246" s="44">
        <v>2.3641893107344325E-2</v>
      </c>
      <c r="K246" s="44">
        <v>2.2413286891131312E-2</v>
      </c>
      <c r="L246" s="44">
        <v>8.7306507737578976E-3</v>
      </c>
      <c r="M246" s="44">
        <v>9.0126100294385392E-3</v>
      </c>
      <c r="N246" s="44">
        <v>8.1604660626033443E-3</v>
      </c>
      <c r="O246" s="44">
        <v>5.4660295462518604E-3</v>
      </c>
      <c r="P246" s="44">
        <v>5.7341208176511227E-3</v>
      </c>
    </row>
    <row r="247" spans="1:16" x14ac:dyDescent="0.2">
      <c r="A247" s="32" t="s">
        <v>110</v>
      </c>
      <c r="B247" s="136">
        <v>0.10000000000000005</v>
      </c>
      <c r="C247" s="136">
        <v>0.10000000000000005</v>
      </c>
      <c r="D247" s="136">
        <v>8.2999999999999977E-2</v>
      </c>
      <c r="E247" s="136">
        <v>8.3999999999999964E-2</v>
      </c>
      <c r="F247" s="136">
        <v>8.2999999999999963E-2</v>
      </c>
      <c r="G247" s="136">
        <v>0.12146765499999987</v>
      </c>
      <c r="H247" s="136">
        <v>0.20666262199999949</v>
      </c>
      <c r="I247" s="136">
        <v>0.17679920799999965</v>
      </c>
      <c r="J247" s="136">
        <v>0.16881438199999968</v>
      </c>
      <c r="K247" s="136">
        <v>0.16250997691960475</v>
      </c>
      <c r="L247" s="136">
        <v>0.15937088057275198</v>
      </c>
      <c r="M247" s="136">
        <v>0.16248594464320901</v>
      </c>
      <c r="N247" s="136">
        <v>0.1662382311786148</v>
      </c>
      <c r="O247" s="136">
        <v>0.17039510822682766</v>
      </c>
      <c r="P247" s="136">
        <v>0.17477425976421387</v>
      </c>
    </row>
    <row r="248" spans="1:16" x14ac:dyDescent="0.2">
      <c r="A248" s="32" t="s">
        <v>111</v>
      </c>
      <c r="B248" s="44">
        <v>-2.4034296093164986E-3</v>
      </c>
      <c r="C248" s="44">
        <v>0</v>
      </c>
      <c r="D248" s="44">
        <v>-0.1700000000000006</v>
      </c>
      <c r="E248" s="44">
        <v>1.2048192771084265E-2</v>
      </c>
      <c r="F248" s="44">
        <v>-1.1904761904761973E-2</v>
      </c>
      <c r="G248" s="44">
        <v>0.46346572289156529</v>
      </c>
      <c r="H248" s="44">
        <v>0.7013798611655071</v>
      </c>
      <c r="I248" s="44">
        <v>-0.14450321839040592</v>
      </c>
      <c r="J248" s="44">
        <v>-4.5163245301415578E-2</v>
      </c>
      <c r="K248" s="44">
        <v>-3.7345189466113982E-2</v>
      </c>
      <c r="L248" s="44">
        <v>-1.9316330026960205E-2</v>
      </c>
      <c r="M248" s="44">
        <v>1.9546005263082034E-2</v>
      </c>
      <c r="N248" s="44">
        <v>2.3092991480864189E-2</v>
      </c>
      <c r="O248" s="44">
        <v>2.5005541858457825E-2</v>
      </c>
      <c r="P248" s="44">
        <v>2.569998389599748E-2</v>
      </c>
    </row>
    <row r="250" spans="1:16" x14ac:dyDescent="0.2">
      <c r="A250" s="86" t="s">
        <v>77</v>
      </c>
    </row>
    <row r="251" spans="1:16" x14ac:dyDescent="0.2">
      <c r="A251" s="86" t="s">
        <v>41</v>
      </c>
    </row>
    <row r="252" spans="1:16" x14ac:dyDescent="0.2">
      <c r="A252" s="86" t="s">
        <v>81</v>
      </c>
    </row>
  </sheetData>
  <pageMargins left="0.7" right="0.7" top="0.75" bottom="0.75" header="0.3" footer="0.3"/>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21233-D332-4BFD-97FD-EA61A5D4BEAE}">
  <sheetPr>
    <tabColor rgb="FFFF2D9B"/>
  </sheetPr>
  <dimension ref="A1:U246"/>
  <sheetViews>
    <sheetView zoomScale="85" zoomScaleNormal="85" workbookViewId="0">
      <pane ySplit="1" topLeftCell="A4" activePane="bottomLeft" state="frozen"/>
      <selection pane="bottomLeft" activeCell="T37" sqref="T37"/>
    </sheetView>
  </sheetViews>
  <sheetFormatPr defaultColWidth="8.875" defaultRowHeight="15" x14ac:dyDescent="0.2"/>
  <cols>
    <col min="1" max="1" width="68.47265625" style="47" bestFit="1" customWidth="1"/>
    <col min="2" max="16" width="13.046875" style="47" customWidth="1"/>
    <col min="17" max="17" width="8.875" style="47"/>
    <col min="18" max="19" width="24.48046875" style="47" customWidth="1"/>
    <col min="20" max="16384" width="8.875" style="47"/>
  </cols>
  <sheetData>
    <row r="1" spans="1:21" s="48" customFormat="1" ht="24" customHeight="1" x14ac:dyDescent="0.2">
      <c r="A1" s="51" t="s">
        <v>0</v>
      </c>
      <c r="B1" s="52">
        <v>2016</v>
      </c>
      <c r="C1" s="52">
        <v>2017</v>
      </c>
      <c r="D1" s="52">
        <v>2018</v>
      </c>
      <c r="E1" s="52">
        <v>2019</v>
      </c>
      <c r="F1" s="52">
        <v>2020</v>
      </c>
      <c r="G1" s="52">
        <v>2021</v>
      </c>
      <c r="H1" s="52">
        <v>2022</v>
      </c>
      <c r="I1" s="52">
        <v>2023</v>
      </c>
      <c r="J1" s="52">
        <v>2024</v>
      </c>
      <c r="K1" s="52" t="s">
        <v>42</v>
      </c>
      <c r="L1" s="52" t="s">
        <v>1</v>
      </c>
      <c r="M1" s="52" t="s">
        <v>2</v>
      </c>
      <c r="N1" s="52" t="s">
        <v>43</v>
      </c>
      <c r="O1" s="52" t="s">
        <v>44</v>
      </c>
      <c r="P1" s="52" t="s">
        <v>45</v>
      </c>
      <c r="Q1" s="52"/>
      <c r="R1" s="53" t="s">
        <v>78</v>
      </c>
      <c r="S1" s="53" t="s">
        <v>79</v>
      </c>
      <c r="T1" s="54"/>
      <c r="U1" s="54"/>
    </row>
    <row r="2" spans="1:21" s="49" customFormat="1" x14ac:dyDescent="0.2">
      <c r="A2" s="55" t="s">
        <v>3</v>
      </c>
      <c r="B2" s="56">
        <f t="shared" ref="B2:P2" si="0">B4+B6+B8</f>
        <v>5099.4372449776001</v>
      </c>
      <c r="C2" s="56">
        <f t="shared" si="0"/>
        <v>5299.2580289705993</v>
      </c>
      <c r="D2" s="56">
        <f t="shared" si="0"/>
        <v>5507.3186315593975</v>
      </c>
      <c r="E2" s="56">
        <f t="shared" si="0"/>
        <v>5840.0347587841979</v>
      </c>
      <c r="F2" s="56">
        <f t="shared" si="0"/>
        <v>6019.9458052983991</v>
      </c>
      <c r="G2" s="56">
        <f t="shared" si="0"/>
        <v>6439.3779561935989</v>
      </c>
      <c r="H2" s="56">
        <f t="shared" si="0"/>
        <v>6804.8176010159968</v>
      </c>
      <c r="I2" s="56">
        <f t="shared" si="0"/>
        <v>7327.0025591399972</v>
      </c>
      <c r="J2" s="56">
        <f t="shared" si="0"/>
        <v>7908.8848850919967</v>
      </c>
      <c r="K2" s="56">
        <f t="shared" si="0"/>
        <v>8340.9925284962192</v>
      </c>
      <c r="L2" s="56">
        <f t="shared" si="0"/>
        <v>8811.4644094398573</v>
      </c>
      <c r="M2" s="56">
        <f t="shared" si="0"/>
        <v>9249.107603344135</v>
      </c>
      <c r="N2" s="56">
        <f t="shared" si="0"/>
        <v>9792.8526114684573</v>
      </c>
      <c r="O2" s="56">
        <f t="shared" si="0"/>
        <v>10404.252831102938</v>
      </c>
      <c r="P2" s="56">
        <f t="shared" si="0"/>
        <v>11004.717928532533</v>
      </c>
      <c r="R2" s="57">
        <f>(J2/D2)^(1/6)-1</f>
        <v>6.2174428637766344E-2</v>
      </c>
      <c r="S2" s="57">
        <f>(P2/J2)^(1/6)-1</f>
        <v>5.66000092356993E-2</v>
      </c>
    </row>
    <row r="3" spans="1:21" s="49" customFormat="1" x14ac:dyDescent="0.2">
      <c r="A3" s="58" t="s">
        <v>4</v>
      </c>
      <c r="B3" s="59"/>
      <c r="C3" s="59">
        <f t="shared" ref="C3:P3" si="1">C2/B2-1</f>
        <v>3.9184869701024638E-2</v>
      </c>
      <c r="D3" s="59">
        <f t="shared" si="1"/>
        <v>3.9262213964926573E-2</v>
      </c>
      <c r="E3" s="59">
        <f t="shared" si="1"/>
        <v>6.041345153305433E-2</v>
      </c>
      <c r="F3" s="59">
        <f t="shared" si="1"/>
        <v>3.0806502691373749E-2</v>
      </c>
      <c r="G3" s="59">
        <f t="shared" si="1"/>
        <v>6.9673742000474492E-2</v>
      </c>
      <c r="H3" s="59">
        <f t="shared" si="1"/>
        <v>5.6750768056859746E-2</v>
      </c>
      <c r="I3" s="59">
        <f t="shared" si="1"/>
        <v>7.6737539305393732E-2</v>
      </c>
      <c r="J3" s="59">
        <f t="shared" si="1"/>
        <v>7.9416148862420766E-2</v>
      </c>
      <c r="K3" s="59">
        <f t="shared" si="1"/>
        <v>5.4635722947331322E-2</v>
      </c>
      <c r="L3" s="59">
        <f t="shared" si="1"/>
        <v>5.6404783883490461E-2</v>
      </c>
      <c r="M3" s="59">
        <f t="shared" si="1"/>
        <v>4.9667475639511682E-2</v>
      </c>
      <c r="N3" s="59">
        <f t="shared" si="1"/>
        <v>5.8788915800668695E-2</v>
      </c>
      <c r="O3" s="59">
        <f t="shared" si="1"/>
        <v>6.2433311711284967E-2</v>
      </c>
      <c r="P3" s="59">
        <f t="shared" si="1"/>
        <v>5.771342807381008E-2</v>
      </c>
      <c r="R3" s="60"/>
      <c r="S3" s="60"/>
    </row>
    <row r="4" spans="1:21" s="50" customFormat="1" x14ac:dyDescent="0.2">
      <c r="A4" s="61" t="s">
        <v>5</v>
      </c>
      <c r="B4" s="43">
        <v>1088.8779030000001</v>
      </c>
      <c r="C4" s="43">
        <v>1151.0288150000001</v>
      </c>
      <c r="D4" s="43">
        <v>1202.7615599999999</v>
      </c>
      <c r="E4" s="43">
        <v>1270.2152048175706</v>
      </c>
      <c r="F4" s="43">
        <v>1324.9868661876631</v>
      </c>
      <c r="G4" s="43">
        <v>1388.4517382269134</v>
      </c>
      <c r="H4" s="43">
        <v>1456.46776114215</v>
      </c>
      <c r="I4" s="43">
        <v>1582.6503921618648</v>
      </c>
      <c r="J4" s="43">
        <v>1716.6335663261807</v>
      </c>
      <c r="K4" s="43">
        <v>1825.1557937154173</v>
      </c>
      <c r="L4" s="43">
        <v>1946.5849279522727</v>
      </c>
      <c r="M4" s="43">
        <v>2073.6731279465239</v>
      </c>
      <c r="N4" s="43">
        <v>2217.6299241667789</v>
      </c>
      <c r="O4" s="43">
        <v>2381.3670348395895</v>
      </c>
      <c r="P4" s="43">
        <v>2552.1423358639809</v>
      </c>
      <c r="R4" s="57">
        <f>(J4/D4)^(1/6)-1</f>
        <v>6.1083782240905604E-2</v>
      </c>
      <c r="S4" s="57">
        <f>(P4/J4)^(1/6)-1</f>
        <v>6.8327846364552247E-2</v>
      </c>
    </row>
    <row r="5" spans="1:21" s="50" customFormat="1" x14ac:dyDescent="0.2">
      <c r="A5" s="62" t="s">
        <v>4</v>
      </c>
      <c r="B5" s="63"/>
      <c r="C5" s="63">
        <f t="shared" ref="C5:P5" si="2">C4/B4-1</f>
        <v>5.7077944027302152E-2</v>
      </c>
      <c r="D5" s="63">
        <f t="shared" si="2"/>
        <v>4.4944787068601499E-2</v>
      </c>
      <c r="E5" s="63">
        <f t="shared" si="2"/>
        <v>5.6082308464838748E-2</v>
      </c>
      <c r="F5" s="63">
        <f t="shared" si="2"/>
        <v>4.3119985623191193E-2</v>
      </c>
      <c r="G5" s="63">
        <f t="shared" si="2"/>
        <v>4.789849141814928E-2</v>
      </c>
      <c r="H5" s="63">
        <f t="shared" si="2"/>
        <v>4.898695506845252E-2</v>
      </c>
      <c r="I5" s="63">
        <f t="shared" si="2"/>
        <v>8.6636061838240463E-2</v>
      </c>
      <c r="J5" s="63">
        <f t="shared" si="2"/>
        <v>8.4657467516434881E-2</v>
      </c>
      <c r="K5" s="63">
        <f t="shared" si="2"/>
        <v>6.3218050443629714E-2</v>
      </c>
      <c r="L5" s="63">
        <f t="shared" si="2"/>
        <v>6.6530832411662466E-2</v>
      </c>
      <c r="M5" s="63">
        <f t="shared" si="2"/>
        <v>6.5287775616316379E-2</v>
      </c>
      <c r="N5" s="63">
        <f t="shared" si="2"/>
        <v>6.9421161069300075E-2</v>
      </c>
      <c r="O5" s="63">
        <f t="shared" si="2"/>
        <v>7.3834280863760871E-2</v>
      </c>
      <c r="P5" s="63">
        <f t="shared" si="2"/>
        <v>7.1713137255171144E-2</v>
      </c>
      <c r="R5" s="64"/>
      <c r="S5" s="64"/>
    </row>
    <row r="6" spans="1:21" s="50" customFormat="1" x14ac:dyDescent="0.2">
      <c r="A6" s="61" t="s">
        <v>6</v>
      </c>
      <c r="B6" s="43">
        <v>2021.5963139</v>
      </c>
      <c r="C6" s="43">
        <v>2069.6314228999995</v>
      </c>
      <c r="D6" s="43">
        <v>2141.7343223999992</v>
      </c>
      <c r="E6" s="43">
        <v>2293.3671087999996</v>
      </c>
      <c r="F6" s="43">
        <v>2410.8101087</v>
      </c>
      <c r="G6" s="43">
        <v>2712.4784470999998</v>
      </c>
      <c r="H6" s="43">
        <v>2879.4063466999992</v>
      </c>
      <c r="I6" s="43">
        <v>3093.9146097999987</v>
      </c>
      <c r="J6" s="43">
        <v>3349.8864081999982</v>
      </c>
      <c r="K6" s="43">
        <v>3502.4852286273622</v>
      </c>
      <c r="L6" s="43">
        <v>3664.4887487816859</v>
      </c>
      <c r="M6" s="43">
        <v>3777.3053339423545</v>
      </c>
      <c r="N6" s="43">
        <v>3944.902182332205</v>
      </c>
      <c r="O6" s="43">
        <v>4124.8602866600104</v>
      </c>
      <c r="P6" s="43">
        <v>4269.9578870177738</v>
      </c>
      <c r="R6" s="57">
        <f>(J6/D6)^(1/6)-1</f>
        <v>7.7401098560052173E-2</v>
      </c>
      <c r="S6" s="57">
        <f>(P6/J6)^(1/6)-1</f>
        <v>4.1275344404802849E-2</v>
      </c>
    </row>
    <row r="7" spans="1:21" s="50" customFormat="1" x14ac:dyDescent="0.2">
      <c r="A7" s="62" t="s">
        <v>4</v>
      </c>
      <c r="B7" s="63"/>
      <c r="C7" s="63">
        <f t="shared" ref="C7:P7" si="3">C6/B6-1</f>
        <v>2.3760979711786145E-2</v>
      </c>
      <c r="D7" s="63">
        <f t="shared" si="3"/>
        <v>3.4838521826735747E-2</v>
      </c>
      <c r="E7" s="63">
        <f t="shared" si="3"/>
        <v>7.0799064484376784E-2</v>
      </c>
      <c r="F7" s="63">
        <f t="shared" si="3"/>
        <v>5.1209856219422312E-2</v>
      </c>
      <c r="G7" s="63">
        <f t="shared" si="3"/>
        <v>0.12513152210178458</v>
      </c>
      <c r="H7" s="63">
        <f t="shared" si="3"/>
        <v>6.1540728472319284E-2</v>
      </c>
      <c r="I7" s="63">
        <f t="shared" si="3"/>
        <v>7.4497391917553113E-2</v>
      </c>
      <c r="J7" s="63">
        <f t="shared" si="3"/>
        <v>8.2733957035920458E-2</v>
      </c>
      <c r="K7" s="63">
        <f t="shared" si="3"/>
        <v>4.5553431320484838E-2</v>
      </c>
      <c r="L7" s="63">
        <f t="shared" si="3"/>
        <v>4.625387677018522E-2</v>
      </c>
      <c r="M7" s="63">
        <f t="shared" si="3"/>
        <v>3.0786446048763683E-2</v>
      </c>
      <c r="N7" s="63">
        <f t="shared" si="3"/>
        <v>4.4369420412972094E-2</v>
      </c>
      <c r="O7" s="63">
        <f t="shared" si="3"/>
        <v>4.5617887595229334E-2</v>
      </c>
      <c r="P7" s="63">
        <f t="shared" si="3"/>
        <v>3.5176367264369235E-2</v>
      </c>
      <c r="R7" s="64"/>
      <c r="S7" s="64"/>
    </row>
    <row r="8" spans="1:21" s="50" customFormat="1" x14ac:dyDescent="0.2">
      <c r="A8" s="61" t="s">
        <v>7</v>
      </c>
      <c r="B8" s="43">
        <v>1988.9630280776</v>
      </c>
      <c r="C8" s="43">
        <v>2078.5977910705997</v>
      </c>
      <c r="D8" s="43">
        <v>2162.8227491593989</v>
      </c>
      <c r="E8" s="43">
        <v>2276.4524451666275</v>
      </c>
      <c r="F8" s="43">
        <v>2284.1488304107361</v>
      </c>
      <c r="G8" s="43">
        <v>2338.447770866685</v>
      </c>
      <c r="H8" s="43">
        <v>2468.9434931738483</v>
      </c>
      <c r="I8" s="43">
        <v>2650.4375571781334</v>
      </c>
      <c r="J8" s="43">
        <v>2842.3649105658178</v>
      </c>
      <c r="K8" s="43">
        <v>3013.3515061534395</v>
      </c>
      <c r="L8" s="43">
        <v>3200.3907327058987</v>
      </c>
      <c r="M8" s="43">
        <v>3398.129141455257</v>
      </c>
      <c r="N8" s="43">
        <v>3630.3205049694725</v>
      </c>
      <c r="O8" s="43">
        <v>3898.0255096033384</v>
      </c>
      <c r="P8" s="43">
        <v>4182.6177056507786</v>
      </c>
      <c r="R8" s="57">
        <f>(J8/D8)^(1/6)-1</f>
        <v>4.6589766754001172E-2</v>
      </c>
      <c r="S8" s="57">
        <f>(P8/J8)^(1/6)-1</f>
        <v>6.6501301428693704E-2</v>
      </c>
    </row>
    <row r="9" spans="1:21" s="50" customFormat="1" x14ac:dyDescent="0.2">
      <c r="A9" s="62" t="s">
        <v>4</v>
      </c>
      <c r="B9" s="63"/>
      <c r="C9" s="63">
        <f t="shared" ref="C9:P9" si="4">C8/B8-1</f>
        <v>4.5066078015353783E-2</v>
      </c>
      <c r="D9" s="63">
        <f t="shared" si="4"/>
        <v>4.0520084477439156E-2</v>
      </c>
      <c r="E9" s="63">
        <f t="shared" si="4"/>
        <v>5.2537683012346736E-2</v>
      </c>
      <c r="F9" s="63">
        <f t="shared" si="4"/>
        <v>3.380868008224569E-3</v>
      </c>
      <c r="G9" s="63">
        <f t="shared" si="4"/>
        <v>2.3772067622312099E-2</v>
      </c>
      <c r="H9" s="63">
        <f t="shared" si="4"/>
        <v>5.5804420322288495E-2</v>
      </c>
      <c r="I9" s="63">
        <f t="shared" si="4"/>
        <v>7.3510821331505216E-2</v>
      </c>
      <c r="J9" s="63">
        <f t="shared" si="4"/>
        <v>7.2413459757952436E-2</v>
      </c>
      <c r="K9" s="63">
        <f t="shared" si="4"/>
        <v>6.0156454560784667E-2</v>
      </c>
      <c r="L9" s="63">
        <f t="shared" si="4"/>
        <v>6.207016545215982E-2</v>
      </c>
      <c r="M9" s="63">
        <f t="shared" si="4"/>
        <v>6.1785708453846233E-2</v>
      </c>
      <c r="N9" s="63">
        <f t="shared" si="4"/>
        <v>6.8329175804889841E-2</v>
      </c>
      <c r="O9" s="63">
        <f t="shared" si="4"/>
        <v>7.3741424281247303E-2</v>
      </c>
      <c r="P9" s="63">
        <f t="shared" si="4"/>
        <v>7.3009321089948509E-2</v>
      </c>
      <c r="R9" s="64"/>
      <c r="S9" s="64"/>
    </row>
    <row r="10" spans="1:21" s="50" customFormat="1" ht="17.100000000000001" customHeight="1" x14ac:dyDescent="0.2">
      <c r="B10" s="65"/>
      <c r="C10" s="65"/>
      <c r="D10" s="65"/>
      <c r="E10" s="65"/>
      <c r="F10" s="65"/>
      <c r="G10" s="65"/>
      <c r="H10" s="65"/>
      <c r="I10" s="65"/>
      <c r="J10" s="65"/>
      <c r="K10" s="65"/>
      <c r="L10" s="65"/>
      <c r="M10" s="65"/>
      <c r="N10" s="65"/>
      <c r="O10" s="65"/>
      <c r="P10" s="65"/>
      <c r="R10" s="64"/>
      <c r="S10" s="64"/>
    </row>
    <row r="11" spans="1:21" s="50" customFormat="1" x14ac:dyDescent="0.2">
      <c r="A11" s="55" t="s">
        <v>8</v>
      </c>
      <c r="B11" s="56">
        <v>670.19346789999997</v>
      </c>
      <c r="C11" s="56">
        <v>639.02291690000004</v>
      </c>
      <c r="D11" s="56">
        <v>645.6627244</v>
      </c>
      <c r="E11" s="56">
        <v>730.75950780000028</v>
      </c>
      <c r="F11" s="56">
        <v>663.45362170000021</v>
      </c>
      <c r="G11" s="56">
        <v>821.44649110000034</v>
      </c>
      <c r="H11" s="56">
        <v>906.53522170000008</v>
      </c>
      <c r="I11" s="56">
        <v>942.59479280000005</v>
      </c>
      <c r="J11" s="56">
        <v>995.86649320000015</v>
      </c>
      <c r="K11" s="56">
        <v>1024.7730700525344</v>
      </c>
      <c r="L11" s="56">
        <v>1062.9221329745003</v>
      </c>
      <c r="M11" s="56">
        <v>1104.5105656531214</v>
      </c>
      <c r="N11" s="56">
        <v>1148.1069491893577</v>
      </c>
      <c r="O11" s="56">
        <v>1192.6682930323539</v>
      </c>
      <c r="P11" s="56">
        <v>1233.2663854438088</v>
      </c>
      <c r="R11" s="57">
        <f>(J11/D11)^(1/6)-1</f>
        <v>7.4894649278842262E-2</v>
      </c>
      <c r="S11" s="57">
        <f>(P11/J11)^(1/6)-1</f>
        <v>3.6277246131589891E-2</v>
      </c>
    </row>
    <row r="12" spans="1:21" s="50" customFormat="1" x14ac:dyDescent="0.2">
      <c r="A12" s="58" t="s">
        <v>4</v>
      </c>
      <c r="B12" s="59"/>
      <c r="C12" s="59">
        <f t="shared" ref="C12:P12" si="5">C11/B11-1</f>
        <v>-4.6509780373823251E-2</v>
      </c>
      <c r="D12" s="59">
        <f t="shared" si="5"/>
        <v>1.0390562410829807E-2</v>
      </c>
      <c r="E12" s="59">
        <f t="shared" si="5"/>
        <v>0.13179757818461457</v>
      </c>
      <c r="F12" s="59">
        <f t="shared" si="5"/>
        <v>-9.210401695987358E-2</v>
      </c>
      <c r="G12" s="59">
        <f t="shared" si="5"/>
        <v>0.23813702153764282</v>
      </c>
      <c r="H12" s="59">
        <f t="shared" si="5"/>
        <v>0.10358402101889475</v>
      </c>
      <c r="I12" s="59">
        <f t="shared" si="5"/>
        <v>3.9777352536152444E-2</v>
      </c>
      <c r="J12" s="59">
        <f t="shared" si="5"/>
        <v>5.6516013887319749E-2</v>
      </c>
      <c r="K12" s="59">
        <f t="shared" si="5"/>
        <v>2.9026558328766772E-2</v>
      </c>
      <c r="L12" s="59">
        <f t="shared" si="5"/>
        <v>3.7226839811481671E-2</v>
      </c>
      <c r="M12" s="59">
        <f t="shared" si="5"/>
        <v>3.9126509260127396E-2</v>
      </c>
      <c r="N12" s="59">
        <f t="shared" si="5"/>
        <v>3.9471223627867147E-2</v>
      </c>
      <c r="O12" s="59">
        <f t="shared" si="5"/>
        <v>3.8812885745931114E-2</v>
      </c>
      <c r="P12" s="59">
        <f t="shared" si="5"/>
        <v>3.4039718041161571E-2</v>
      </c>
      <c r="R12" s="64"/>
      <c r="S12" s="64"/>
    </row>
    <row r="13" spans="1:21" s="50" customFormat="1" x14ac:dyDescent="0.2">
      <c r="B13" s="65"/>
      <c r="C13" s="65"/>
      <c r="D13" s="65"/>
      <c r="E13" s="65"/>
      <c r="F13" s="65"/>
      <c r="G13" s="65"/>
      <c r="H13" s="65"/>
      <c r="I13" s="65"/>
      <c r="J13" s="65"/>
      <c r="K13" s="65"/>
      <c r="L13" s="65"/>
      <c r="M13" s="65"/>
      <c r="N13" s="65"/>
      <c r="O13" s="65"/>
      <c r="P13" s="65"/>
      <c r="R13" s="64"/>
      <c r="S13" s="64"/>
    </row>
    <row r="14" spans="1:21" s="50" customFormat="1" x14ac:dyDescent="0.2">
      <c r="A14" s="55" t="s">
        <v>46</v>
      </c>
      <c r="B14" s="56">
        <v>132.48538629999999</v>
      </c>
      <c r="C14" s="56">
        <v>148.22219819999992</v>
      </c>
      <c r="D14" s="56">
        <v>169.45146750000001</v>
      </c>
      <c r="E14" s="56">
        <v>187.47728570000015</v>
      </c>
      <c r="F14" s="56">
        <v>189.88735540000008</v>
      </c>
      <c r="G14" s="56">
        <v>202.76213460000002</v>
      </c>
      <c r="H14" s="56">
        <v>237.89930100000052</v>
      </c>
      <c r="I14" s="56">
        <v>266.55438460000067</v>
      </c>
      <c r="J14" s="56">
        <v>287.31383140000105</v>
      </c>
      <c r="K14" s="56">
        <v>309.07273894284174</v>
      </c>
      <c r="L14" s="56">
        <v>335.76888522076155</v>
      </c>
      <c r="M14" s="56">
        <v>359.53254817137918</v>
      </c>
      <c r="N14" s="56">
        <v>384.12856715174649</v>
      </c>
      <c r="O14" s="56">
        <v>411.04710466834786</v>
      </c>
      <c r="P14" s="87">
        <v>442.61712461395831</v>
      </c>
      <c r="R14" s="57">
        <f>(J14/D14)^(1/6)-1</f>
        <v>9.1989677957143634E-2</v>
      </c>
      <c r="S14" s="57">
        <f>(P14/J14)^(1/6)-1</f>
        <v>7.4678630356988407E-2</v>
      </c>
    </row>
    <row r="15" spans="1:21" s="50" customFormat="1" x14ac:dyDescent="0.2">
      <c r="A15" s="58" t="s">
        <v>4</v>
      </c>
      <c r="B15" s="66"/>
      <c r="C15" s="59">
        <f t="shared" ref="C15" si="6">C14/B14-1</f>
        <v>0.11878149235543223</v>
      </c>
      <c r="D15" s="59">
        <f t="shared" ref="D15" si="7">D14/C14-1</f>
        <v>0.14322597801008796</v>
      </c>
      <c r="E15" s="59">
        <f t="shared" ref="E15" si="8">E14/D14-1</f>
        <v>0.10637746881714172</v>
      </c>
      <c r="F15" s="59">
        <f t="shared" ref="F15" si="9">F14/E14-1</f>
        <v>1.28552623908611E-2</v>
      </c>
      <c r="G15" s="59">
        <f t="shared" ref="G15" si="10">G14/F14-1</f>
        <v>6.7802193426092394E-2</v>
      </c>
      <c r="H15" s="59">
        <f t="shared" ref="H15" si="11">H14/G14-1</f>
        <v>0.17329254532320593</v>
      </c>
      <c r="I15" s="59">
        <f t="shared" ref="I15" si="12">I14/H14-1</f>
        <v>0.12045047412728671</v>
      </c>
      <c r="J15" s="59">
        <f t="shared" ref="J15" si="13">J14/I14-1</f>
        <v>7.7880717779797992E-2</v>
      </c>
      <c r="K15" s="59">
        <f t="shared" ref="K15" si="14">K14/J14-1</f>
        <v>7.5732196521189232E-2</v>
      </c>
      <c r="L15" s="59">
        <f t="shared" ref="L15" si="15">L14/K14-1</f>
        <v>8.63749626357595E-2</v>
      </c>
      <c r="M15" s="59">
        <f t="shared" ref="M15" si="16">M14/L14-1</f>
        <v>7.0773868564365294E-2</v>
      </c>
      <c r="N15" s="59">
        <f t="shared" ref="N15" si="17">N14/M14-1</f>
        <v>6.8411105212769385E-2</v>
      </c>
      <c r="O15" s="59">
        <f t="shared" ref="O15" si="18">O14/N14-1</f>
        <v>7.0076895650323934E-2</v>
      </c>
      <c r="P15" s="59">
        <f t="shared" ref="P15" si="19">P14/O14-1</f>
        <v>7.6803898110613389E-2</v>
      </c>
      <c r="R15" s="64"/>
      <c r="S15" s="64"/>
    </row>
    <row r="16" spans="1:21" ht="17.100000000000001" customHeight="1" x14ac:dyDescent="0.2">
      <c r="R16" s="109"/>
      <c r="S16" s="109"/>
    </row>
    <row r="17" spans="1:19" x14ac:dyDescent="0.2">
      <c r="A17" s="67" t="s">
        <v>9</v>
      </c>
      <c r="R17" s="109"/>
      <c r="S17" s="109"/>
    </row>
    <row r="18" spans="1:19" x14ac:dyDescent="0.2">
      <c r="A18" s="68" t="s">
        <v>82</v>
      </c>
      <c r="B18" s="43">
        <v>978.2890000000001</v>
      </c>
      <c r="C18" s="43">
        <v>978.96699999999998</v>
      </c>
      <c r="D18" s="43">
        <v>1001.8559999999999</v>
      </c>
      <c r="E18" s="43">
        <v>1017.0469999999999</v>
      </c>
      <c r="F18" s="43">
        <v>1027.5159999999998</v>
      </c>
      <c r="G18" s="43">
        <v>1056.2649999999999</v>
      </c>
      <c r="H18" s="43">
        <v>1080.9199999999998</v>
      </c>
      <c r="I18" s="43">
        <v>1093.3929999999998</v>
      </c>
      <c r="J18" s="43">
        <v>1100.9392378032248</v>
      </c>
      <c r="K18" s="43">
        <v>1109.1062563823725</v>
      </c>
      <c r="L18" s="43">
        <v>1121.3681897959909</v>
      </c>
      <c r="M18" s="43">
        <v>1136.2610334744491</v>
      </c>
      <c r="N18" s="43">
        <v>1150.8738314938078</v>
      </c>
      <c r="O18" s="43">
        <v>1165.2025030741675</v>
      </c>
      <c r="P18" s="43">
        <v>1178.3824340596459</v>
      </c>
      <c r="R18" s="57">
        <f>(J18/D18)^(1/6)-1</f>
        <v>1.584241255984864E-2</v>
      </c>
      <c r="S18" s="57">
        <f>(P18/J18)^(1/6)-1</f>
        <v>1.1394260901529396E-2</v>
      </c>
    </row>
    <row r="19" spans="1:19" x14ac:dyDescent="0.2">
      <c r="A19" s="62" t="s">
        <v>4</v>
      </c>
      <c r="B19" s="63"/>
      <c r="C19" s="63">
        <f t="shared" ref="C19:P19" si="20">C18/B18-1</f>
        <v>6.930467377226357E-4</v>
      </c>
      <c r="D19" s="63">
        <f t="shared" si="20"/>
        <v>2.3380767686755455E-2</v>
      </c>
      <c r="E19" s="63">
        <f t="shared" si="20"/>
        <v>1.5162857736041868E-2</v>
      </c>
      <c r="F19" s="63">
        <f t="shared" si="20"/>
        <v>1.0293526257881824E-2</v>
      </c>
      <c r="G19" s="63">
        <f t="shared" si="20"/>
        <v>2.7979126359102935E-2</v>
      </c>
      <c r="H19" s="63">
        <f t="shared" si="20"/>
        <v>2.3341680354835193E-2</v>
      </c>
      <c r="I19" s="63">
        <f t="shared" si="20"/>
        <v>1.1539244347407829E-2</v>
      </c>
      <c r="J19" s="63">
        <f t="shared" si="20"/>
        <v>6.9016701252202495E-3</v>
      </c>
      <c r="K19" s="63">
        <f t="shared" si="20"/>
        <v>7.4182282715655745E-3</v>
      </c>
      <c r="L19" s="63">
        <f t="shared" si="20"/>
        <v>1.1055688616899317E-2</v>
      </c>
      <c r="M19" s="63">
        <f t="shared" si="20"/>
        <v>1.3280957863774923E-2</v>
      </c>
      <c r="N19" s="63">
        <f t="shared" si="20"/>
        <v>1.2860423431643841E-2</v>
      </c>
      <c r="O19" s="63">
        <f t="shared" si="20"/>
        <v>1.2450254048926856E-2</v>
      </c>
      <c r="P19" s="63">
        <f t="shared" si="20"/>
        <v>1.1311279327589574E-2</v>
      </c>
      <c r="R19" s="109"/>
      <c r="S19" s="109"/>
    </row>
    <row r="20" spans="1:19" x14ac:dyDescent="0.2">
      <c r="A20" s="68" t="s">
        <v>10</v>
      </c>
      <c r="B20" s="43">
        <v>38.606999999999999</v>
      </c>
      <c r="C20" s="43">
        <v>39.186999999999991</v>
      </c>
      <c r="D20" s="43">
        <v>39.819999999999993</v>
      </c>
      <c r="E20" s="43">
        <v>40.065999999999995</v>
      </c>
      <c r="F20" s="43">
        <v>39.315999999999995</v>
      </c>
      <c r="G20" s="43">
        <v>40.967999999999989</v>
      </c>
      <c r="H20" s="43">
        <v>41.818999999999996</v>
      </c>
      <c r="I20" s="43">
        <v>41.362999999999992</v>
      </c>
      <c r="J20" s="43">
        <v>41.536688491046533</v>
      </c>
      <c r="K20" s="43">
        <v>41.831756862811403</v>
      </c>
      <c r="L20" s="43">
        <v>42.197442708267289</v>
      </c>
      <c r="M20" s="43">
        <v>42.595759337357208</v>
      </c>
      <c r="N20" s="43">
        <v>42.98281601411334</v>
      </c>
      <c r="O20" s="43">
        <v>43.358698117289919</v>
      </c>
      <c r="P20" s="43">
        <v>43.704219066211458</v>
      </c>
      <c r="R20" s="57">
        <f>(J20/D20)^(1/6)-1</f>
        <v>7.0594341648571035E-3</v>
      </c>
      <c r="S20" s="57">
        <f>(P20/J20)^(1/6)-1</f>
        <v>8.5139638540787654E-3</v>
      </c>
    </row>
    <row r="21" spans="1:19" x14ac:dyDescent="0.2">
      <c r="A21" s="62" t="s">
        <v>4</v>
      </c>
      <c r="B21" s="63"/>
      <c r="C21" s="63">
        <f t="shared" ref="C21:P21" si="21">C20/B20-1</f>
        <v>1.5023182324448658E-2</v>
      </c>
      <c r="D21" s="63">
        <f t="shared" si="21"/>
        <v>1.6153316150764319E-2</v>
      </c>
      <c r="E21" s="63">
        <f t="shared" si="21"/>
        <v>6.1778001004519911E-3</v>
      </c>
      <c r="F21" s="63">
        <f t="shared" si="21"/>
        <v>-1.871911346278643E-2</v>
      </c>
      <c r="G21" s="63">
        <f t="shared" si="21"/>
        <v>4.2018516634448888E-2</v>
      </c>
      <c r="H21" s="63">
        <f t="shared" si="21"/>
        <v>2.0772310095684698E-2</v>
      </c>
      <c r="I21" s="63">
        <f t="shared" si="21"/>
        <v>-1.0904134484325367E-2</v>
      </c>
      <c r="J21" s="63">
        <f t="shared" si="21"/>
        <v>4.1991270228596278E-3</v>
      </c>
      <c r="K21" s="63">
        <f t="shared" si="21"/>
        <v>7.1038010608013291E-3</v>
      </c>
      <c r="L21" s="63">
        <f t="shared" si="21"/>
        <v>8.7418237454182091E-3</v>
      </c>
      <c r="M21" s="63">
        <f t="shared" si="21"/>
        <v>9.4393546984277155E-3</v>
      </c>
      <c r="N21" s="63">
        <f t="shared" si="21"/>
        <v>9.0867420320097647E-3</v>
      </c>
      <c r="O21" s="63">
        <f t="shared" si="21"/>
        <v>8.74493897871087E-3</v>
      </c>
      <c r="P21" s="63">
        <f t="shared" si="21"/>
        <v>7.9688958369290575E-3</v>
      </c>
      <c r="R21" s="109"/>
      <c r="S21" s="109"/>
    </row>
    <row r="22" spans="1:19" x14ac:dyDescent="0.2">
      <c r="A22" s="68" t="s">
        <v>11</v>
      </c>
      <c r="B22" s="43">
        <v>1.577</v>
      </c>
      <c r="C22" s="43">
        <v>1.619</v>
      </c>
      <c r="D22" s="43">
        <v>1.6539999999999999</v>
      </c>
      <c r="E22" s="43">
        <v>1.663</v>
      </c>
      <c r="F22" s="43">
        <v>1.6140000000000001</v>
      </c>
      <c r="G22" s="43">
        <v>1.6180000000000003</v>
      </c>
      <c r="H22" s="43">
        <v>1.6670000000000003</v>
      </c>
      <c r="I22" s="43">
        <v>1.6540000000000001</v>
      </c>
      <c r="J22" s="43">
        <v>1.6541016700940077</v>
      </c>
      <c r="K22" s="43">
        <v>1.6624640750233566</v>
      </c>
      <c r="L22" s="43">
        <v>1.6730493158921957</v>
      </c>
      <c r="M22" s="43">
        <v>1.6843440308532749</v>
      </c>
      <c r="N22" s="43">
        <v>1.6946518146405507</v>
      </c>
      <c r="O22" s="43">
        <v>1.7043264851835414</v>
      </c>
      <c r="P22" s="43">
        <v>1.7127888064447367</v>
      </c>
      <c r="R22" s="57">
        <f>(J22/D22)^(1/6)-1</f>
        <v>1.0244608032339286E-5</v>
      </c>
      <c r="S22" s="57">
        <f>(P22/J22)^(1/6)-1</f>
        <v>5.8277253538372431E-3</v>
      </c>
    </row>
    <row r="23" spans="1:19" x14ac:dyDescent="0.2">
      <c r="A23" s="62" t="s">
        <v>4</v>
      </c>
      <c r="B23" s="63"/>
      <c r="C23" s="63">
        <f t="shared" ref="C23:P23" si="22">C22/B22-1</f>
        <v>2.6632847178186481E-2</v>
      </c>
      <c r="D23" s="63">
        <f t="shared" si="22"/>
        <v>2.1618282890673246E-2</v>
      </c>
      <c r="E23" s="63">
        <f t="shared" si="22"/>
        <v>5.4413542926239344E-3</v>
      </c>
      <c r="F23" s="63">
        <f t="shared" si="22"/>
        <v>-2.946482260974137E-2</v>
      </c>
      <c r="G23" s="63">
        <f t="shared" si="22"/>
        <v>2.4783147459728205E-3</v>
      </c>
      <c r="H23" s="63">
        <f t="shared" si="22"/>
        <v>3.0284301606922082E-2</v>
      </c>
      <c r="I23" s="63">
        <f t="shared" si="22"/>
        <v>-7.79844031193766E-3</v>
      </c>
      <c r="J23" s="63">
        <f t="shared" si="22"/>
        <v>6.1469222495391662E-5</v>
      </c>
      <c r="K23" s="63">
        <f t="shared" si="22"/>
        <v>5.0555567898518117E-3</v>
      </c>
      <c r="L23" s="63">
        <f t="shared" si="22"/>
        <v>6.3671997656191692E-3</v>
      </c>
      <c r="M23" s="63">
        <f t="shared" si="22"/>
        <v>6.750975511475632E-3</v>
      </c>
      <c r="N23" s="63">
        <f t="shared" si="22"/>
        <v>6.1197615204857669E-3</v>
      </c>
      <c r="O23" s="63">
        <f t="shared" si="22"/>
        <v>5.7089429577266149E-3</v>
      </c>
      <c r="P23" s="63">
        <f t="shared" si="22"/>
        <v>4.9651996461723691E-3</v>
      </c>
      <c r="R23" s="109"/>
      <c r="S23" s="109"/>
    </row>
    <row r="24" spans="1:19" x14ac:dyDescent="0.2">
      <c r="A24" s="69" t="s">
        <v>54</v>
      </c>
      <c r="B24" s="56">
        <f t="shared" ref="B24:P24" si="23">B18+B20+B22</f>
        <v>1018.4730000000001</v>
      </c>
      <c r="C24" s="56">
        <f t="shared" si="23"/>
        <v>1019.773</v>
      </c>
      <c r="D24" s="56">
        <f t="shared" si="23"/>
        <v>1043.33</v>
      </c>
      <c r="E24" s="56">
        <f t="shared" si="23"/>
        <v>1058.7759999999998</v>
      </c>
      <c r="F24" s="56">
        <f t="shared" si="23"/>
        <v>1068.4459999999999</v>
      </c>
      <c r="G24" s="56">
        <f t="shared" si="23"/>
        <v>1098.8509999999999</v>
      </c>
      <c r="H24" s="56">
        <f t="shared" si="23"/>
        <v>1124.4059999999997</v>
      </c>
      <c r="I24" s="56">
        <f t="shared" si="23"/>
        <v>1136.4099999999999</v>
      </c>
      <c r="J24" s="56">
        <f t="shared" si="23"/>
        <v>1144.1300279643654</v>
      </c>
      <c r="K24" s="56">
        <f t="shared" si="23"/>
        <v>1152.6004773202071</v>
      </c>
      <c r="L24" s="56">
        <f t="shared" si="23"/>
        <v>1165.2386818201505</v>
      </c>
      <c r="M24" s="56">
        <f t="shared" si="23"/>
        <v>1180.5411368426596</v>
      </c>
      <c r="N24" s="56">
        <f t="shared" si="23"/>
        <v>1195.5512993225616</v>
      </c>
      <c r="O24" s="56">
        <f t="shared" si="23"/>
        <v>1210.2655276766409</v>
      </c>
      <c r="P24" s="56">
        <f t="shared" si="23"/>
        <v>1223.799441932302</v>
      </c>
      <c r="R24" s="57">
        <f>(J24/D24)^(1/6)-1</f>
        <v>1.5489915134171639E-2</v>
      </c>
      <c r="S24" s="57">
        <f>(P24/J24)^(1/6)-1</f>
        <v>1.1282467104221983E-2</v>
      </c>
    </row>
    <row r="25" spans="1:19" ht="17.100000000000001" customHeight="1" x14ac:dyDescent="0.2">
      <c r="A25" s="70" t="s">
        <v>4</v>
      </c>
      <c r="B25" s="66"/>
      <c r="C25" s="59">
        <f t="shared" ref="C25:P25" si="24">C24/B24-1</f>
        <v>1.2764206807642786E-3</v>
      </c>
      <c r="D25" s="59">
        <f t="shared" si="24"/>
        <v>2.3100238974752108E-2</v>
      </c>
      <c r="E25" s="59">
        <f t="shared" si="24"/>
        <v>1.4804520142236877E-2</v>
      </c>
      <c r="F25" s="59">
        <f t="shared" si="24"/>
        <v>9.1331877564282404E-3</v>
      </c>
      <c r="G25" s="59">
        <f t="shared" si="24"/>
        <v>2.8457217304383997E-2</v>
      </c>
      <c r="H25" s="59">
        <f t="shared" si="24"/>
        <v>2.3256110246065997E-2</v>
      </c>
      <c r="I25" s="59">
        <f t="shared" si="24"/>
        <v>1.0675859075814476E-2</v>
      </c>
      <c r="J25" s="59">
        <f t="shared" si="24"/>
        <v>6.7933474400660998E-3</v>
      </c>
      <c r="K25" s="59">
        <f t="shared" si="24"/>
        <v>7.4033974712754969E-3</v>
      </c>
      <c r="L25" s="59">
        <f t="shared" si="24"/>
        <v>1.0964948174693845E-2</v>
      </c>
      <c r="M25" s="59">
        <f t="shared" si="24"/>
        <v>1.3132463984637077E-2</v>
      </c>
      <c r="N25" s="59">
        <f t="shared" si="24"/>
        <v>1.2714645861512608E-2</v>
      </c>
      <c r="O25" s="59">
        <f t="shared" si="24"/>
        <v>1.2307483888325699E-2</v>
      </c>
      <c r="P25" s="59">
        <f t="shared" si="24"/>
        <v>1.1182599145529881E-2</v>
      </c>
      <c r="R25" s="109"/>
      <c r="S25" s="109"/>
    </row>
    <row r="26" spans="1:19" ht="17.100000000000001" customHeight="1" x14ac:dyDescent="0.2">
      <c r="R26" s="109"/>
      <c r="S26" s="109"/>
    </row>
    <row r="27" spans="1:19" x14ac:dyDescent="0.2">
      <c r="A27" s="71" t="s">
        <v>12</v>
      </c>
      <c r="R27" s="109"/>
      <c r="S27" s="109"/>
    </row>
    <row r="28" spans="1:19" x14ac:dyDescent="0.2">
      <c r="A28" s="72" t="s">
        <v>84</v>
      </c>
      <c r="B28" s="88">
        <v>9.5469504276155637E-2</v>
      </c>
      <c r="C28" s="88">
        <v>0.10740832507182942</v>
      </c>
      <c r="D28" s="88">
        <v>0.12064101342435675</v>
      </c>
      <c r="E28" s="88">
        <v>0.1352569281968688</v>
      </c>
      <c r="F28" s="88">
        <v>0.15133884379998039</v>
      </c>
      <c r="G28" s="88">
        <v>0.16895927978454281</v>
      </c>
      <c r="H28" s="88">
        <v>0.18817637185535613</v>
      </c>
      <c r="I28" s="88">
        <v>0.20902941107344072</v>
      </c>
      <c r="J28" s="88">
        <v>0.23153424688192506</v>
      </c>
      <c r="K28" s="88">
        <v>0.25567882094950112</v>
      </c>
      <c r="L28" s="88">
        <v>0.2814191633704301</v>
      </c>
      <c r="M28" s="88">
        <v>0.3086762285133568</v>
      </c>
      <c r="N28" s="88">
        <v>0.33733396156400464</v>
      </c>
      <c r="O28" s="88">
        <v>0.36723895656127775</v>
      </c>
      <c r="P28" s="88">
        <v>0.39820198486247749</v>
      </c>
      <c r="R28" s="109"/>
      <c r="S28" s="109"/>
    </row>
    <row r="29" spans="1:19" x14ac:dyDescent="0.2">
      <c r="A29" s="72" t="s">
        <v>13</v>
      </c>
      <c r="B29" s="88">
        <v>0.17661680048793024</v>
      </c>
      <c r="C29" s="88">
        <v>0.20818810754062433</v>
      </c>
      <c r="D29" s="88">
        <v>0.24373240526242848</v>
      </c>
      <c r="E29" s="88">
        <v>0.28317495430268652</v>
      </c>
      <c r="F29" s="88">
        <v>0.32624686771308542</v>
      </c>
      <c r="G29" s="88">
        <v>0.37246603495988295</v>
      </c>
      <c r="H29" s="88">
        <v>0.42114020872619795</v>
      </c>
      <c r="I29" s="88">
        <v>0.4713970109362548</v>
      </c>
      <c r="J29" s="88">
        <v>0.52224043005430854</v>
      </c>
      <c r="K29" s="88">
        <v>0.57262713551146183</v>
      </c>
      <c r="L29" s="88">
        <v>0.62155070678294466</v>
      </c>
      <c r="M29" s="88">
        <v>0.6681196735268411</v>
      </c>
      <c r="N29" s="88">
        <v>0.71161698957345654</v>
      </c>
      <c r="O29" s="88">
        <v>0.75153350885699211</v>
      </c>
      <c r="P29" s="88">
        <v>0.78757427307176164</v>
      </c>
      <c r="R29" s="109"/>
      <c r="S29" s="109"/>
    </row>
    <row r="30" spans="1:19" x14ac:dyDescent="0.2">
      <c r="A30" s="72" t="s">
        <v>14</v>
      </c>
      <c r="B30" s="88">
        <v>0.29689057006447178</v>
      </c>
      <c r="C30" s="88">
        <v>0.36268531501909551</v>
      </c>
      <c r="D30" s="88">
        <v>0.4340595674482754</v>
      </c>
      <c r="E30" s="88">
        <v>0.50827771389773913</v>
      </c>
      <c r="F30" s="88">
        <v>0.58213277409277397</v>
      </c>
      <c r="G30" s="88">
        <v>0.65247942840718409</v>
      </c>
      <c r="H30" s="88">
        <v>0.71674583371703671</v>
      </c>
      <c r="I30" s="88">
        <v>0.77325759098957114</v>
      </c>
      <c r="J30" s="88">
        <v>0.82130565379722464</v>
      </c>
      <c r="K30" s="88">
        <v>0.86100226362701204</v>
      </c>
      <c r="L30" s="88">
        <v>0.89302891729099487</v>
      </c>
      <c r="M30" s="88">
        <v>0.91837583488108998</v>
      </c>
      <c r="N30" s="88">
        <v>0.93813285359007892</v>
      </c>
      <c r="O30" s="88">
        <v>0.95335062492682998</v>
      </c>
      <c r="P30" s="88">
        <v>0.96496499616400055</v>
      </c>
      <c r="R30" s="109"/>
      <c r="S30" s="109"/>
    </row>
    <row r="31" spans="1:19" x14ac:dyDescent="0.2">
      <c r="A31" s="73" t="s">
        <v>15</v>
      </c>
      <c r="B31" s="89">
        <v>9.8857414103511065E-2</v>
      </c>
      <c r="C31" s="89">
        <v>0.1116862876991291</v>
      </c>
      <c r="D31" s="89">
        <v>0.12583581613428321</v>
      </c>
      <c r="E31" s="89">
        <v>0.14144031089592529</v>
      </c>
      <c r="F31" s="89">
        <v>0.15842575813318974</v>
      </c>
      <c r="G31" s="89">
        <v>0.17725849446105016</v>
      </c>
      <c r="H31" s="89">
        <v>0.19762441819006546</v>
      </c>
      <c r="I31" s="89">
        <v>0.21940026705209881</v>
      </c>
      <c r="J31" s="89">
        <v>0.24294074240518668</v>
      </c>
      <c r="K31" s="89">
        <v>0.26805503767918731</v>
      </c>
      <c r="L31" s="89">
        <v>0.29461468703155336</v>
      </c>
      <c r="M31" s="89">
        <v>0.3225153992647285</v>
      </c>
      <c r="N31" s="89">
        <v>0.35164190759060704</v>
      </c>
      <c r="O31" s="89">
        <v>0.38183198322930517</v>
      </c>
      <c r="P31" s="89">
        <v>0.412900436673726</v>
      </c>
      <c r="R31" s="109"/>
      <c r="S31" s="109"/>
    </row>
    <row r="32" spans="1:19" ht="17.100000000000001" customHeight="1" x14ac:dyDescent="0.2">
      <c r="R32" s="109"/>
      <c r="S32" s="109"/>
    </row>
    <row r="33" spans="1:19" ht="17.45" customHeight="1" x14ac:dyDescent="0.2">
      <c r="A33" s="67" t="s">
        <v>16</v>
      </c>
      <c r="R33" s="109"/>
      <c r="S33" s="109"/>
    </row>
    <row r="34" spans="1:19" x14ac:dyDescent="0.2">
      <c r="A34" s="68" t="s">
        <v>83</v>
      </c>
      <c r="B34" s="43">
        <f t="shared" ref="B34:P34" si="25">B28*B18</f>
        <v>93.396765868816033</v>
      </c>
      <c r="C34" s="43">
        <f t="shared" si="25"/>
        <v>105.14920577059362</v>
      </c>
      <c r="D34" s="43">
        <f t="shared" si="25"/>
        <v>120.86492314527234</v>
      </c>
      <c r="E34" s="43">
        <f t="shared" si="25"/>
        <v>137.56265305184081</v>
      </c>
      <c r="F34" s="43">
        <f t="shared" si="25"/>
        <v>155.50308342598063</v>
      </c>
      <c r="G34" s="43">
        <f t="shared" si="25"/>
        <v>178.46577366162009</v>
      </c>
      <c r="H34" s="43">
        <f t="shared" si="25"/>
        <v>203.40360386589151</v>
      </c>
      <c r="I34" s="43">
        <f t="shared" si="25"/>
        <v>228.55129486182253</v>
      </c>
      <c r="J34" s="43">
        <f t="shared" si="25"/>
        <v>254.90513728753027</v>
      </c>
      <c r="K34" s="43">
        <f t="shared" si="25"/>
        <v>283.57497993956008</v>
      </c>
      <c r="L34" s="43">
        <f t="shared" si="25"/>
        <v>315.57449780260146</v>
      </c>
      <c r="M34" s="43">
        <f t="shared" si="25"/>
        <v>350.736770419582</v>
      </c>
      <c r="N34" s="43">
        <f t="shared" si="25"/>
        <v>388.22882883815089</v>
      </c>
      <c r="O34" s="43">
        <f t="shared" si="25"/>
        <v>427.90775141154631</v>
      </c>
      <c r="P34" s="43">
        <f t="shared" si="25"/>
        <v>469.23422416962848</v>
      </c>
      <c r="R34" s="57">
        <f>(J34/D34)^(1/6)-1</f>
        <v>0.13243439441476501</v>
      </c>
      <c r="S34" s="57">
        <f>(P34/J34)^(1/6)-1</f>
        <v>0.1070532605253709</v>
      </c>
    </row>
    <row r="35" spans="1:19" x14ac:dyDescent="0.2">
      <c r="A35" s="62" t="s">
        <v>4</v>
      </c>
      <c r="B35" s="75"/>
      <c r="C35" s="63">
        <f t="shared" ref="C35:P35" si="26">C34/B34-1</f>
        <v>0.12583347819864477</v>
      </c>
      <c r="D35" s="63">
        <f t="shared" si="26"/>
        <v>0.14946111346733382</v>
      </c>
      <c r="E35" s="63">
        <f t="shared" si="26"/>
        <v>0.13815199209202156</v>
      </c>
      <c r="F35" s="63">
        <f t="shared" si="26"/>
        <v>0.13041643190306118</v>
      </c>
      <c r="G35" s="63">
        <f t="shared" si="26"/>
        <v>0.14766710556302054</v>
      </c>
      <c r="H35" s="63">
        <f t="shared" si="26"/>
        <v>0.13973452552058951</v>
      </c>
      <c r="I35" s="63">
        <f t="shared" si="26"/>
        <v>0.12363444166167015</v>
      </c>
      <c r="J35" s="63">
        <f t="shared" si="26"/>
        <v>0.1153082175344522</v>
      </c>
      <c r="K35" s="63">
        <f t="shared" si="26"/>
        <v>0.11247259650044072</v>
      </c>
      <c r="L35" s="63">
        <f t="shared" si="26"/>
        <v>0.11284323415930997</v>
      </c>
      <c r="M35" s="63">
        <f t="shared" si="26"/>
        <v>0.11142304863612673</v>
      </c>
      <c r="N35" s="63">
        <f t="shared" si="26"/>
        <v>0.10689514639060405</v>
      </c>
      <c r="O35" s="63">
        <f t="shared" si="26"/>
        <v>0.10220498743522533</v>
      </c>
      <c r="P35" s="63">
        <f t="shared" si="26"/>
        <v>9.6577995191154731E-2</v>
      </c>
      <c r="R35" s="109"/>
      <c r="S35" s="109"/>
    </row>
    <row r="36" spans="1:19" x14ac:dyDescent="0.2">
      <c r="A36" s="68" t="s">
        <v>17</v>
      </c>
      <c r="B36" s="43">
        <f t="shared" ref="B36:P36" si="27">B29*B20</f>
        <v>6.8186448164375228</v>
      </c>
      <c r="C36" s="43">
        <f t="shared" si="27"/>
        <v>8.1582673701944444</v>
      </c>
      <c r="D36" s="43">
        <f t="shared" si="27"/>
        <v>9.7054243775498996</v>
      </c>
      <c r="E36" s="43">
        <f t="shared" si="27"/>
        <v>11.345687719091437</v>
      </c>
      <c r="F36" s="43">
        <f t="shared" si="27"/>
        <v>12.826721851007665</v>
      </c>
      <c r="G36" s="43">
        <f t="shared" si="27"/>
        <v>15.259188520236481</v>
      </c>
      <c r="H36" s="43">
        <f t="shared" si="27"/>
        <v>17.61166238872087</v>
      </c>
      <c r="I36" s="43">
        <f t="shared" si="27"/>
        <v>19.498394563356303</v>
      </c>
      <c r="J36" s="43">
        <f t="shared" si="27"/>
        <v>21.69213806059599</v>
      </c>
      <c r="K36" s="43">
        <f t="shared" si="27"/>
        <v>23.953999105763629</v>
      </c>
      <c r="L36" s="43">
        <f t="shared" si="27"/>
        <v>26.227850339756348</v>
      </c>
      <c r="M36" s="43">
        <f t="shared" si="27"/>
        <v>28.459064822102992</v>
      </c>
      <c r="N36" s="43">
        <f t="shared" si="27"/>
        <v>30.587302135353092</v>
      </c>
      <c r="O36" s="43">
        <f t="shared" si="27"/>
        <v>32.585514535557948</v>
      </c>
      <c r="P36" s="43">
        <f t="shared" si="27"/>
        <v>34.420318561240514</v>
      </c>
      <c r="R36" s="57">
        <f>(J36/D36)^(1/6)-1</f>
        <v>0.14344331111055997</v>
      </c>
      <c r="S36" s="57">
        <f>(P36/J36)^(1/6)-1</f>
        <v>7.9987563061554745E-2</v>
      </c>
    </row>
    <row r="37" spans="1:19" x14ac:dyDescent="0.2">
      <c r="A37" s="62" t="s">
        <v>4</v>
      </c>
      <c r="B37" s="75"/>
      <c r="C37" s="63">
        <f t="shared" ref="C37:P37" si="28">C36/B36-1</f>
        <v>0.19646463334290853</v>
      </c>
      <c r="D37" s="63">
        <f t="shared" si="28"/>
        <v>0.18964284169061019</v>
      </c>
      <c r="E37" s="63">
        <f t="shared" si="28"/>
        <v>0.16900480367821036</v>
      </c>
      <c r="F37" s="63">
        <f t="shared" si="28"/>
        <v>0.13053718457490127</v>
      </c>
      <c r="G37" s="63">
        <f t="shared" si="28"/>
        <v>0.18964055644800015</v>
      </c>
      <c r="H37" s="63">
        <f t="shared" si="28"/>
        <v>0.15416769151023835</v>
      </c>
      <c r="I37" s="63">
        <f t="shared" si="28"/>
        <v>0.10712970377195985</v>
      </c>
      <c r="J37" s="63">
        <f t="shared" si="28"/>
        <v>0.11250892939475277</v>
      </c>
      <c r="K37" s="63">
        <f t="shared" si="28"/>
        <v>0.10427100541446088</v>
      </c>
      <c r="L37" s="63">
        <f t="shared" si="28"/>
        <v>9.4925745966384367E-2</v>
      </c>
      <c r="M37" s="63">
        <f t="shared" si="28"/>
        <v>8.5070429083719201E-2</v>
      </c>
      <c r="N37" s="63">
        <f t="shared" si="28"/>
        <v>7.4782405063331003E-2</v>
      </c>
      <c r="O37" s="63">
        <f t="shared" si="28"/>
        <v>6.5328167595902542E-2</v>
      </c>
      <c r="P37" s="63">
        <f t="shared" si="28"/>
        <v>5.6307351651003978E-2</v>
      </c>
      <c r="R37" s="109"/>
      <c r="S37" s="109"/>
    </row>
    <row r="38" spans="1:19" x14ac:dyDescent="0.2">
      <c r="A38" s="68" t="s">
        <v>18</v>
      </c>
      <c r="B38" s="43">
        <f t="shared" ref="B38:P38" si="29">B30*B22</f>
        <v>0.46819642899167196</v>
      </c>
      <c r="C38" s="43">
        <f t="shared" si="29"/>
        <v>0.58718752501591565</v>
      </c>
      <c r="D38" s="43">
        <f t="shared" si="29"/>
        <v>0.71793452455944751</v>
      </c>
      <c r="E38" s="43">
        <f t="shared" si="29"/>
        <v>0.84526583821194023</v>
      </c>
      <c r="F38" s="43">
        <f t="shared" si="29"/>
        <v>0.93956229738573727</v>
      </c>
      <c r="G38" s="43">
        <f t="shared" si="29"/>
        <v>1.0557117151628241</v>
      </c>
      <c r="H38" s="43">
        <f t="shared" si="29"/>
        <v>1.1948153048063004</v>
      </c>
      <c r="I38" s="43">
        <f t="shared" si="29"/>
        <v>1.2789680554967509</v>
      </c>
      <c r="J38" s="43">
        <f t="shared" si="29"/>
        <v>1.3585230536036401</v>
      </c>
      <c r="K38" s="43">
        <f t="shared" si="29"/>
        <v>1.4313853317936969</v>
      </c>
      <c r="L38" s="43">
        <f t="shared" si="29"/>
        <v>1.4940814191456473</v>
      </c>
      <c r="M38" s="43">
        <f t="shared" si="29"/>
        <v>1.5468608555618566</v>
      </c>
      <c r="N38" s="43">
        <f t="shared" si="29"/>
        <v>1.5898085427103452</v>
      </c>
      <c r="O38" s="43">
        <f t="shared" si="29"/>
        <v>1.6248207197290767</v>
      </c>
      <c r="P38" s="43">
        <f t="shared" si="29"/>
        <v>1.6527812440406884</v>
      </c>
      <c r="R38" s="57">
        <f>(J38/D38)^(1/6)-1</f>
        <v>0.11215084379669849</v>
      </c>
      <c r="S38" s="57">
        <f>(P38/J38)^(1/6)-1</f>
        <v>3.3216644685488905E-2</v>
      </c>
    </row>
    <row r="39" spans="1:19" x14ac:dyDescent="0.2">
      <c r="A39" s="62" t="s">
        <v>4</v>
      </c>
      <c r="B39" s="75"/>
      <c r="C39" s="63">
        <f t="shared" ref="C39:P39" si="30">C38/B38-1</f>
        <v>0.25414780774921342</v>
      </c>
      <c r="D39" s="63">
        <f t="shared" si="30"/>
        <v>0.22266651448357666</v>
      </c>
      <c r="E39" s="63">
        <f t="shared" si="30"/>
        <v>0.17735783598180932</v>
      </c>
      <c r="F39" s="63">
        <f t="shared" si="30"/>
        <v>0.11155834639344953</v>
      </c>
      <c r="G39" s="63">
        <f t="shared" si="30"/>
        <v>0.12362077331142807</v>
      </c>
      <c r="H39" s="63">
        <f t="shared" si="30"/>
        <v>0.13176285499685125</v>
      </c>
      <c r="I39" s="63">
        <f t="shared" si="30"/>
        <v>7.0431597546445124E-2</v>
      </c>
      <c r="J39" s="63">
        <f t="shared" si="30"/>
        <v>6.2202490331934257E-2</v>
      </c>
      <c r="K39" s="63">
        <f t="shared" si="30"/>
        <v>5.3633449941670852E-2</v>
      </c>
      <c r="L39" s="63">
        <f t="shared" si="30"/>
        <v>4.3800984933515252E-2</v>
      </c>
      <c r="M39" s="63">
        <f t="shared" si="30"/>
        <v>3.5325676191321653E-2</v>
      </c>
      <c r="N39" s="63">
        <f t="shared" si="30"/>
        <v>2.7764415263381359E-2</v>
      </c>
      <c r="O39" s="63">
        <f t="shared" si="30"/>
        <v>2.2022888969411181E-2</v>
      </c>
      <c r="P39" s="63">
        <f t="shared" si="30"/>
        <v>1.7208375036154022E-2</v>
      </c>
      <c r="R39" s="109"/>
      <c r="S39" s="109"/>
    </row>
    <row r="40" spans="1:19" x14ac:dyDescent="0.2">
      <c r="A40" s="73" t="s">
        <v>19</v>
      </c>
      <c r="B40" s="56">
        <f t="shared" ref="B40:P40" si="31">B38+B36+B34</f>
        <v>100.68360711424523</v>
      </c>
      <c r="C40" s="56">
        <f t="shared" si="31"/>
        <v>113.89466066580398</v>
      </c>
      <c r="D40" s="56">
        <f t="shared" si="31"/>
        <v>131.2882820473817</v>
      </c>
      <c r="E40" s="56">
        <f t="shared" si="31"/>
        <v>149.75360660914419</v>
      </c>
      <c r="F40" s="56">
        <f t="shared" si="31"/>
        <v>169.26936757437403</v>
      </c>
      <c r="G40" s="56">
        <f t="shared" si="31"/>
        <v>194.7806738970194</v>
      </c>
      <c r="H40" s="56">
        <f t="shared" si="31"/>
        <v>222.21008155941868</v>
      </c>
      <c r="I40" s="56">
        <f t="shared" si="31"/>
        <v>249.32865748067559</v>
      </c>
      <c r="J40" s="56">
        <f t="shared" si="31"/>
        <v>277.95579840172991</v>
      </c>
      <c r="K40" s="56">
        <f t="shared" si="31"/>
        <v>308.9603643771174</v>
      </c>
      <c r="L40" s="56">
        <f t="shared" si="31"/>
        <v>343.29642956150343</v>
      </c>
      <c r="M40" s="56">
        <f t="shared" si="31"/>
        <v>380.74269609724684</v>
      </c>
      <c r="N40" s="56">
        <f t="shared" si="31"/>
        <v>420.40593951621435</v>
      </c>
      <c r="O40" s="56">
        <f t="shared" si="31"/>
        <v>462.11808666683334</v>
      </c>
      <c r="P40" s="56">
        <f t="shared" si="31"/>
        <v>505.30732397490965</v>
      </c>
      <c r="R40" s="57">
        <f>(J40/D40)^(1/6)-1</f>
        <v>0.13316102557137688</v>
      </c>
      <c r="S40" s="57">
        <f>(P40/J40)^(1/6)-1</f>
        <v>0.10474821653660005</v>
      </c>
    </row>
    <row r="41" spans="1:19" x14ac:dyDescent="0.2">
      <c r="A41" s="74" t="s">
        <v>4</v>
      </c>
      <c r="B41" s="66"/>
      <c r="C41" s="59">
        <f t="shared" ref="C41:P41" si="32">C40/B40-1</f>
        <v>0.13121355035053739</v>
      </c>
      <c r="D41" s="59">
        <f t="shared" si="32"/>
        <v>0.15271674088932974</v>
      </c>
      <c r="E41" s="59">
        <f t="shared" si="32"/>
        <v>0.14064716419320944</v>
      </c>
      <c r="F41" s="59">
        <f t="shared" si="32"/>
        <v>0.13031913826400077</v>
      </c>
      <c r="G41" s="59">
        <f t="shared" si="32"/>
        <v>0.15071425319431264</v>
      </c>
      <c r="H41" s="59">
        <f t="shared" si="32"/>
        <v>0.14082201849707743</v>
      </c>
      <c r="I41" s="59">
        <f t="shared" si="32"/>
        <v>0.12204025906900817</v>
      </c>
      <c r="J41" s="59">
        <f t="shared" si="32"/>
        <v>0.11481688952371272</v>
      </c>
      <c r="K41" s="59">
        <f t="shared" si="32"/>
        <v>0.1115449512248583</v>
      </c>
      <c r="L41" s="59">
        <f t="shared" si="32"/>
        <v>0.11113420730717216</v>
      </c>
      <c r="M41" s="59">
        <f t="shared" si="32"/>
        <v>0.10907852022688957</v>
      </c>
      <c r="N41" s="59">
        <f t="shared" si="32"/>
        <v>0.10417335335787237</v>
      </c>
      <c r="O41" s="59">
        <f t="shared" si="32"/>
        <v>9.9218738913678495E-2</v>
      </c>
      <c r="P41" s="59">
        <f t="shared" si="32"/>
        <v>9.3459309544865032E-2</v>
      </c>
      <c r="R41" s="109"/>
      <c r="S41" s="109"/>
    </row>
    <row r="42" spans="1:19" ht="17.100000000000001" customHeight="1" x14ac:dyDescent="0.2">
      <c r="R42" s="109"/>
      <c r="S42" s="109"/>
    </row>
    <row r="43" spans="1:19" x14ac:dyDescent="0.2">
      <c r="A43" s="76" t="s">
        <v>20</v>
      </c>
      <c r="B43" s="56">
        <f t="shared" ref="B43:P43" si="33">B55+B111</f>
        <v>77.002881340800016</v>
      </c>
      <c r="C43" s="56">
        <f t="shared" si="33"/>
        <v>98.854043140800002</v>
      </c>
      <c r="D43" s="56">
        <f t="shared" si="33"/>
        <v>126.73646273119999</v>
      </c>
      <c r="E43" s="56">
        <f t="shared" si="33"/>
        <v>162.44468193760005</v>
      </c>
      <c r="F43" s="56">
        <f t="shared" si="33"/>
        <v>206.47891856320001</v>
      </c>
      <c r="G43" s="56">
        <f t="shared" si="33"/>
        <v>266.44933994880012</v>
      </c>
      <c r="H43" s="56">
        <f t="shared" si="33"/>
        <v>354.04674606400005</v>
      </c>
      <c r="I43" s="56">
        <f t="shared" si="33"/>
        <v>442.15888168000004</v>
      </c>
      <c r="J43" s="56">
        <f t="shared" si="33"/>
        <v>542.51704905599979</v>
      </c>
      <c r="K43" s="56">
        <f t="shared" si="33"/>
        <v>628.42512207479103</v>
      </c>
      <c r="L43" s="56">
        <f t="shared" si="33"/>
        <v>727.15124900458864</v>
      </c>
      <c r="M43" s="56">
        <f t="shared" si="33"/>
        <v>821.17101198923206</v>
      </c>
      <c r="N43" s="56">
        <f t="shared" si="33"/>
        <v>946.1949795500833</v>
      </c>
      <c r="O43" s="56">
        <f t="shared" si="33"/>
        <v>1093.3010531098678</v>
      </c>
      <c r="P43" s="56">
        <f t="shared" si="33"/>
        <v>1238.093822232576</v>
      </c>
      <c r="R43" s="57">
        <f>(J43/D43)^(1/6)-1</f>
        <v>0.27424215414117703</v>
      </c>
      <c r="S43" s="57">
        <f>(P43/J43)^(1/6)-1</f>
        <v>0.14742249783397732</v>
      </c>
    </row>
    <row r="44" spans="1:19" x14ac:dyDescent="0.2">
      <c r="A44" s="58" t="s">
        <v>4</v>
      </c>
      <c r="B44" s="66"/>
      <c r="C44" s="59">
        <f t="shared" ref="C44:P44" si="34">C43/B43-1</f>
        <v>0.28377070337525323</v>
      </c>
      <c r="D44" s="59">
        <f t="shared" si="34"/>
        <v>0.28205644103687733</v>
      </c>
      <c r="E44" s="59">
        <f t="shared" si="34"/>
        <v>0.28175174244948686</v>
      </c>
      <c r="F44" s="59">
        <f t="shared" si="34"/>
        <v>0.27107219577994468</v>
      </c>
      <c r="G44" s="59">
        <f t="shared" si="34"/>
        <v>0.29044331403374768</v>
      </c>
      <c r="H44" s="59">
        <f t="shared" si="34"/>
        <v>0.32875820271137579</v>
      </c>
      <c r="I44" s="59">
        <f t="shared" si="34"/>
        <v>0.24887147416423994</v>
      </c>
      <c r="J44" s="59">
        <f t="shared" si="34"/>
        <v>0.22697308938968952</v>
      </c>
      <c r="K44" s="59">
        <f t="shared" si="34"/>
        <v>0.15835091849790617</v>
      </c>
      <c r="L44" s="59">
        <f t="shared" si="34"/>
        <v>0.15710085969167831</v>
      </c>
      <c r="M44" s="59">
        <f t="shared" si="34"/>
        <v>0.12929877121623434</v>
      </c>
      <c r="N44" s="59">
        <f t="shared" si="34"/>
        <v>0.15225082928583777</v>
      </c>
      <c r="O44" s="59">
        <f t="shared" si="34"/>
        <v>0.15547120491987143</v>
      </c>
      <c r="P44" s="59">
        <f t="shared" si="34"/>
        <v>0.13243632091165458</v>
      </c>
      <c r="R44" s="109"/>
      <c r="S44" s="109"/>
    </row>
    <row r="45" spans="1:19" x14ac:dyDescent="0.2">
      <c r="A45" s="58"/>
      <c r="B45" s="66"/>
      <c r="C45" s="59"/>
      <c r="D45" s="59"/>
      <c r="E45" s="59"/>
      <c r="F45" s="59"/>
      <c r="G45" s="59"/>
      <c r="H45" s="59"/>
      <c r="I45" s="59"/>
      <c r="J45" s="59"/>
      <c r="K45" s="59"/>
      <c r="L45" s="59"/>
      <c r="M45" s="59"/>
      <c r="N45" s="59"/>
      <c r="O45" s="59"/>
      <c r="P45" s="59"/>
      <c r="R45" s="109"/>
      <c r="S45" s="109"/>
    </row>
    <row r="46" spans="1:19" x14ac:dyDescent="0.2">
      <c r="A46" s="67" t="s">
        <v>21</v>
      </c>
      <c r="R46" s="109"/>
      <c r="S46" s="109"/>
    </row>
    <row r="47" spans="1:19" x14ac:dyDescent="0.2">
      <c r="A47" s="68" t="s">
        <v>82</v>
      </c>
      <c r="B47" s="43">
        <v>4.557362551948029</v>
      </c>
      <c r="C47" s="43">
        <v>5.9435608521945733</v>
      </c>
      <c r="D47" s="43">
        <v>7.7720920107605416</v>
      </c>
      <c r="E47" s="43">
        <v>10.268584906307161</v>
      </c>
      <c r="F47" s="43">
        <v>13.314834365825334</v>
      </c>
      <c r="G47" s="43">
        <v>17.394595012703419</v>
      </c>
      <c r="H47" s="43">
        <v>23.142810624987273</v>
      </c>
      <c r="I47" s="43">
        <v>29.042583196916155</v>
      </c>
      <c r="J47" s="43">
        <v>35.820159957318502</v>
      </c>
      <c r="K47" s="43">
        <v>42.717391014571795</v>
      </c>
      <c r="L47" s="43">
        <v>50.170798827187468</v>
      </c>
      <c r="M47" s="43">
        <v>57.836110115502194</v>
      </c>
      <c r="N47" s="43">
        <v>67.921699853038106</v>
      </c>
      <c r="O47" s="43">
        <v>79.827173154381796</v>
      </c>
      <c r="P47" s="43">
        <v>91.862064988837815</v>
      </c>
      <c r="R47" s="57">
        <f>(J47/D47)^(1/6)-1</f>
        <v>0.29002540933151244</v>
      </c>
      <c r="S47" s="57">
        <f>(P47/J47)^(1/6)-1</f>
        <v>0.16995218762372821</v>
      </c>
    </row>
    <row r="48" spans="1:19" x14ac:dyDescent="0.2">
      <c r="A48" s="62" t="s">
        <v>4</v>
      </c>
      <c r="B48" s="63"/>
      <c r="C48" s="63">
        <f t="shared" ref="C48:P48" si="35">C47/B47-1</f>
        <v>0.30416678165181721</v>
      </c>
      <c r="D48" s="63">
        <f t="shared" si="35"/>
        <v>0.30764910195052675</v>
      </c>
      <c r="E48" s="63">
        <f t="shared" si="35"/>
        <v>0.32121247304975276</v>
      </c>
      <c r="F48" s="63">
        <f t="shared" si="35"/>
        <v>0.2966571818135435</v>
      </c>
      <c r="G48" s="63">
        <f t="shared" si="35"/>
        <v>0.30640716472969798</v>
      </c>
      <c r="H48" s="63">
        <f t="shared" si="35"/>
        <v>0.33045987032672408</v>
      </c>
      <c r="I48" s="63">
        <f t="shared" si="35"/>
        <v>0.25492895688127448</v>
      </c>
      <c r="J48" s="63">
        <f t="shared" si="35"/>
        <v>0.23336687079274743</v>
      </c>
      <c r="K48" s="63">
        <f t="shared" si="35"/>
        <v>0.19255165430505294</v>
      </c>
      <c r="L48" s="63">
        <f t="shared" si="35"/>
        <v>0.17448181257308426</v>
      </c>
      <c r="M48" s="63">
        <f t="shared" si="35"/>
        <v>0.15278431811934601</v>
      </c>
      <c r="N48" s="63">
        <f t="shared" si="35"/>
        <v>0.17438222794365643</v>
      </c>
      <c r="O48" s="63">
        <f t="shared" si="35"/>
        <v>0.17528232254350984</v>
      </c>
      <c r="P48" s="63">
        <f t="shared" si="35"/>
        <v>0.1507618441051537</v>
      </c>
      <c r="R48" s="109"/>
      <c r="S48" s="109"/>
    </row>
    <row r="49" spans="1:19" x14ac:dyDescent="0.2">
      <c r="A49" s="68" t="s">
        <v>10</v>
      </c>
      <c r="B49" s="43">
        <v>42.830300768979626</v>
      </c>
      <c r="C49" s="43">
        <v>53.728662571320129</v>
      </c>
      <c r="D49" s="43">
        <v>67.2051897714299</v>
      </c>
      <c r="E49" s="43">
        <v>84.137231849759502</v>
      </c>
      <c r="F49" s="43">
        <v>104.70251418729873</v>
      </c>
      <c r="G49" s="43">
        <v>131.2502318675582</v>
      </c>
      <c r="H49" s="43">
        <v>173.53645519823328</v>
      </c>
      <c r="I49" s="43">
        <v>215.50643584469614</v>
      </c>
      <c r="J49" s="43">
        <v>262.13706769405456</v>
      </c>
      <c r="K49" s="43">
        <v>292.26414809250497</v>
      </c>
      <c r="L49" s="43">
        <v>331.8186935140983</v>
      </c>
      <c r="M49" s="43">
        <v>369.65770102063755</v>
      </c>
      <c r="N49" s="43">
        <v>419.39325117704993</v>
      </c>
      <c r="O49" s="43">
        <v>476.0210988311855</v>
      </c>
      <c r="P49" s="43">
        <v>528.82621551353395</v>
      </c>
      <c r="R49" s="57">
        <f>(J49/D49)^(1/6)-1</f>
        <v>0.25464522344226226</v>
      </c>
      <c r="S49" s="57">
        <f>(P49/J49)^(1/6)-1</f>
        <v>0.1240805239701066</v>
      </c>
    </row>
    <row r="50" spans="1:19" x14ac:dyDescent="0.2">
      <c r="A50" s="62" t="s">
        <v>4</v>
      </c>
      <c r="B50" s="63"/>
      <c r="C50" s="63">
        <f t="shared" ref="C50:P50" si="36">C49/B49-1</f>
        <v>0.25445447747669747</v>
      </c>
      <c r="D50" s="63">
        <f t="shared" si="36"/>
        <v>0.25082565906457943</v>
      </c>
      <c r="E50" s="63">
        <f t="shared" si="36"/>
        <v>0.25194545444952698</v>
      </c>
      <c r="F50" s="63">
        <f t="shared" si="36"/>
        <v>0.24442546878962967</v>
      </c>
      <c r="G50" s="63">
        <f t="shared" si="36"/>
        <v>0.25355377458051453</v>
      </c>
      <c r="H50" s="63">
        <f t="shared" si="36"/>
        <v>0.32218018001937865</v>
      </c>
      <c r="I50" s="63">
        <f t="shared" si="36"/>
        <v>0.24185108885922513</v>
      </c>
      <c r="J50" s="63">
        <f t="shared" si="36"/>
        <v>0.21637698042095876</v>
      </c>
      <c r="K50" s="63">
        <f t="shared" si="36"/>
        <v>0.11492873046711694</v>
      </c>
      <c r="L50" s="63">
        <f t="shared" si="36"/>
        <v>0.1353383426593735</v>
      </c>
      <c r="M50" s="63">
        <f t="shared" si="36"/>
        <v>0.11403518923484501</v>
      </c>
      <c r="N50" s="63">
        <f t="shared" si="36"/>
        <v>0.13454487765056933</v>
      </c>
      <c r="O50" s="63">
        <f t="shared" si="36"/>
        <v>0.13502326872262826</v>
      </c>
      <c r="P50" s="63">
        <f t="shared" si="36"/>
        <v>0.11093020206878501</v>
      </c>
      <c r="R50" s="109"/>
      <c r="S50" s="109"/>
    </row>
    <row r="51" spans="1:19" x14ac:dyDescent="0.2">
      <c r="A51" s="68" t="s">
        <v>11</v>
      </c>
      <c r="B51" s="43">
        <v>7.9920236620461864</v>
      </c>
      <c r="C51" s="43">
        <v>11.14701465543428</v>
      </c>
      <c r="D51" s="43">
        <v>15.492694736630259</v>
      </c>
      <c r="E51" s="43">
        <v>21.308037471485175</v>
      </c>
      <c r="F51" s="43">
        <v>28.83696868495025</v>
      </c>
      <c r="G51" s="43">
        <v>40.281993400156658</v>
      </c>
      <c r="H51" s="43">
        <v>54.640869563944023</v>
      </c>
      <c r="I51" s="43">
        <v>69.287561707235113</v>
      </c>
      <c r="J51" s="43">
        <v>86.871070424616235</v>
      </c>
      <c r="K51" s="43">
        <v>109.23764357023346</v>
      </c>
      <c r="L51" s="43">
        <v>131.99426639807231</v>
      </c>
      <c r="M51" s="43">
        <v>156.31557740296171</v>
      </c>
      <c r="N51" s="43">
        <v>188.3326540231445</v>
      </c>
      <c r="O51" s="43">
        <v>226.79982576772355</v>
      </c>
      <c r="P51" s="43">
        <v>267.1192883103958</v>
      </c>
      <c r="R51" s="57">
        <f>(J51/D51)^(1/6)-1</f>
        <v>0.33288097233557079</v>
      </c>
      <c r="S51" s="57">
        <f>(P51/J51)^(1/6)-1</f>
        <v>0.20588255562122559</v>
      </c>
    </row>
    <row r="52" spans="1:19" x14ac:dyDescent="0.2">
      <c r="A52" s="62" t="s">
        <v>4</v>
      </c>
      <c r="B52" s="63"/>
      <c r="C52" s="63">
        <f t="shared" ref="C52:P52" si="37">C51/B51-1</f>
        <v>0.39476747402175794</v>
      </c>
      <c r="D52" s="63">
        <f t="shared" si="37"/>
        <v>0.38985147284052579</v>
      </c>
      <c r="E52" s="63">
        <f t="shared" si="37"/>
        <v>0.37536031230934741</v>
      </c>
      <c r="F52" s="63">
        <f t="shared" si="37"/>
        <v>0.35333761842405398</v>
      </c>
      <c r="G52" s="63">
        <f t="shared" si="37"/>
        <v>0.39688723319866348</v>
      </c>
      <c r="H52" s="63">
        <f t="shared" si="37"/>
        <v>0.35645892747034513</v>
      </c>
      <c r="I52" s="63">
        <f t="shared" si="37"/>
        <v>0.26805378941033609</v>
      </c>
      <c r="J52" s="63">
        <f t="shared" si="37"/>
        <v>0.25377583341260834</v>
      </c>
      <c r="K52" s="63">
        <f t="shared" si="37"/>
        <v>0.25746860302620744</v>
      </c>
      <c r="L52" s="63">
        <f t="shared" si="37"/>
        <v>0.20832216884290133</v>
      </c>
      <c r="M52" s="63">
        <f t="shared" si="37"/>
        <v>0.18426035970032562</v>
      </c>
      <c r="N52" s="63">
        <f t="shared" si="37"/>
        <v>0.20482332696534034</v>
      </c>
      <c r="O52" s="63">
        <f t="shared" si="37"/>
        <v>0.2042512061655104</v>
      </c>
      <c r="P52" s="63">
        <f t="shared" si="37"/>
        <v>0.17777554460718736</v>
      </c>
      <c r="R52" s="109"/>
      <c r="S52" s="109"/>
    </row>
    <row r="53" spans="1:19" x14ac:dyDescent="0.2">
      <c r="A53" s="68" t="s">
        <v>22</v>
      </c>
      <c r="B53" s="43">
        <v>3.3473788858261608</v>
      </c>
      <c r="C53" s="43">
        <v>4.4842585978509915</v>
      </c>
      <c r="D53" s="43">
        <v>5.996337076379282</v>
      </c>
      <c r="E53" s="43">
        <v>8.034390062048244</v>
      </c>
      <c r="F53" s="43">
        <v>10.658929293125784</v>
      </c>
      <c r="G53" s="43">
        <v>14.358939924381904</v>
      </c>
      <c r="H53" s="43">
        <v>19.13004800483548</v>
      </c>
      <c r="I53" s="43">
        <v>24.155226771152535</v>
      </c>
      <c r="J53" s="43">
        <v>30.122436740010446</v>
      </c>
      <c r="K53" s="43">
        <v>36.738253956267968</v>
      </c>
      <c r="L53" s="43">
        <v>43.725584870318265</v>
      </c>
      <c r="M53" s="43">
        <v>51.054854524921119</v>
      </c>
      <c r="N53" s="43">
        <v>60.700867804845615</v>
      </c>
      <c r="O53" s="43">
        <v>72.192494334020324</v>
      </c>
      <c r="P53" s="43">
        <v>84.03295856943069</v>
      </c>
      <c r="R53" s="57">
        <f>(J53/D53)^(1/6)-1</f>
        <v>0.30868164271284049</v>
      </c>
      <c r="S53" s="57">
        <f>(P53/J53)^(1/6)-1</f>
        <v>0.1864786439290711</v>
      </c>
    </row>
    <row r="54" spans="1:19" x14ac:dyDescent="0.2">
      <c r="A54" s="62" t="s">
        <v>4</v>
      </c>
      <c r="C54" s="63">
        <f t="shared" ref="C54:P54" si="38">C53/B53-1</f>
        <v>0.33963281445035443</v>
      </c>
      <c r="D54" s="63">
        <f t="shared" si="38"/>
        <v>0.33719698486009042</v>
      </c>
      <c r="E54" s="63">
        <f t="shared" si="38"/>
        <v>0.33988299185134907</v>
      </c>
      <c r="F54" s="63">
        <f t="shared" si="38"/>
        <v>0.32666315810019975</v>
      </c>
      <c r="G54" s="63">
        <f t="shared" si="38"/>
        <v>0.34712779581363318</v>
      </c>
      <c r="H54" s="63">
        <f t="shared" si="38"/>
        <v>0.33227439529516345</v>
      </c>
      <c r="I54" s="63">
        <f t="shared" si="38"/>
        <v>0.2626851100973111</v>
      </c>
      <c r="J54" s="63">
        <f t="shared" si="38"/>
        <v>0.24703597384497633</v>
      </c>
      <c r="K54" s="63">
        <f t="shared" si="38"/>
        <v>0.21963087758667243</v>
      </c>
      <c r="L54" s="63">
        <f t="shared" si="38"/>
        <v>0.19019224273335888</v>
      </c>
      <c r="M54" s="63">
        <f t="shared" si="38"/>
        <v>0.16761970540451476</v>
      </c>
      <c r="N54" s="63">
        <f t="shared" si="38"/>
        <v>0.18893430154063107</v>
      </c>
      <c r="O54" s="63">
        <f t="shared" si="38"/>
        <v>0.1893156876458586</v>
      </c>
      <c r="P54" s="63">
        <f t="shared" si="38"/>
        <v>0.16401239969112158</v>
      </c>
      <c r="R54" s="109"/>
      <c r="S54" s="109"/>
    </row>
    <row r="55" spans="1:19" x14ac:dyDescent="0.2">
      <c r="A55" s="77" t="s">
        <v>23</v>
      </c>
      <c r="B55" s="56">
        <f t="shared" ref="B55:P55" si="39">B53+B51+B49+B47</f>
        <v>58.727065868800004</v>
      </c>
      <c r="C55" s="56">
        <f t="shared" si="39"/>
        <v>75.30349667679998</v>
      </c>
      <c r="D55" s="56">
        <f t="shared" si="39"/>
        <v>96.466313595199992</v>
      </c>
      <c r="E55" s="56">
        <f t="shared" si="39"/>
        <v>123.74824428960008</v>
      </c>
      <c r="F55" s="56">
        <f t="shared" si="39"/>
        <v>157.51324653120008</v>
      </c>
      <c r="G55" s="56">
        <f t="shared" si="39"/>
        <v>203.28576020480017</v>
      </c>
      <c r="H55" s="56">
        <f t="shared" si="39"/>
        <v>270.45018339200004</v>
      </c>
      <c r="I55" s="56">
        <f t="shared" si="39"/>
        <v>337.99180751999995</v>
      </c>
      <c r="J55" s="56">
        <f t="shared" si="39"/>
        <v>414.95073481599974</v>
      </c>
      <c r="K55" s="56">
        <f t="shared" si="39"/>
        <v>480.9574366335782</v>
      </c>
      <c r="L55" s="56">
        <f t="shared" si="39"/>
        <v>557.70934360967635</v>
      </c>
      <c r="M55" s="56">
        <f t="shared" si="39"/>
        <v>634.8642430640225</v>
      </c>
      <c r="N55" s="56">
        <f t="shared" si="39"/>
        <v>736.34847285807825</v>
      </c>
      <c r="O55" s="56">
        <f t="shared" si="39"/>
        <v>854.84059208731128</v>
      </c>
      <c r="P55" s="56">
        <f t="shared" si="39"/>
        <v>971.84052738219827</v>
      </c>
      <c r="R55" s="57">
        <f>(J55/D55)^(1/6)-1</f>
        <v>0.27527391317769934</v>
      </c>
      <c r="S55" s="57">
        <f>(P55/J55)^(1/6)-1</f>
        <v>0.15239069964215557</v>
      </c>
    </row>
    <row r="56" spans="1:19" x14ac:dyDescent="0.2">
      <c r="A56" s="74" t="s">
        <v>4</v>
      </c>
      <c r="B56" s="66"/>
      <c r="C56" s="59">
        <f t="shared" ref="C56:P56" si="40">C55/B55-1</f>
        <v>0.28226219993746615</v>
      </c>
      <c r="D56" s="59">
        <f t="shared" si="40"/>
        <v>0.28103365517314671</v>
      </c>
      <c r="E56" s="59">
        <f t="shared" si="40"/>
        <v>0.28281303262901503</v>
      </c>
      <c r="F56" s="59">
        <f t="shared" si="40"/>
        <v>0.27285237407152163</v>
      </c>
      <c r="G56" s="59">
        <f t="shared" si="40"/>
        <v>0.29059469398044246</v>
      </c>
      <c r="H56" s="59">
        <f t="shared" si="40"/>
        <v>0.33039413640943227</v>
      </c>
      <c r="I56" s="59">
        <f t="shared" si="40"/>
        <v>0.24973776420074634</v>
      </c>
      <c r="J56" s="59">
        <f t="shared" si="40"/>
        <v>0.22769465289908219</v>
      </c>
      <c r="K56" s="59">
        <f t="shared" si="40"/>
        <v>0.15907117708044938</v>
      </c>
      <c r="L56" s="59">
        <f t="shared" si="40"/>
        <v>0.15958149542985911</v>
      </c>
      <c r="M56" s="59">
        <f t="shared" si="40"/>
        <v>0.13834249029247836</v>
      </c>
      <c r="N56" s="59">
        <f t="shared" si="40"/>
        <v>0.15985185951608494</v>
      </c>
      <c r="O56" s="59">
        <f t="shared" si="40"/>
        <v>0.16091853734593253</v>
      </c>
      <c r="P56" s="59">
        <f t="shared" si="40"/>
        <v>0.13686754744437413</v>
      </c>
      <c r="R56" s="109"/>
      <c r="S56" s="109"/>
    </row>
    <row r="57" spans="1:19" ht="17.100000000000001" customHeight="1" x14ac:dyDescent="0.2">
      <c r="R57" s="109"/>
      <c r="S57" s="109"/>
    </row>
    <row r="58" spans="1:19" x14ac:dyDescent="0.2">
      <c r="A58" s="67" t="s">
        <v>24</v>
      </c>
      <c r="R58" s="109"/>
      <c r="S58" s="109"/>
    </row>
    <row r="59" spans="1:19" x14ac:dyDescent="0.2">
      <c r="A59" s="68" t="s">
        <v>82</v>
      </c>
      <c r="B59" s="112">
        <f t="shared" ref="B59:P59" si="41">(B47*1000000)/(B34*1000)</f>
        <v>48.795721238883637</v>
      </c>
      <c r="C59" s="112">
        <f t="shared" si="41"/>
        <v>56.525018982661393</v>
      </c>
      <c r="D59" s="112">
        <f t="shared" si="41"/>
        <v>64.30395029845802</v>
      </c>
      <c r="E59" s="112">
        <f t="shared" si="41"/>
        <v>74.646604136352479</v>
      </c>
      <c r="F59" s="112">
        <f t="shared" si="41"/>
        <v>85.62424662249984</v>
      </c>
      <c r="G59" s="112">
        <f t="shared" si="41"/>
        <v>97.467400363749448</v>
      </c>
      <c r="H59" s="112">
        <f t="shared" si="41"/>
        <v>113.77778065449539</v>
      </c>
      <c r="I59" s="112">
        <f t="shared" si="41"/>
        <v>127.07249466459908</v>
      </c>
      <c r="J59" s="112">
        <f t="shared" si="41"/>
        <v>140.52349175259556</v>
      </c>
      <c r="K59" s="112">
        <f t="shared" si="41"/>
        <v>150.6387870455863</v>
      </c>
      <c r="L59" s="112">
        <f t="shared" si="41"/>
        <v>158.98242467796106</v>
      </c>
      <c r="M59" s="112">
        <f t="shared" si="41"/>
        <v>164.89890708155173</v>
      </c>
      <c r="N59" s="112">
        <f t="shared" si="41"/>
        <v>174.95274644159423</v>
      </c>
      <c r="O59" s="112">
        <f t="shared" si="41"/>
        <v>186.5522951875833</v>
      </c>
      <c r="P59" s="112">
        <f t="shared" si="41"/>
        <v>195.77017245790157</v>
      </c>
      <c r="R59" s="57">
        <f>(J59/D59)^(1/6)-1</f>
        <v>0.13916127565004732</v>
      </c>
      <c r="S59" s="57">
        <f>(P59/J59)^(1/6)-1</f>
        <v>5.6816532086728655E-2</v>
      </c>
    </row>
    <row r="60" spans="1:19" x14ac:dyDescent="0.2">
      <c r="A60" s="62" t="s">
        <v>4</v>
      </c>
      <c r="C60" s="63">
        <f t="shared" ref="C60:P60" si="42">C59/B59-1</f>
        <v>0.15840113738535222</v>
      </c>
      <c r="D60" s="63">
        <f t="shared" si="42"/>
        <v>0.13761926056464935</v>
      </c>
      <c r="E60" s="63">
        <f t="shared" si="42"/>
        <v>0.16084010064530152</v>
      </c>
      <c r="F60" s="63">
        <f t="shared" si="42"/>
        <v>0.14706151221688746</v>
      </c>
      <c r="G60" s="63">
        <f t="shared" si="42"/>
        <v>0.13831542125519314</v>
      </c>
      <c r="H60" s="63">
        <f t="shared" si="42"/>
        <v>0.16734190334281429</v>
      </c>
      <c r="I60" s="63">
        <f t="shared" si="42"/>
        <v>0.11684806940008108</v>
      </c>
      <c r="J60" s="63">
        <f t="shared" si="42"/>
        <v>0.10585293948544616</v>
      </c>
      <c r="K60" s="63">
        <f t="shared" si="42"/>
        <v>7.198294866455246E-2</v>
      </c>
      <c r="L60" s="63">
        <f t="shared" si="42"/>
        <v>5.5388375039489679E-2</v>
      </c>
      <c r="M60" s="63">
        <f t="shared" si="42"/>
        <v>3.7214694741102727E-2</v>
      </c>
      <c r="N60" s="63">
        <f t="shared" si="42"/>
        <v>6.0969714948264198E-2</v>
      </c>
      <c r="O60" s="63">
        <f t="shared" si="42"/>
        <v>6.6301038319861005E-2</v>
      </c>
      <c r="P60" s="63">
        <f t="shared" si="42"/>
        <v>4.9411760177217046E-2</v>
      </c>
      <c r="R60" s="109"/>
      <c r="S60" s="109"/>
    </row>
    <row r="61" spans="1:19" x14ac:dyDescent="0.2">
      <c r="A61" s="68" t="s">
        <v>10</v>
      </c>
      <c r="B61" s="112">
        <f t="shared" ref="B61:P61" si="43">(B49*1000000)/(B36*1000)</f>
        <v>6281.3509021220434</v>
      </c>
      <c r="C61" s="112">
        <f t="shared" si="43"/>
        <v>6585.7932981717859</v>
      </c>
      <c r="D61" s="112">
        <f t="shared" si="43"/>
        <v>6924.4978021657216</v>
      </c>
      <c r="E61" s="112">
        <f t="shared" si="43"/>
        <v>7415.7894993162408</v>
      </c>
      <c r="F61" s="112">
        <f t="shared" si="43"/>
        <v>8162.8428060965016</v>
      </c>
      <c r="G61" s="112">
        <f t="shared" si="43"/>
        <v>8601.3900210680495</v>
      </c>
      <c r="H61" s="112">
        <f t="shared" si="43"/>
        <v>9853.4965847046988</v>
      </c>
      <c r="I61" s="112">
        <f t="shared" si="43"/>
        <v>11052.522049671792</v>
      </c>
      <c r="J61" s="112">
        <f t="shared" si="43"/>
        <v>12084.427406915203</v>
      </c>
      <c r="K61" s="112">
        <f t="shared" si="43"/>
        <v>12201.058654217892</v>
      </c>
      <c r="L61" s="112">
        <f t="shared" si="43"/>
        <v>12651.387331241758</v>
      </c>
      <c r="M61" s="112">
        <f t="shared" si="43"/>
        <v>12989.102183482135</v>
      </c>
      <c r="N61" s="112">
        <f t="shared" si="43"/>
        <v>13711.351505313418</v>
      </c>
      <c r="O61" s="112">
        <f t="shared" si="43"/>
        <v>14608.365269535396</v>
      </c>
      <c r="P61" s="112">
        <f t="shared" si="43"/>
        <v>15363.780395368745</v>
      </c>
      <c r="R61" s="57">
        <f>(J61/D61)^(1/6)-1</f>
        <v>9.7251793115741281E-2</v>
      </c>
      <c r="S61" s="57">
        <f>(P61/J61)^(1/6)-1</f>
        <v>4.0827285810178138E-2</v>
      </c>
    </row>
    <row r="62" spans="1:19" x14ac:dyDescent="0.2">
      <c r="A62" s="62" t="s">
        <v>4</v>
      </c>
      <c r="C62" s="63">
        <f t="shared" ref="C62:P62" si="44">C61/B61-1</f>
        <v>4.8467662576674675E-2</v>
      </c>
      <c r="D62" s="63">
        <f t="shared" si="44"/>
        <v>5.1429567959255573E-2</v>
      </c>
      <c r="E62" s="63">
        <f t="shared" si="44"/>
        <v>7.0949794654691312E-2</v>
      </c>
      <c r="F62" s="63">
        <f t="shared" si="44"/>
        <v>0.10073820283722212</v>
      </c>
      <c r="G62" s="63">
        <f t="shared" si="44"/>
        <v>5.3724814429112255E-2</v>
      </c>
      <c r="H62" s="63">
        <f t="shared" si="44"/>
        <v>0.14557025789666178</v>
      </c>
      <c r="I62" s="63">
        <f t="shared" si="44"/>
        <v>0.12168527736928492</v>
      </c>
      <c r="J62" s="63">
        <f t="shared" si="44"/>
        <v>9.3363790871066721E-2</v>
      </c>
      <c r="K62" s="63">
        <f t="shared" si="44"/>
        <v>9.6513672824867225E-3</v>
      </c>
      <c r="L62" s="63">
        <f t="shared" si="44"/>
        <v>3.6908983866591694E-2</v>
      </c>
      <c r="M62" s="63">
        <f t="shared" si="44"/>
        <v>2.6693898732071286E-2</v>
      </c>
      <c r="N62" s="63">
        <f t="shared" si="44"/>
        <v>5.5604252828940437E-2</v>
      </c>
      <c r="O62" s="63">
        <f t="shared" si="44"/>
        <v>6.5421250696867217E-2</v>
      </c>
      <c r="P62" s="63">
        <f t="shared" si="44"/>
        <v>5.1711133442748025E-2</v>
      </c>
      <c r="R62" s="109"/>
      <c r="S62" s="109"/>
    </row>
    <row r="63" spans="1:19" x14ac:dyDescent="0.2">
      <c r="A63" s="68" t="s">
        <v>11</v>
      </c>
      <c r="B63" s="112">
        <f t="shared" ref="B63:P63" si="45">(B51*1000000)/(B38*1000)</f>
        <v>17069.809095422093</v>
      </c>
      <c r="C63" s="112">
        <f t="shared" si="45"/>
        <v>18983.738891816789</v>
      </c>
      <c r="D63" s="112">
        <f t="shared" si="45"/>
        <v>21579.537139737331</v>
      </c>
      <c r="E63" s="112">
        <f t="shared" si="45"/>
        <v>25208.681704870272</v>
      </c>
      <c r="F63" s="112">
        <f t="shared" si="45"/>
        <v>30691.917678249745</v>
      </c>
      <c r="G63" s="112">
        <f t="shared" si="45"/>
        <v>38156.243623709233</v>
      </c>
      <c r="H63" s="112">
        <f t="shared" si="45"/>
        <v>45731.645170717173</v>
      </c>
      <c r="I63" s="112">
        <f t="shared" si="45"/>
        <v>54174.583492880003</v>
      </c>
      <c r="J63" s="112">
        <f t="shared" si="45"/>
        <v>63945.230958120752</v>
      </c>
      <c r="K63" s="112">
        <f t="shared" si="45"/>
        <v>76316.028356491297</v>
      </c>
      <c r="L63" s="112">
        <f t="shared" si="45"/>
        <v>88344.761340750701</v>
      </c>
      <c r="M63" s="112">
        <f t="shared" si="45"/>
        <v>101053.41850297464</v>
      </c>
      <c r="N63" s="112">
        <f t="shared" si="45"/>
        <v>118462.47454556404</v>
      </c>
      <c r="O63" s="112">
        <f t="shared" si="45"/>
        <v>139584.5233962429</v>
      </c>
      <c r="P63" s="112">
        <f t="shared" si="45"/>
        <v>161618.05397630701</v>
      </c>
      <c r="R63" s="57">
        <f>(J63/D63)^(1/6)-1</f>
        <v>0.19847139420884341</v>
      </c>
      <c r="S63" s="57">
        <f>(P63/J63)^(1/6)-1</f>
        <v>0.16711491420881641</v>
      </c>
    </row>
    <row r="64" spans="1:19" x14ac:dyDescent="0.2">
      <c r="A64" s="62" t="s">
        <v>4</v>
      </c>
      <c r="C64" s="63">
        <f t="shared" ref="C64:P64" si="46">C63/B63-1</f>
        <v>0.11212367904618148</v>
      </c>
      <c r="D64" s="63">
        <f t="shared" si="46"/>
        <v>0.13673798732237619</v>
      </c>
      <c r="E64" s="63">
        <f t="shared" si="46"/>
        <v>0.16817527371567698</v>
      </c>
      <c r="F64" s="63">
        <f t="shared" si="46"/>
        <v>0.21751379296919438</v>
      </c>
      <c r="G64" s="63">
        <f t="shared" si="46"/>
        <v>0.24320168012014398</v>
      </c>
      <c r="H64" s="63">
        <f t="shared" si="46"/>
        <v>0.19853635545771575</v>
      </c>
      <c r="I64" s="63">
        <f t="shared" si="46"/>
        <v>0.18461916886316176</v>
      </c>
      <c r="J64" s="63">
        <f t="shared" si="46"/>
        <v>0.18035482389126023</v>
      </c>
      <c r="K64" s="63">
        <f t="shared" si="46"/>
        <v>0.19345926526518409</v>
      </c>
      <c r="L64" s="63">
        <f t="shared" si="46"/>
        <v>0.15761738711126561</v>
      </c>
      <c r="M64" s="63">
        <f t="shared" si="46"/>
        <v>0.14385297972797662</v>
      </c>
      <c r="N64" s="63">
        <f t="shared" si="46"/>
        <v>0.17227577553031459</v>
      </c>
      <c r="O64" s="63">
        <f t="shared" si="46"/>
        <v>0.17830160083778024</v>
      </c>
      <c r="P64" s="63">
        <f t="shared" si="46"/>
        <v>0.1578508135713359</v>
      </c>
      <c r="R64" s="109"/>
      <c r="S64" s="109"/>
    </row>
    <row r="65" spans="1:19" x14ac:dyDescent="0.2">
      <c r="A65" s="77" t="s">
        <v>23</v>
      </c>
      <c r="B65" s="56">
        <f>(B55*1000000)/(B40*1000)</f>
        <v>583.28329260355838</v>
      </c>
      <c r="C65" s="56">
        <f t="shared" ref="C65:P65" si="47">(C55*1000000)/(C40*1000)</f>
        <v>661.16792689483202</v>
      </c>
      <c r="D65" s="56">
        <f t="shared" si="47"/>
        <v>734.76712537365268</v>
      </c>
      <c r="E65" s="56">
        <f t="shared" si="47"/>
        <v>826.34566934058614</v>
      </c>
      <c r="F65" s="56">
        <f t="shared" si="47"/>
        <v>930.54785274123208</v>
      </c>
      <c r="G65" s="56">
        <f t="shared" si="47"/>
        <v>1043.6649393269756</v>
      </c>
      <c r="H65" s="56">
        <f t="shared" si="47"/>
        <v>1217.0923186474868</v>
      </c>
      <c r="I65" s="56">
        <f t="shared" si="47"/>
        <v>1355.6075379991019</v>
      </c>
      <c r="J65" s="56">
        <f t="shared" si="47"/>
        <v>1492.865906025356</v>
      </c>
      <c r="K65" s="56">
        <f t="shared" si="47"/>
        <v>1556.6962370827634</v>
      </c>
      <c r="L65" s="56">
        <f t="shared" si="47"/>
        <v>1624.570766209381</v>
      </c>
      <c r="M65" s="56">
        <f t="shared" si="47"/>
        <v>1667.4364329811585</v>
      </c>
      <c r="N65" s="56">
        <f t="shared" si="47"/>
        <v>1751.5177680539846</v>
      </c>
      <c r="O65" s="56">
        <f t="shared" si="47"/>
        <v>1849.8314970814235</v>
      </c>
      <c r="P65" s="56">
        <f t="shared" si="47"/>
        <v>1923.2662604954717</v>
      </c>
      <c r="R65" s="57">
        <f>(J65/D65)^(1/6)-1</f>
        <v>0.12541279165038732</v>
      </c>
      <c r="S65" s="57">
        <f>(P65/J65)^(1/6)-1</f>
        <v>4.3125195761723134E-2</v>
      </c>
    </row>
    <row r="66" spans="1:19" x14ac:dyDescent="0.2">
      <c r="A66" s="74" t="s">
        <v>4</v>
      </c>
      <c r="B66" s="66"/>
      <c r="C66" s="59">
        <f t="shared" ref="C66:P66" si="48">C65/B65-1</f>
        <v>0.13352797050576526</v>
      </c>
      <c r="D66" s="59">
        <f t="shared" si="48"/>
        <v>0.11131695214630044</v>
      </c>
      <c r="E66" s="59">
        <f t="shared" si="48"/>
        <v>0.12463614770511522</v>
      </c>
      <c r="F66" s="59">
        <f t="shared" si="48"/>
        <v>0.12609999334031485</v>
      </c>
      <c r="G66" s="59">
        <f t="shared" si="48"/>
        <v>0.12155966644006577</v>
      </c>
      <c r="H66" s="59">
        <f t="shared" si="48"/>
        <v>0.16617151040098044</v>
      </c>
      <c r="I66" s="59">
        <f t="shared" si="48"/>
        <v>0.11380830955004484</v>
      </c>
      <c r="J66" s="59">
        <f t="shared" si="48"/>
        <v>0.10125229034123673</v>
      </c>
      <c r="K66" s="59">
        <f t="shared" si="48"/>
        <v>4.275690857416059E-2</v>
      </c>
      <c r="L66" s="59">
        <f t="shared" si="48"/>
        <v>4.3601652981325234E-2</v>
      </c>
      <c r="M66" s="59">
        <f t="shared" si="48"/>
        <v>2.6385841517877484E-2</v>
      </c>
      <c r="N66" s="59">
        <f t="shared" si="48"/>
        <v>5.0425511527596667E-2</v>
      </c>
      <c r="O66" s="59">
        <f t="shared" si="48"/>
        <v>5.6130591890409365E-2</v>
      </c>
      <c r="P66" s="59">
        <f t="shared" si="48"/>
        <v>3.9698082517196864E-2</v>
      </c>
      <c r="R66" s="109"/>
      <c r="S66" s="109"/>
    </row>
    <row r="67" spans="1:19" ht="17.100000000000001" customHeight="1" x14ac:dyDescent="0.2">
      <c r="R67" s="109"/>
      <c r="S67" s="109"/>
    </row>
    <row r="68" spans="1:19" x14ac:dyDescent="0.2">
      <c r="A68" s="67" t="s">
        <v>25</v>
      </c>
      <c r="R68" s="109"/>
      <c r="S68" s="109"/>
    </row>
    <row r="69" spans="1:19" x14ac:dyDescent="0.2">
      <c r="A69" s="68" t="s">
        <v>26</v>
      </c>
      <c r="B69" s="46">
        <v>36.453438175999999</v>
      </c>
      <c r="C69" s="46">
        <v>46.470722079999973</v>
      </c>
      <c r="D69" s="46">
        <v>58.342856752000003</v>
      </c>
      <c r="E69" s="46">
        <v>74.72389203200008</v>
      </c>
      <c r="F69" s="46">
        <v>94.11321105600004</v>
      </c>
      <c r="G69" s="46">
        <v>120.25146734400005</v>
      </c>
      <c r="H69" s="46">
        <v>157.95144830399988</v>
      </c>
      <c r="I69" s="46">
        <v>195.60089279999994</v>
      </c>
      <c r="J69" s="46">
        <v>237.64050143999975</v>
      </c>
      <c r="K69" s="46">
        <v>273.01553707350723</v>
      </c>
      <c r="L69" s="46">
        <v>314.13819916880595</v>
      </c>
      <c r="M69" s="46">
        <v>355.23055957142788</v>
      </c>
      <c r="N69" s="46">
        <v>408.52610273974403</v>
      </c>
      <c r="O69" s="46">
        <v>469.95759804357334</v>
      </c>
      <c r="P69" s="46">
        <v>529.64470384957917</v>
      </c>
      <c r="R69" s="57">
        <f>(J69/D69)^(1/6)-1</f>
        <v>0.26373339336343093</v>
      </c>
      <c r="S69" s="57">
        <f>(P69/J69)^(1/6)-1</f>
        <v>0.14290648151023455</v>
      </c>
    </row>
    <row r="70" spans="1:19" x14ac:dyDescent="0.2">
      <c r="A70" s="62" t="s">
        <v>4</v>
      </c>
      <c r="B70" s="63"/>
      <c r="C70" s="63">
        <f t="shared" ref="C70:P70" si="49">C69/B69-1</f>
        <v>0.27479668325483475</v>
      </c>
      <c r="D70" s="63">
        <f t="shared" si="49"/>
        <v>0.25547557990517111</v>
      </c>
      <c r="E70" s="63">
        <f t="shared" si="49"/>
        <v>0.28077190922672002</v>
      </c>
      <c r="F70" s="63">
        <f t="shared" si="49"/>
        <v>0.25947951179652939</v>
      </c>
      <c r="G70" s="63">
        <f t="shared" si="49"/>
        <v>0.27773206327480415</v>
      </c>
      <c r="H70" s="63">
        <f t="shared" si="49"/>
        <v>0.31350952959395118</v>
      </c>
      <c r="I70" s="63">
        <f t="shared" si="49"/>
        <v>0.23836086911680843</v>
      </c>
      <c r="J70" s="63">
        <f t="shared" si="49"/>
        <v>0.21492544353048992</v>
      </c>
      <c r="K70" s="63">
        <f t="shared" si="49"/>
        <v>0.14885945543436363</v>
      </c>
      <c r="L70" s="63">
        <f t="shared" si="49"/>
        <v>0.15062388952694206</v>
      </c>
      <c r="M70" s="63">
        <f t="shared" si="49"/>
        <v>0.1308098171803056</v>
      </c>
      <c r="N70" s="63">
        <f t="shared" si="49"/>
        <v>0.15003085104112435</v>
      </c>
      <c r="O70" s="63">
        <f t="shared" si="49"/>
        <v>0.15037348872408507</v>
      </c>
      <c r="P70" s="63">
        <f t="shared" si="49"/>
        <v>0.12700530016853095</v>
      </c>
      <c r="R70" s="109"/>
      <c r="S70" s="109"/>
    </row>
    <row r="71" spans="1:19" x14ac:dyDescent="0.2">
      <c r="A71" s="68" t="s">
        <v>27</v>
      </c>
      <c r="B71" s="46">
        <v>19.431244800000002</v>
      </c>
      <c r="C71" s="46">
        <v>25.112092079999989</v>
      </c>
      <c r="D71" s="46">
        <v>33.142682687999994</v>
      </c>
      <c r="E71" s="46">
        <v>42.550394112000014</v>
      </c>
      <c r="F71" s="46">
        <v>54.934993568000039</v>
      </c>
      <c r="G71" s="46">
        <v>71.817402096000123</v>
      </c>
      <c r="H71" s="46">
        <v>97.22377958400017</v>
      </c>
      <c r="I71" s="46">
        <v>122.83359897600006</v>
      </c>
      <c r="J71" s="46">
        <v>152.73835360000024</v>
      </c>
      <c r="K71" s="46">
        <v>178.48102120672365</v>
      </c>
      <c r="L71" s="46">
        <v>208.51715479861696</v>
      </c>
      <c r="M71" s="46">
        <v>239.99848820129972</v>
      </c>
      <c r="N71" s="46">
        <v>280.78761384402509</v>
      </c>
      <c r="O71" s="46">
        <v>328.43518501442355</v>
      </c>
      <c r="P71" s="46">
        <v>377.28599407264318</v>
      </c>
      <c r="R71" s="57">
        <f>(J71/D71)^(1/6)-1</f>
        <v>0.29001098250172119</v>
      </c>
      <c r="S71" s="57">
        <f>(P71/J71)^(1/6)-1</f>
        <v>0.16266276209901509</v>
      </c>
    </row>
    <row r="72" spans="1:19" x14ac:dyDescent="0.2">
      <c r="A72" s="62" t="s">
        <v>4</v>
      </c>
      <c r="B72" s="63"/>
      <c r="C72" s="63">
        <f t="shared" ref="C72:P72" si="50">C71/B71-1</f>
        <v>0.29235632294643255</v>
      </c>
      <c r="D72" s="63">
        <f t="shared" si="50"/>
        <v>0.31978978821903103</v>
      </c>
      <c r="E72" s="63">
        <f t="shared" si="50"/>
        <v>0.28385485606469274</v>
      </c>
      <c r="F72" s="63">
        <f t="shared" si="50"/>
        <v>0.29105722084269336</v>
      </c>
      <c r="G72" s="63">
        <f t="shared" si="50"/>
        <v>0.30731611003289871</v>
      </c>
      <c r="H72" s="63">
        <f t="shared" si="50"/>
        <v>0.35376352731387728</v>
      </c>
      <c r="I72" s="63">
        <f t="shared" si="50"/>
        <v>0.26341106570407824</v>
      </c>
      <c r="J72" s="63">
        <f t="shared" si="50"/>
        <v>0.24345744872169006</v>
      </c>
      <c r="K72" s="63">
        <f t="shared" si="50"/>
        <v>0.16854095255039714</v>
      </c>
      <c r="L72" s="63">
        <f t="shared" si="50"/>
        <v>0.16828754894395348</v>
      </c>
      <c r="M72" s="63">
        <f t="shared" si="50"/>
        <v>0.15097718666402771</v>
      </c>
      <c r="N72" s="63">
        <f t="shared" si="50"/>
        <v>0.169955760756765</v>
      </c>
      <c r="O72" s="63">
        <f t="shared" si="50"/>
        <v>0.16969256769590357</v>
      </c>
      <c r="P72" s="63">
        <f t="shared" si="50"/>
        <v>0.1487380502672826</v>
      </c>
      <c r="R72" s="109"/>
      <c r="S72" s="109"/>
    </row>
    <row r="73" spans="1:19" x14ac:dyDescent="0.2">
      <c r="A73" s="68" t="s">
        <v>28</v>
      </c>
      <c r="B73" s="46">
        <v>2.8423828927999999</v>
      </c>
      <c r="C73" s="46">
        <v>3.7206825168000002</v>
      </c>
      <c r="D73" s="46">
        <v>4.980774155199998</v>
      </c>
      <c r="E73" s="46">
        <v>6.4739581455999939</v>
      </c>
      <c r="F73" s="46">
        <v>8.4650419072000016</v>
      </c>
      <c r="G73" s="46">
        <v>11.21689076479999</v>
      </c>
      <c r="H73" s="46">
        <v>15.274955503999969</v>
      </c>
      <c r="I73" s="46">
        <v>19.557315743999947</v>
      </c>
      <c r="J73" s="46">
        <v>24.571879775999911</v>
      </c>
      <c r="K73" s="46">
        <v>29.460878353347109</v>
      </c>
      <c r="L73" s="46">
        <v>35.053989642253491</v>
      </c>
      <c r="M73" s="46">
        <v>39.635195291295247</v>
      </c>
      <c r="N73" s="46">
        <v>47.034756274308947</v>
      </c>
      <c r="O73" s="46">
        <v>56.447809029314378</v>
      </c>
      <c r="P73" s="46">
        <v>64.909829459976578</v>
      </c>
      <c r="R73" s="57">
        <f>(J73/D73)^(1/6)-1</f>
        <v>0.30473883345614872</v>
      </c>
      <c r="S73" s="57">
        <f>(P73/J73)^(1/6)-1</f>
        <v>0.17574195125201664</v>
      </c>
    </row>
    <row r="74" spans="1:19" x14ac:dyDescent="0.2">
      <c r="A74" s="62" t="s">
        <v>4</v>
      </c>
      <c r="B74" s="63"/>
      <c r="C74" s="63">
        <f t="shared" ref="C74:P74" si="51">C73/B73-1</f>
        <v>0.30900116455978144</v>
      </c>
      <c r="D74" s="63">
        <f t="shared" si="51"/>
        <v>0.33867217444925912</v>
      </c>
      <c r="E74" s="63">
        <f t="shared" si="51"/>
        <v>0.29978953951186305</v>
      </c>
      <c r="F74" s="63">
        <f t="shared" si="51"/>
        <v>0.30755277016321791</v>
      </c>
      <c r="G74" s="63">
        <f t="shared" si="51"/>
        <v>0.32508390245054586</v>
      </c>
      <c r="H74" s="63">
        <f t="shared" si="51"/>
        <v>0.36178160457215958</v>
      </c>
      <c r="I74" s="63">
        <f t="shared" si="51"/>
        <v>0.28035173253883316</v>
      </c>
      <c r="J74" s="63">
        <f t="shared" si="51"/>
        <v>0.25640349103319049</v>
      </c>
      <c r="K74" s="63">
        <f t="shared" si="51"/>
        <v>0.19896721870348832</v>
      </c>
      <c r="L74" s="63">
        <f t="shared" si="51"/>
        <v>0.18984876220674307</v>
      </c>
      <c r="M74" s="63">
        <f t="shared" si="51"/>
        <v>0.13068999265976977</v>
      </c>
      <c r="N74" s="63">
        <f t="shared" si="51"/>
        <v>0.18669167462482017</v>
      </c>
      <c r="O74" s="63">
        <f t="shared" si="51"/>
        <v>0.2001297232222925</v>
      </c>
      <c r="P74" s="63">
        <f t="shared" si="51"/>
        <v>0.14990874891650297</v>
      </c>
      <c r="R74" s="109"/>
      <c r="S74" s="109"/>
    </row>
    <row r="75" spans="1:19" x14ac:dyDescent="0.2">
      <c r="A75" s="77" t="s">
        <v>23</v>
      </c>
      <c r="B75" s="56">
        <f t="shared" ref="B75:P75" si="52">B69+B71+B73</f>
        <v>58.727065868799997</v>
      </c>
      <c r="C75" s="56">
        <f t="shared" si="52"/>
        <v>75.303496676799966</v>
      </c>
      <c r="D75" s="56">
        <f t="shared" si="52"/>
        <v>96.466313595199992</v>
      </c>
      <c r="E75" s="56">
        <f t="shared" si="52"/>
        <v>123.74824428960008</v>
      </c>
      <c r="F75" s="56">
        <f t="shared" si="52"/>
        <v>157.51324653120008</v>
      </c>
      <c r="G75" s="56">
        <f t="shared" si="52"/>
        <v>203.28576020480017</v>
      </c>
      <c r="H75" s="56">
        <f t="shared" si="52"/>
        <v>270.45018339200004</v>
      </c>
      <c r="I75" s="56">
        <f t="shared" si="52"/>
        <v>337.99180751999995</v>
      </c>
      <c r="J75" s="56">
        <f t="shared" si="52"/>
        <v>414.95073481599985</v>
      </c>
      <c r="K75" s="56">
        <f t="shared" si="52"/>
        <v>480.95743663357797</v>
      </c>
      <c r="L75" s="56">
        <f t="shared" si="52"/>
        <v>557.70934360967635</v>
      </c>
      <c r="M75" s="56">
        <f t="shared" si="52"/>
        <v>634.86424306402296</v>
      </c>
      <c r="N75" s="56">
        <f t="shared" si="52"/>
        <v>736.34847285807803</v>
      </c>
      <c r="O75" s="56">
        <f t="shared" si="52"/>
        <v>854.84059208731128</v>
      </c>
      <c r="P75" s="56">
        <f t="shared" si="52"/>
        <v>971.84052738219896</v>
      </c>
      <c r="R75" s="57">
        <f>(J75/D75)^(1/6)-1</f>
        <v>0.27527391317769934</v>
      </c>
      <c r="S75" s="57">
        <f>(P75/J75)^(1/6)-1</f>
        <v>0.15239069964215557</v>
      </c>
    </row>
    <row r="76" spans="1:19" x14ac:dyDescent="0.2">
      <c r="A76" s="74" t="s">
        <v>4</v>
      </c>
      <c r="B76" s="66"/>
      <c r="C76" s="59">
        <f t="shared" ref="C76:P76" si="53">C75/B75-1</f>
        <v>0.28226219993746615</v>
      </c>
      <c r="D76" s="59">
        <f t="shared" si="53"/>
        <v>0.28103365517314693</v>
      </c>
      <c r="E76" s="59">
        <f t="shared" si="53"/>
        <v>0.28281303262901503</v>
      </c>
      <c r="F76" s="59">
        <f t="shared" si="53"/>
        <v>0.27285237407152163</v>
      </c>
      <c r="G76" s="59">
        <f t="shared" si="53"/>
        <v>0.29059469398044246</v>
      </c>
      <c r="H76" s="59">
        <f t="shared" si="53"/>
        <v>0.33039413640943227</v>
      </c>
      <c r="I76" s="59">
        <f t="shared" si="53"/>
        <v>0.24973776420074634</v>
      </c>
      <c r="J76" s="59">
        <f t="shared" si="53"/>
        <v>0.22769465289908242</v>
      </c>
      <c r="K76" s="59">
        <f t="shared" si="53"/>
        <v>0.15907117708044849</v>
      </c>
      <c r="L76" s="59">
        <f t="shared" si="53"/>
        <v>0.15958149542985978</v>
      </c>
      <c r="M76" s="59">
        <f t="shared" si="53"/>
        <v>0.13834249029247925</v>
      </c>
      <c r="N76" s="59">
        <f t="shared" si="53"/>
        <v>0.15985185951608383</v>
      </c>
      <c r="O76" s="59">
        <f t="shared" si="53"/>
        <v>0.16091853734593276</v>
      </c>
      <c r="P76" s="59">
        <f t="shared" si="53"/>
        <v>0.13686754744437502</v>
      </c>
      <c r="R76" s="109"/>
      <c r="S76" s="109"/>
    </row>
    <row r="77" spans="1:19" ht="17.100000000000001" customHeight="1" x14ac:dyDescent="0.2">
      <c r="J77" s="108"/>
      <c r="R77" s="109"/>
      <c r="S77" s="109"/>
    </row>
    <row r="78" spans="1:19" x14ac:dyDescent="0.2">
      <c r="A78" s="67" t="s">
        <v>29</v>
      </c>
      <c r="R78" s="109"/>
      <c r="S78" s="109"/>
    </row>
    <row r="79" spans="1:19" x14ac:dyDescent="0.2">
      <c r="A79" s="68" t="s">
        <v>30</v>
      </c>
      <c r="B79" s="46">
        <v>24.608799218072551</v>
      </c>
      <c r="C79" s="46">
        <v>30.976301430437257</v>
      </c>
      <c r="D79" s="46">
        <v>38.013984139066203</v>
      </c>
      <c r="E79" s="46">
        <v>47.804384388914329</v>
      </c>
      <c r="F79" s="46">
        <v>59.78257500664575</v>
      </c>
      <c r="G79" s="46">
        <v>72.074280588146181</v>
      </c>
      <c r="H79" s="46">
        <v>93.508030303102103</v>
      </c>
      <c r="I79" s="46">
        <v>114.87382443368527</v>
      </c>
      <c r="J79" s="46">
        <v>137.74837216000375</v>
      </c>
      <c r="K79" s="46">
        <v>155.25000484107829</v>
      </c>
      <c r="L79" s="46">
        <v>175.30731510556336</v>
      </c>
      <c r="M79" s="46">
        <v>194.62269674002113</v>
      </c>
      <c r="N79" s="46">
        <v>219.83056424463814</v>
      </c>
      <c r="O79" s="46">
        <v>248.48827732118735</v>
      </c>
      <c r="P79" s="46">
        <v>275.3072090840364</v>
      </c>
      <c r="R79" s="57">
        <f>(J79/D79)^(1/6)-1</f>
        <v>0.23934013546125987</v>
      </c>
      <c r="S79" s="57">
        <f>(P79/J79)^(1/6)-1</f>
        <v>0.12233330684850663</v>
      </c>
    </row>
    <row r="80" spans="1:19" x14ac:dyDescent="0.2">
      <c r="A80" s="62" t="s">
        <v>4</v>
      </c>
      <c r="B80" s="63"/>
      <c r="C80" s="63">
        <f t="shared" ref="C80:P80" si="54">C79/B79-1</f>
        <v>0.25874900095444109</v>
      </c>
      <c r="D80" s="63">
        <f t="shared" si="54"/>
        <v>0.22719570715804482</v>
      </c>
      <c r="E80" s="63">
        <f t="shared" si="54"/>
        <v>0.25754733347685943</v>
      </c>
      <c r="F80" s="63">
        <f t="shared" si="54"/>
        <v>0.2505667789858439</v>
      </c>
      <c r="G80" s="63">
        <f t="shared" si="54"/>
        <v>0.20560682740972624</v>
      </c>
      <c r="H80" s="63">
        <f t="shared" si="54"/>
        <v>0.29738416450432203</v>
      </c>
      <c r="I80" s="63">
        <f t="shared" si="54"/>
        <v>0.22849154303996033</v>
      </c>
      <c r="J80" s="63">
        <f t="shared" si="54"/>
        <v>0.19912758924051999</v>
      </c>
      <c r="K80" s="63">
        <f t="shared" si="54"/>
        <v>0.12705509623551303</v>
      </c>
      <c r="L80" s="63">
        <f t="shared" si="54"/>
        <v>0.12919362086343722</v>
      </c>
      <c r="M80" s="63">
        <f t="shared" si="54"/>
        <v>0.11018012353236251</v>
      </c>
      <c r="N80" s="63">
        <f t="shared" si="54"/>
        <v>0.12952172550712282</v>
      </c>
      <c r="O80" s="63">
        <f t="shared" si="54"/>
        <v>0.13036273265740017</v>
      </c>
      <c r="P80" s="63">
        <f t="shared" si="54"/>
        <v>0.10792835803752565</v>
      </c>
      <c r="R80" s="109"/>
      <c r="S80" s="109"/>
    </row>
    <row r="81" spans="1:19" x14ac:dyDescent="0.2">
      <c r="A81" s="68" t="s">
        <v>31</v>
      </c>
      <c r="B81" s="46">
        <v>11.844638957927447</v>
      </c>
      <c r="C81" s="46">
        <v>15.494420649562716</v>
      </c>
      <c r="D81" s="46">
        <v>20.3288726129338</v>
      </c>
      <c r="E81" s="46">
        <v>26.919507643085751</v>
      </c>
      <c r="F81" s="46">
        <v>34.33063604935429</v>
      </c>
      <c r="G81" s="46">
        <v>48.177186755853867</v>
      </c>
      <c r="H81" s="46">
        <v>64.443418000897779</v>
      </c>
      <c r="I81" s="46">
        <v>80.727068366314668</v>
      </c>
      <c r="J81" s="46">
        <v>99.892129279995999</v>
      </c>
      <c r="K81" s="46">
        <v>117.76553223242894</v>
      </c>
      <c r="L81" s="46">
        <v>138.83088406324259</v>
      </c>
      <c r="M81" s="46">
        <v>160.60786283140675</v>
      </c>
      <c r="N81" s="46">
        <v>188.69553849510589</v>
      </c>
      <c r="O81" s="46">
        <v>221.46932072238599</v>
      </c>
      <c r="P81" s="46">
        <v>254.33749476554277</v>
      </c>
      <c r="R81" s="57">
        <f>(J81/D81)^(1/6)-1</f>
        <v>0.30387611366934975</v>
      </c>
      <c r="S81" s="57">
        <f>(P81/J81)^(1/6)-1</f>
        <v>0.16854790131319164</v>
      </c>
    </row>
    <row r="82" spans="1:19" x14ac:dyDescent="0.2">
      <c r="A82" s="62" t="s">
        <v>4</v>
      </c>
      <c r="B82" s="63"/>
      <c r="C82" s="63">
        <f t="shared" ref="C82:P82" si="55">C81/B81-1</f>
        <v>0.30813785921203807</v>
      </c>
      <c r="D82" s="63">
        <f t="shared" si="55"/>
        <v>0.3120124380712177</v>
      </c>
      <c r="E82" s="63">
        <f t="shared" si="55"/>
        <v>0.32420071469968303</v>
      </c>
      <c r="F82" s="63">
        <f t="shared" si="55"/>
        <v>0.27530698200463122</v>
      </c>
      <c r="G82" s="63">
        <f t="shared" si="55"/>
        <v>0.40332927961467258</v>
      </c>
      <c r="H82" s="63">
        <f t="shared" si="55"/>
        <v>0.33763348049930397</v>
      </c>
      <c r="I82" s="63">
        <f t="shared" si="55"/>
        <v>0.25268135785705903</v>
      </c>
      <c r="J82" s="63">
        <f t="shared" si="55"/>
        <v>0.237405634832621</v>
      </c>
      <c r="K82" s="63">
        <f t="shared" si="55"/>
        <v>0.17892703941002286</v>
      </c>
      <c r="L82" s="63">
        <f t="shared" si="55"/>
        <v>0.17887535878696537</v>
      </c>
      <c r="M82" s="63">
        <f t="shared" si="55"/>
        <v>0.15685975721543288</v>
      </c>
      <c r="N82" s="63">
        <f t="shared" si="55"/>
        <v>0.17488356527839066</v>
      </c>
      <c r="O82" s="63">
        <f t="shared" si="55"/>
        <v>0.17368604731547554</v>
      </c>
      <c r="P82" s="63">
        <f t="shared" si="55"/>
        <v>0.14840960335249953</v>
      </c>
      <c r="R82" s="109"/>
      <c r="S82" s="109"/>
    </row>
    <row r="83" spans="1:19" x14ac:dyDescent="0.2">
      <c r="A83" s="77" t="s">
        <v>23</v>
      </c>
      <c r="B83" s="56">
        <f t="shared" ref="B83:P83" si="56">B79+B81</f>
        <v>36.453438175999999</v>
      </c>
      <c r="C83" s="56">
        <f t="shared" si="56"/>
        <v>46.470722079999973</v>
      </c>
      <c r="D83" s="56">
        <f t="shared" si="56"/>
        <v>58.342856752000003</v>
      </c>
      <c r="E83" s="56">
        <f t="shared" si="56"/>
        <v>74.72389203200008</v>
      </c>
      <c r="F83" s="56">
        <f t="shared" si="56"/>
        <v>94.11321105600004</v>
      </c>
      <c r="G83" s="56">
        <f t="shared" si="56"/>
        <v>120.25146734400005</v>
      </c>
      <c r="H83" s="56">
        <f t="shared" si="56"/>
        <v>157.95144830399988</v>
      </c>
      <c r="I83" s="56">
        <f t="shared" si="56"/>
        <v>195.60089279999994</v>
      </c>
      <c r="J83" s="56">
        <f t="shared" si="56"/>
        <v>237.64050143999975</v>
      </c>
      <c r="K83" s="56">
        <f t="shared" si="56"/>
        <v>273.01553707350723</v>
      </c>
      <c r="L83" s="56">
        <f t="shared" si="56"/>
        <v>314.13819916880595</v>
      </c>
      <c r="M83" s="56">
        <f t="shared" si="56"/>
        <v>355.23055957142788</v>
      </c>
      <c r="N83" s="56">
        <f t="shared" si="56"/>
        <v>408.52610273974403</v>
      </c>
      <c r="O83" s="56">
        <f t="shared" si="56"/>
        <v>469.95759804357334</v>
      </c>
      <c r="P83" s="56">
        <f t="shared" si="56"/>
        <v>529.64470384957917</v>
      </c>
      <c r="R83" s="57">
        <f>(J83/D83)^(1/6)-1</f>
        <v>0.26373339336343093</v>
      </c>
      <c r="S83" s="57">
        <f>(P83/J83)^(1/6)-1</f>
        <v>0.14290648151023455</v>
      </c>
    </row>
    <row r="84" spans="1:19" x14ac:dyDescent="0.2">
      <c r="A84" s="74" t="s">
        <v>4</v>
      </c>
      <c r="B84" s="66"/>
      <c r="C84" s="59">
        <f t="shared" ref="C84:P84" si="57">C83/B83-1</f>
        <v>0.27479668325483475</v>
      </c>
      <c r="D84" s="59">
        <f t="shared" si="57"/>
        <v>0.25547557990517111</v>
      </c>
      <c r="E84" s="59">
        <f t="shared" si="57"/>
        <v>0.28077190922672002</v>
      </c>
      <c r="F84" s="59">
        <f t="shared" si="57"/>
        <v>0.25947951179652939</v>
      </c>
      <c r="G84" s="59">
        <f t="shared" si="57"/>
        <v>0.27773206327480415</v>
      </c>
      <c r="H84" s="59">
        <f t="shared" si="57"/>
        <v>0.31350952959395118</v>
      </c>
      <c r="I84" s="59">
        <f t="shared" si="57"/>
        <v>0.23836086911680843</v>
      </c>
      <c r="J84" s="59">
        <f t="shared" si="57"/>
        <v>0.21492544353048992</v>
      </c>
      <c r="K84" s="59">
        <f t="shared" si="57"/>
        <v>0.14885945543436363</v>
      </c>
      <c r="L84" s="59">
        <f t="shared" si="57"/>
        <v>0.15062388952694206</v>
      </c>
      <c r="M84" s="59">
        <f t="shared" si="57"/>
        <v>0.1308098171803056</v>
      </c>
      <c r="N84" s="59">
        <f t="shared" si="57"/>
        <v>0.15003085104112435</v>
      </c>
      <c r="O84" s="59">
        <f t="shared" si="57"/>
        <v>0.15037348872408507</v>
      </c>
      <c r="P84" s="59">
        <f t="shared" si="57"/>
        <v>0.12700530016853095</v>
      </c>
      <c r="R84" s="109"/>
      <c r="S84" s="109"/>
    </row>
    <row r="85" spans="1:19" ht="17.100000000000001" customHeight="1" x14ac:dyDescent="0.2">
      <c r="G85" s="108"/>
      <c r="H85" s="108"/>
      <c r="I85" s="108"/>
      <c r="J85" s="108"/>
      <c r="K85" s="108"/>
      <c r="L85" s="108"/>
      <c r="M85" s="108"/>
      <c r="N85" s="108"/>
      <c r="O85" s="108"/>
      <c r="P85" s="108"/>
      <c r="R85" s="109"/>
      <c r="S85" s="109"/>
    </row>
    <row r="86" spans="1:19" ht="17.100000000000001" customHeight="1" x14ac:dyDescent="0.2">
      <c r="A86" s="67" t="s">
        <v>47</v>
      </c>
      <c r="R86" s="109"/>
      <c r="S86" s="109"/>
    </row>
    <row r="87" spans="1:19" ht="17.100000000000001" customHeight="1" x14ac:dyDescent="0.2">
      <c r="A87" s="68" t="s">
        <v>48</v>
      </c>
      <c r="B87" s="46">
        <v>7.7724979200000011</v>
      </c>
      <c r="C87" s="46">
        <v>10.547078673599996</v>
      </c>
      <c r="D87" s="46">
        <v>14.615923065407999</v>
      </c>
      <c r="E87" s="46">
        <v>19.70295999356161</v>
      </c>
      <c r="F87" s="46">
        <v>26.709531210245544</v>
      </c>
      <c r="G87" s="46">
        <v>36.663690464709539</v>
      </c>
      <c r="H87" s="46">
        <v>50.874816101045575</v>
      </c>
      <c r="I87" s="46">
        <v>65.882700768414011</v>
      </c>
      <c r="J87" s="46">
        <v>83.970393387696276</v>
      </c>
      <c r="K87" s="46">
        <v>100.08530034479597</v>
      </c>
      <c r="L87" s="46">
        <v>119.26697842964393</v>
      </c>
      <c r="M87" s="46">
        <v>140.01904272076825</v>
      </c>
      <c r="N87" s="46">
        <v>165.45424650327848</v>
      </c>
      <c r="O87" s="46">
        <v>195.46590845289691</v>
      </c>
      <c r="P87" s="46">
        <v>226.784517835603</v>
      </c>
      <c r="R87" s="57">
        <f>(J87/D87)^(1/6)-1</f>
        <v>0.33828925143890487</v>
      </c>
      <c r="S87" s="57">
        <f>(P87/J87)^(1/6)-1</f>
        <v>0.18008838493671164</v>
      </c>
    </row>
    <row r="88" spans="1:19" ht="17.100000000000001" customHeight="1" x14ac:dyDescent="0.2">
      <c r="A88" s="62" t="s">
        <v>4</v>
      </c>
      <c r="B88" s="63"/>
      <c r="C88" s="63">
        <f t="shared" ref="C88:P88" si="58">C87/B87-1</f>
        <v>0.35697413909375419</v>
      </c>
      <c r="D88" s="63">
        <f t="shared" si="58"/>
        <v>0.38577927762998265</v>
      </c>
      <c r="E88" s="63">
        <f t="shared" si="58"/>
        <v>0.34804759886792724</v>
      </c>
      <c r="F88" s="63">
        <f t="shared" si="58"/>
        <v>0.35561008188482801</v>
      </c>
      <c r="G88" s="63">
        <f t="shared" si="58"/>
        <v>0.37268191553454399</v>
      </c>
      <c r="H88" s="63">
        <f t="shared" si="58"/>
        <v>0.38760761549672385</v>
      </c>
      <c r="I88" s="63">
        <f t="shared" si="58"/>
        <v>0.29499634234668015</v>
      </c>
      <c r="J88" s="63">
        <f t="shared" si="58"/>
        <v>0.27454388493973214</v>
      </c>
      <c r="K88" s="63">
        <f t="shared" si="58"/>
        <v>0.19191177160140493</v>
      </c>
      <c r="L88" s="63">
        <f t="shared" si="58"/>
        <v>0.19165329992283264</v>
      </c>
      <c r="M88" s="63">
        <f t="shared" si="58"/>
        <v>0.17399673039730823</v>
      </c>
      <c r="N88" s="63">
        <f t="shared" si="58"/>
        <v>0.18165531836433257</v>
      </c>
      <c r="O88" s="63">
        <f t="shared" si="58"/>
        <v>0.18138949337286281</v>
      </c>
      <c r="P88" s="63">
        <f t="shared" si="58"/>
        <v>0.16022543076995555</v>
      </c>
      <c r="R88" s="109"/>
      <c r="S88" s="109"/>
    </row>
    <row r="89" spans="1:19" ht="17.100000000000001" customHeight="1" x14ac:dyDescent="0.2">
      <c r="A89" s="68" t="s">
        <v>49</v>
      </c>
      <c r="B89" s="46">
        <v>11.658746880000001</v>
      </c>
      <c r="C89" s="46">
        <v>14.565013406399993</v>
      </c>
      <c r="D89" s="46">
        <v>18.526759622591996</v>
      </c>
      <c r="E89" s="46">
        <v>22.847434118438404</v>
      </c>
      <c r="F89" s="46">
        <v>28.225462357754495</v>
      </c>
      <c r="G89" s="46">
        <v>35.153711631290584</v>
      </c>
      <c r="H89" s="46">
        <v>46.348963482954595</v>
      </c>
      <c r="I89" s="46">
        <v>56.95089820758605</v>
      </c>
      <c r="J89" s="46">
        <v>68.767960212303961</v>
      </c>
      <c r="K89" s="46">
        <v>78.395720861927686</v>
      </c>
      <c r="L89" s="46">
        <v>89.25017636897303</v>
      </c>
      <c r="M89" s="46">
        <v>99.979445480531453</v>
      </c>
      <c r="N89" s="46">
        <v>115.33336734074659</v>
      </c>
      <c r="O89" s="46">
        <v>132.96927656152664</v>
      </c>
      <c r="P89" s="46">
        <v>150.50147623704018</v>
      </c>
      <c r="R89" s="57">
        <f>(J89/D89)^(1/6)-1</f>
        <v>0.24431722372781706</v>
      </c>
      <c r="S89" s="57">
        <f>(P89/J89)^(1/6)-1</f>
        <v>0.13944255790862647</v>
      </c>
    </row>
    <row r="90" spans="1:19" ht="17.100000000000001" customHeight="1" x14ac:dyDescent="0.2">
      <c r="A90" s="62" t="s">
        <v>4</v>
      </c>
      <c r="B90" s="63"/>
      <c r="C90" s="63">
        <f t="shared" ref="C90:P90" si="59">C89/B89-1</f>
        <v>0.24927777884821811</v>
      </c>
      <c r="D90" s="63">
        <f t="shared" si="59"/>
        <v>0.27200429588696284</v>
      </c>
      <c r="E90" s="63">
        <f t="shared" si="59"/>
        <v>0.23321263857591523</v>
      </c>
      <c r="F90" s="63">
        <f t="shared" si="59"/>
        <v>0.23538871855093335</v>
      </c>
      <c r="G90" s="63">
        <f t="shared" si="59"/>
        <v>0.24546096661664296</v>
      </c>
      <c r="H90" s="63">
        <f t="shared" si="59"/>
        <v>0.3184657133529829</v>
      </c>
      <c r="I90" s="63">
        <f t="shared" si="59"/>
        <v>0.22874157107160431</v>
      </c>
      <c r="J90" s="63">
        <f t="shared" si="59"/>
        <v>0.20749562125683618</v>
      </c>
      <c r="K90" s="63">
        <f t="shared" si="59"/>
        <v>0.14000358044502725</v>
      </c>
      <c r="L90" s="63">
        <f t="shared" si="59"/>
        <v>0.13845724470296616</v>
      </c>
      <c r="M90" s="63">
        <f t="shared" si="59"/>
        <v>0.12021566284868812</v>
      </c>
      <c r="N90" s="63">
        <f t="shared" si="59"/>
        <v>0.15357078433891624</v>
      </c>
      <c r="O90" s="63">
        <f t="shared" si="59"/>
        <v>0.15291246260655567</v>
      </c>
      <c r="P90" s="63">
        <f t="shared" si="59"/>
        <v>0.13185150832494119</v>
      </c>
      <c r="R90" s="109"/>
      <c r="S90" s="109"/>
    </row>
    <row r="91" spans="1:19" ht="17.100000000000001" customHeight="1" x14ac:dyDescent="0.2">
      <c r="A91" s="77" t="s">
        <v>23</v>
      </c>
      <c r="B91" s="56">
        <f t="shared" ref="B91:P91" si="60">B89+B87</f>
        <v>19.431244800000002</v>
      </c>
      <c r="C91" s="56">
        <f t="shared" si="60"/>
        <v>25.112092079999989</v>
      </c>
      <c r="D91" s="56">
        <f t="shared" si="60"/>
        <v>33.142682687999994</v>
      </c>
      <c r="E91" s="56">
        <f t="shared" si="60"/>
        <v>42.550394112000014</v>
      </c>
      <c r="F91" s="56">
        <f t="shared" si="60"/>
        <v>54.934993568000039</v>
      </c>
      <c r="G91" s="56">
        <f t="shared" si="60"/>
        <v>71.817402096000123</v>
      </c>
      <c r="H91" s="56">
        <f t="shared" si="60"/>
        <v>97.22377958400017</v>
      </c>
      <c r="I91" s="56">
        <f t="shared" si="60"/>
        <v>122.83359897600006</v>
      </c>
      <c r="J91" s="56">
        <f t="shared" si="60"/>
        <v>152.73835360000024</v>
      </c>
      <c r="K91" s="56">
        <f t="shared" si="60"/>
        <v>178.48102120672365</v>
      </c>
      <c r="L91" s="56">
        <f t="shared" si="60"/>
        <v>208.51715479861696</v>
      </c>
      <c r="M91" s="56">
        <f t="shared" si="60"/>
        <v>239.99848820129972</v>
      </c>
      <c r="N91" s="56">
        <f t="shared" si="60"/>
        <v>280.78761384402509</v>
      </c>
      <c r="O91" s="56">
        <f t="shared" si="60"/>
        <v>328.43518501442355</v>
      </c>
      <c r="P91" s="56">
        <f t="shared" si="60"/>
        <v>377.28599407264318</v>
      </c>
      <c r="R91" s="57">
        <f>(J91/D91)^(1/6)-1</f>
        <v>0.29001098250172119</v>
      </c>
      <c r="S91" s="57">
        <f>(P91/J91)^(1/6)-1</f>
        <v>0.16266276209901509</v>
      </c>
    </row>
    <row r="92" spans="1:19" ht="17.100000000000001" customHeight="1" x14ac:dyDescent="0.2">
      <c r="A92" s="74" t="s">
        <v>4</v>
      </c>
      <c r="B92" s="66"/>
      <c r="C92" s="59">
        <f t="shared" ref="C92:P92" si="61">C91/B91-1</f>
        <v>0.29235632294643255</v>
      </c>
      <c r="D92" s="59">
        <f t="shared" si="61"/>
        <v>0.31978978821903103</v>
      </c>
      <c r="E92" s="59">
        <f t="shared" si="61"/>
        <v>0.28385485606469274</v>
      </c>
      <c r="F92" s="59">
        <f t="shared" si="61"/>
        <v>0.29105722084269336</v>
      </c>
      <c r="G92" s="59">
        <f t="shared" si="61"/>
        <v>0.30731611003289871</v>
      </c>
      <c r="H92" s="59">
        <f t="shared" si="61"/>
        <v>0.35376352731387728</v>
      </c>
      <c r="I92" s="59">
        <f t="shared" si="61"/>
        <v>0.26341106570407824</v>
      </c>
      <c r="J92" s="59">
        <f t="shared" si="61"/>
        <v>0.24345744872169006</v>
      </c>
      <c r="K92" s="59">
        <f t="shared" si="61"/>
        <v>0.16854095255039714</v>
      </c>
      <c r="L92" s="59">
        <f t="shared" si="61"/>
        <v>0.16828754894395348</v>
      </c>
      <c r="M92" s="59">
        <f t="shared" si="61"/>
        <v>0.15097718666402771</v>
      </c>
      <c r="N92" s="59">
        <f t="shared" si="61"/>
        <v>0.169955760756765</v>
      </c>
      <c r="O92" s="59">
        <f t="shared" si="61"/>
        <v>0.16969256769590357</v>
      </c>
      <c r="P92" s="59">
        <f t="shared" si="61"/>
        <v>0.1487380502672826</v>
      </c>
      <c r="R92" s="109"/>
      <c r="S92" s="109"/>
    </row>
    <row r="93" spans="1:19" ht="17.100000000000001" customHeight="1" x14ac:dyDescent="0.2">
      <c r="R93" s="109"/>
      <c r="S93" s="109"/>
    </row>
    <row r="94" spans="1:19" ht="17.100000000000001" customHeight="1" x14ac:dyDescent="0.2">
      <c r="A94" s="67" t="s">
        <v>50</v>
      </c>
      <c r="R94" s="109"/>
      <c r="S94" s="109"/>
    </row>
    <row r="95" spans="1:19" ht="17.100000000000001" customHeight="1" x14ac:dyDescent="0.2">
      <c r="A95" s="68" t="s">
        <v>48</v>
      </c>
      <c r="B95" s="46">
        <v>1.4211914463999999</v>
      </c>
      <c r="C95" s="46">
        <v>1.9533583213200001</v>
      </c>
      <c r="D95" s="46">
        <v>2.7456517530539988</v>
      </c>
      <c r="E95" s="46">
        <v>3.747207899150097</v>
      </c>
      <c r="F95" s="46">
        <v>5.1446556723567616</v>
      </c>
      <c r="G95" s="46">
        <v>7.1579554358453779</v>
      </c>
      <c r="H95" s="46">
        <v>9.9912613398535672</v>
      </c>
      <c r="I95" s="46">
        <v>13.112136985898022</v>
      </c>
      <c r="J95" s="46">
        <v>16.885988051087381</v>
      </c>
      <c r="K95" s="46">
        <v>20.751889781889389</v>
      </c>
      <c r="L95" s="46">
        <v>25.18544257784049</v>
      </c>
      <c r="M95" s="46">
        <v>29.04646644114095</v>
      </c>
      <c r="N95" s="46">
        <v>35.158583901030624</v>
      </c>
      <c r="O95" s="46">
        <v>43.038758797352259</v>
      </c>
      <c r="P95" s="46">
        <v>50.480458189254122</v>
      </c>
      <c r="R95" s="57">
        <f>(J95/D95)^(1/6)-1</f>
        <v>0.35356828773895299</v>
      </c>
      <c r="S95" s="57">
        <f>(P95/J95)^(1/6)-1</f>
        <v>0.20023458001579053</v>
      </c>
    </row>
    <row r="96" spans="1:19" ht="17.100000000000001" customHeight="1" x14ac:dyDescent="0.2">
      <c r="A96" s="62" t="s">
        <v>4</v>
      </c>
      <c r="B96" s="63"/>
      <c r="C96" s="63">
        <f t="shared" ref="C96:P96" si="62">C95/B95-1</f>
        <v>0.37445122278777054</v>
      </c>
      <c r="D96" s="63">
        <f t="shared" si="62"/>
        <v>0.40560578317172191</v>
      </c>
      <c r="E96" s="63">
        <f t="shared" si="62"/>
        <v>0.36477901648745648</v>
      </c>
      <c r="F96" s="63">
        <f t="shared" si="62"/>
        <v>0.37293040867137872</v>
      </c>
      <c r="G96" s="63">
        <f t="shared" si="62"/>
        <v>0.39133809757307358</v>
      </c>
      <c r="H96" s="63">
        <f t="shared" si="62"/>
        <v>0.39582614468646327</v>
      </c>
      <c r="I96" s="63">
        <f t="shared" si="62"/>
        <v>0.31236052585230389</v>
      </c>
      <c r="J96" s="63">
        <f t="shared" si="62"/>
        <v>0.2878135783090201</v>
      </c>
      <c r="K96" s="63">
        <f t="shared" si="62"/>
        <v>0.22894139917107559</v>
      </c>
      <c r="L96" s="63">
        <f t="shared" si="62"/>
        <v>0.21364573745087823</v>
      </c>
      <c r="M96" s="63">
        <f t="shared" si="62"/>
        <v>0.15330379251296522</v>
      </c>
      <c r="N96" s="63">
        <f t="shared" si="62"/>
        <v>0.21042550811731675</v>
      </c>
      <c r="O96" s="63">
        <f t="shared" si="62"/>
        <v>0.22413231768673825</v>
      </c>
      <c r="P96" s="63">
        <f t="shared" si="62"/>
        <v>0.17290692389483309</v>
      </c>
      <c r="R96" s="109"/>
      <c r="S96" s="109"/>
    </row>
    <row r="97" spans="1:19" ht="17.100000000000001" customHeight="1" x14ac:dyDescent="0.2">
      <c r="A97" s="68" t="s">
        <v>49</v>
      </c>
      <c r="B97" s="46">
        <v>1.4211914463999999</v>
      </c>
      <c r="C97" s="46">
        <v>1.7673241954800001</v>
      </c>
      <c r="D97" s="46">
        <v>2.2351224021459992</v>
      </c>
      <c r="E97" s="46">
        <v>2.7267502464498969</v>
      </c>
      <c r="F97" s="46">
        <v>3.3203862348432396</v>
      </c>
      <c r="G97" s="46">
        <v>4.058935328954612</v>
      </c>
      <c r="H97" s="46">
        <v>5.2836941641464019</v>
      </c>
      <c r="I97" s="46">
        <v>6.4451787581019238</v>
      </c>
      <c r="J97" s="46">
        <v>7.685891724912528</v>
      </c>
      <c r="K97" s="46">
        <v>8.70898857145772</v>
      </c>
      <c r="L97" s="46">
        <v>9.8685470644130007</v>
      </c>
      <c r="M97" s="46">
        <v>10.588728850154297</v>
      </c>
      <c r="N97" s="46">
        <v>11.876172373278324</v>
      </c>
      <c r="O97" s="46">
        <v>13.409050231962118</v>
      </c>
      <c r="P97" s="46">
        <v>14.429371270722456</v>
      </c>
      <c r="R97" s="57">
        <f>(J97/D97)^(1/6)-1</f>
        <v>0.2285669416071836</v>
      </c>
      <c r="S97" s="57">
        <f>(P97/J97)^(1/6)-1</f>
        <v>0.11068828457922142</v>
      </c>
    </row>
    <row r="98" spans="1:19" ht="17.100000000000001" customHeight="1" x14ac:dyDescent="0.2">
      <c r="A98" s="62" t="s">
        <v>4</v>
      </c>
      <c r="B98" s="63"/>
      <c r="C98" s="63">
        <f t="shared" ref="C98:P98" si="63">C97/B97-1</f>
        <v>0.24355110633179233</v>
      </c>
      <c r="D98" s="63">
        <f t="shared" si="63"/>
        <v>0.26469292270337896</v>
      </c>
      <c r="E98" s="63">
        <f t="shared" si="63"/>
        <v>0.21995566946663558</v>
      </c>
      <c r="F98" s="63">
        <f t="shared" si="63"/>
        <v>0.21770823681641893</v>
      </c>
      <c r="G98" s="63">
        <f t="shared" si="63"/>
        <v>0.22242867000267519</v>
      </c>
      <c r="H98" s="63">
        <f t="shared" si="63"/>
        <v>0.30174386530746466</v>
      </c>
      <c r="I98" s="63">
        <f t="shared" si="63"/>
        <v>0.2198243421878987</v>
      </c>
      <c r="J98" s="63">
        <f t="shared" si="63"/>
        <v>0.19250249114517781</v>
      </c>
      <c r="K98" s="63">
        <f t="shared" si="63"/>
        <v>0.13311361689223333</v>
      </c>
      <c r="L98" s="63">
        <f t="shared" si="63"/>
        <v>0.13314502406806961</v>
      </c>
      <c r="M98" s="63">
        <f t="shared" si="63"/>
        <v>7.2977489091412995E-2</v>
      </c>
      <c r="N98" s="63">
        <f t="shared" si="63"/>
        <v>0.1215862207204661</v>
      </c>
      <c r="O98" s="63">
        <f t="shared" si="63"/>
        <v>0.12907170850204275</v>
      </c>
      <c r="P98" s="63">
        <f t="shared" si="63"/>
        <v>7.6091969312507945E-2</v>
      </c>
      <c r="R98" s="109"/>
      <c r="S98" s="109"/>
    </row>
    <row r="99" spans="1:19" ht="17.100000000000001" customHeight="1" x14ac:dyDescent="0.2">
      <c r="A99" s="77" t="s">
        <v>23</v>
      </c>
      <c r="B99" s="56">
        <f t="shared" ref="B99:P99" si="64">B97+B95</f>
        <v>2.8423828927999999</v>
      </c>
      <c r="C99" s="56">
        <f t="shared" si="64"/>
        <v>3.7206825168000002</v>
      </c>
      <c r="D99" s="56">
        <f t="shared" si="64"/>
        <v>4.980774155199998</v>
      </c>
      <c r="E99" s="56">
        <f t="shared" si="64"/>
        <v>6.4739581455999939</v>
      </c>
      <c r="F99" s="56">
        <f t="shared" si="64"/>
        <v>8.4650419072000016</v>
      </c>
      <c r="G99" s="56">
        <f t="shared" si="64"/>
        <v>11.21689076479999</v>
      </c>
      <c r="H99" s="56">
        <f t="shared" si="64"/>
        <v>15.274955503999969</v>
      </c>
      <c r="I99" s="56">
        <f t="shared" si="64"/>
        <v>19.557315743999947</v>
      </c>
      <c r="J99" s="56">
        <f t="shared" si="64"/>
        <v>24.571879775999911</v>
      </c>
      <c r="K99" s="56">
        <f t="shared" si="64"/>
        <v>29.460878353347109</v>
      </c>
      <c r="L99" s="56">
        <f t="shared" si="64"/>
        <v>35.053989642253491</v>
      </c>
      <c r="M99" s="56">
        <f t="shared" si="64"/>
        <v>39.635195291295247</v>
      </c>
      <c r="N99" s="56">
        <f t="shared" si="64"/>
        <v>47.034756274308947</v>
      </c>
      <c r="O99" s="56">
        <f t="shared" si="64"/>
        <v>56.447809029314378</v>
      </c>
      <c r="P99" s="56">
        <f t="shared" si="64"/>
        <v>64.909829459976578</v>
      </c>
      <c r="R99" s="57">
        <f>(J99/D99)^(1/6)-1</f>
        <v>0.30473883345614872</v>
      </c>
      <c r="S99" s="57">
        <f>(P99/J99)^(1/6)-1</f>
        <v>0.17574195125201664</v>
      </c>
    </row>
    <row r="100" spans="1:19" ht="17.100000000000001" customHeight="1" x14ac:dyDescent="0.2">
      <c r="A100" s="74" t="s">
        <v>4</v>
      </c>
      <c r="B100" s="66"/>
      <c r="C100" s="59">
        <f t="shared" ref="C100:P100" si="65">C99/B99-1</f>
        <v>0.30900116455978144</v>
      </c>
      <c r="D100" s="59">
        <f t="shared" si="65"/>
        <v>0.33867217444925912</v>
      </c>
      <c r="E100" s="59">
        <f t="shared" si="65"/>
        <v>0.29978953951186305</v>
      </c>
      <c r="F100" s="59">
        <f t="shared" si="65"/>
        <v>0.30755277016321791</v>
      </c>
      <c r="G100" s="59">
        <f t="shared" si="65"/>
        <v>0.32508390245054586</v>
      </c>
      <c r="H100" s="59">
        <f t="shared" si="65"/>
        <v>0.36178160457215958</v>
      </c>
      <c r="I100" s="59">
        <f t="shared" si="65"/>
        <v>0.28035173253883316</v>
      </c>
      <c r="J100" s="59">
        <f t="shared" si="65"/>
        <v>0.25640349103319049</v>
      </c>
      <c r="K100" s="59">
        <f t="shared" si="65"/>
        <v>0.19896721870348832</v>
      </c>
      <c r="L100" s="59">
        <f t="shared" si="65"/>
        <v>0.18984876220674307</v>
      </c>
      <c r="M100" s="59">
        <f t="shared" si="65"/>
        <v>0.13068999265976977</v>
      </c>
      <c r="N100" s="59">
        <f t="shared" si="65"/>
        <v>0.18669167462482017</v>
      </c>
      <c r="O100" s="59">
        <f t="shared" si="65"/>
        <v>0.2001297232222925</v>
      </c>
      <c r="P100" s="59">
        <f t="shared" si="65"/>
        <v>0.14990874891650297</v>
      </c>
      <c r="R100" s="109"/>
      <c r="S100" s="109"/>
    </row>
    <row r="101" spans="1:19" ht="17.100000000000001" customHeight="1" x14ac:dyDescent="0.2">
      <c r="R101" s="109"/>
      <c r="S101" s="109"/>
    </row>
    <row r="102" spans="1:19" x14ac:dyDescent="0.2">
      <c r="A102" s="67" t="s">
        <v>32</v>
      </c>
      <c r="R102" s="109"/>
      <c r="S102" s="109"/>
    </row>
    <row r="103" spans="1:19" x14ac:dyDescent="0.2">
      <c r="A103" s="68" t="s">
        <v>82</v>
      </c>
      <c r="B103" s="43">
        <v>1.0983650088742091E-3</v>
      </c>
      <c r="C103" s="43">
        <v>1.551204018915608E-3</v>
      </c>
      <c r="D103" s="43">
        <v>2.1988157750699932E-3</v>
      </c>
      <c r="E103" s="43">
        <v>3.1618229655147596E-3</v>
      </c>
      <c r="F103" s="43">
        <v>4.4280626816733427E-3</v>
      </c>
      <c r="G103" s="43">
        <v>6.2691897206254253E-3</v>
      </c>
      <c r="H103" s="43">
        <v>8.4496821707502855E-3</v>
      </c>
      <c r="I103" s="43">
        <v>1.0733319411696262E-2</v>
      </c>
      <c r="J103" s="43">
        <v>1.3520070882793247E-2</v>
      </c>
      <c r="K103" s="43">
        <v>1.7322684689709489E-2</v>
      </c>
      <c r="L103" s="43">
        <v>2.0947361693048224E-2</v>
      </c>
      <c r="M103" s="43">
        <v>2.4179560880252686E-2</v>
      </c>
      <c r="N103" s="43">
        <v>2.8526859163475818E-2</v>
      </c>
      <c r="O103" s="43">
        <v>3.3885114722637534E-2</v>
      </c>
      <c r="P103" s="43">
        <v>3.9474040277879631E-2</v>
      </c>
      <c r="R103" s="57">
        <f>(J103/D103)^(1/6)-1</f>
        <v>0.35352107000817612</v>
      </c>
      <c r="S103" s="57">
        <f>(P103/J103)^(1/6)-1</f>
        <v>0.19551611680104597</v>
      </c>
    </row>
    <row r="104" spans="1:19" x14ac:dyDescent="0.2">
      <c r="A104" s="62" t="s">
        <v>4</v>
      </c>
      <c r="B104" s="75"/>
      <c r="C104" s="63">
        <f t="shared" ref="C104:P104" si="66">C103/B103-1</f>
        <v>0.4122846288644475</v>
      </c>
      <c r="D104" s="63">
        <f t="shared" si="66"/>
        <v>0.4174897358808467</v>
      </c>
      <c r="E104" s="63">
        <f t="shared" si="66"/>
        <v>0.43796629138433008</v>
      </c>
      <c r="F104" s="63">
        <f t="shared" si="66"/>
        <v>0.40047774020530369</v>
      </c>
      <c r="G104" s="63">
        <f t="shared" si="66"/>
        <v>0.41578612845117391</v>
      </c>
      <c r="H104" s="63">
        <f t="shared" si="66"/>
        <v>0.34781088901347368</v>
      </c>
      <c r="I104" s="63">
        <f t="shared" si="66"/>
        <v>0.2702630933091299</v>
      </c>
      <c r="J104" s="63">
        <f t="shared" si="66"/>
        <v>0.2596355669859427</v>
      </c>
      <c r="K104" s="63">
        <f t="shared" si="66"/>
        <v>0.28125694309456328</v>
      </c>
      <c r="L104" s="63">
        <f t="shared" si="66"/>
        <v>0.20924452925544323</v>
      </c>
      <c r="M104" s="63">
        <f t="shared" si="66"/>
        <v>0.1543010157826763</v>
      </c>
      <c r="N104" s="63">
        <f t="shared" si="66"/>
        <v>0.17979227599511738</v>
      </c>
      <c r="O104" s="63">
        <f t="shared" si="66"/>
        <v>0.18783194912751289</v>
      </c>
      <c r="P104" s="63">
        <f t="shared" si="66"/>
        <v>0.16493748364110794</v>
      </c>
      <c r="R104" s="109"/>
      <c r="S104" s="109"/>
    </row>
    <row r="105" spans="1:19" x14ac:dyDescent="0.2">
      <c r="A105" s="68" t="s">
        <v>10</v>
      </c>
      <c r="B105" s="131">
        <v>3.4617640522421262</v>
      </c>
      <c r="C105" s="131">
        <v>4.4525353928832754</v>
      </c>
      <c r="D105" s="131">
        <v>5.7076638732569069</v>
      </c>
      <c r="E105" s="131">
        <v>7.3239914349872102</v>
      </c>
      <c r="F105" s="131">
        <v>9.3320842073286556</v>
      </c>
      <c r="G105" s="131">
        <v>11.993399945112431</v>
      </c>
      <c r="H105" s="131">
        <v>15.947956998056592</v>
      </c>
      <c r="I105" s="131">
        <v>20.083177733085286</v>
      </c>
      <c r="J105" s="131">
        <v>24.614986901421222</v>
      </c>
      <c r="K105" s="131">
        <v>28.44657854366746</v>
      </c>
      <c r="L105" s="131">
        <v>32.771288424834033</v>
      </c>
      <c r="M105" s="131">
        <v>36.127495618782575</v>
      </c>
      <c r="N105" s="131">
        <v>40.798531708294739</v>
      </c>
      <c r="O105" s="131">
        <v>46.482532817026524</v>
      </c>
      <c r="P105" s="131">
        <v>52.035061962058109</v>
      </c>
      <c r="R105" s="57">
        <f>(J105/D105)^(1/6)-1</f>
        <v>0.27582234225882662</v>
      </c>
      <c r="S105" s="57">
        <f>(P105/J105)^(1/6)-1</f>
        <v>0.13287696033555818</v>
      </c>
    </row>
    <row r="106" spans="1:19" x14ac:dyDescent="0.2">
      <c r="A106" s="62" t="s">
        <v>4</v>
      </c>
      <c r="B106" s="75"/>
      <c r="C106" s="63">
        <f t="shared" ref="C106:P106" si="67">C105/B105-1</f>
        <v>0.28620417962900824</v>
      </c>
      <c r="D106" s="63">
        <f t="shared" si="67"/>
        <v>0.28189073631616046</v>
      </c>
      <c r="E106" s="63">
        <f t="shared" si="67"/>
        <v>0.28318548492379847</v>
      </c>
      <c r="F106" s="63">
        <f t="shared" si="67"/>
        <v>0.27418010932517589</v>
      </c>
      <c r="G106" s="63">
        <f t="shared" si="67"/>
        <v>0.28517913883522361</v>
      </c>
      <c r="H106" s="63">
        <f t="shared" si="67"/>
        <v>0.32972777286191701</v>
      </c>
      <c r="I106" s="63">
        <f t="shared" si="67"/>
        <v>0.25929470060225324</v>
      </c>
      <c r="J106" s="63">
        <f t="shared" si="67"/>
        <v>0.2256519973365656</v>
      </c>
      <c r="K106" s="63">
        <f t="shared" si="67"/>
        <v>0.15566092550002564</v>
      </c>
      <c r="L106" s="63">
        <f t="shared" si="67"/>
        <v>0.15202917547809291</v>
      </c>
      <c r="M106" s="63">
        <f t="shared" si="67"/>
        <v>0.1024130376090191</v>
      </c>
      <c r="N106" s="63">
        <f t="shared" si="67"/>
        <v>0.12929310514077552</v>
      </c>
      <c r="O106" s="63">
        <f t="shared" si="67"/>
        <v>0.13931876640492358</v>
      </c>
      <c r="P106" s="63">
        <f t="shared" si="67"/>
        <v>0.1194541004658356</v>
      </c>
      <c r="R106" s="109"/>
      <c r="S106" s="109"/>
    </row>
    <row r="107" spans="1:19" x14ac:dyDescent="0.2">
      <c r="A107" s="68" t="s">
        <v>11</v>
      </c>
      <c r="B107" s="43">
        <v>12.712217724788831</v>
      </c>
      <c r="C107" s="43">
        <v>16.312944917111004</v>
      </c>
      <c r="D107" s="43">
        <v>20.883365299042094</v>
      </c>
      <c r="E107" s="43">
        <v>26.542987379996593</v>
      </c>
      <c r="F107" s="43">
        <v>33.369099486219554</v>
      </c>
      <c r="G107" s="43">
        <v>42.863016952251243</v>
      </c>
      <c r="H107" s="43">
        <v>56.614022600750907</v>
      </c>
      <c r="I107" s="43">
        <v>70.203015044532989</v>
      </c>
      <c r="J107" s="43">
        <v>85.828159701736922</v>
      </c>
      <c r="K107" s="43">
        <v>98.528318949138963</v>
      </c>
      <c r="L107" s="43">
        <v>112.70197355938376</v>
      </c>
      <c r="M107" s="43">
        <v>123.36074608709541</v>
      </c>
      <c r="N107" s="43">
        <v>138.31804718307575</v>
      </c>
      <c r="O107" s="43">
        <v>156.46357440962191</v>
      </c>
      <c r="P107" s="43">
        <v>173.90118916808245</v>
      </c>
      <c r="R107" s="57">
        <f>(J107/D107)^(1/6)-1</f>
        <v>0.26562453658509888</v>
      </c>
      <c r="S107" s="57">
        <f>(P107/J107)^(1/6)-1</f>
        <v>0.12489535949088482</v>
      </c>
    </row>
    <row r="108" spans="1:19" x14ac:dyDescent="0.2">
      <c r="A108" s="62" t="s">
        <v>4</v>
      </c>
      <c r="B108" s="75"/>
      <c r="C108" s="63">
        <f t="shared" ref="C108:P108" si="68">C107/B107-1</f>
        <v>0.28324933306489508</v>
      </c>
      <c r="D108" s="63">
        <f t="shared" si="68"/>
        <v>0.28017138567893252</v>
      </c>
      <c r="E108" s="63">
        <f t="shared" si="68"/>
        <v>0.27101101761669133</v>
      </c>
      <c r="F108" s="63">
        <f t="shared" si="68"/>
        <v>0.25717196065757375</v>
      </c>
      <c r="G108" s="63">
        <f t="shared" si="68"/>
        <v>0.284512246725519</v>
      </c>
      <c r="H108" s="63">
        <f t="shared" si="68"/>
        <v>0.32081282714695702</v>
      </c>
      <c r="I108" s="63">
        <f t="shared" si="68"/>
        <v>0.2400287388093465</v>
      </c>
      <c r="J108" s="63">
        <f t="shared" si="68"/>
        <v>0.22257084894847012</v>
      </c>
      <c r="K108" s="63">
        <f t="shared" si="68"/>
        <v>0.14797193941401754</v>
      </c>
      <c r="L108" s="63">
        <f t="shared" si="68"/>
        <v>0.14385361245797101</v>
      </c>
      <c r="M108" s="63">
        <f t="shared" si="68"/>
        <v>9.4574852516628116E-2</v>
      </c>
      <c r="N108" s="63">
        <f t="shared" si="68"/>
        <v>0.12124846493243613</v>
      </c>
      <c r="O108" s="63">
        <f t="shared" si="68"/>
        <v>0.13118698243714366</v>
      </c>
      <c r="P108" s="63">
        <f t="shared" si="68"/>
        <v>0.11144839828859365</v>
      </c>
      <c r="R108" s="109"/>
      <c r="S108" s="109"/>
    </row>
    <row r="109" spans="1:19" x14ac:dyDescent="0.2">
      <c r="A109" s="68" t="s">
        <v>22</v>
      </c>
      <c r="B109" s="43">
        <v>2.1007353299601741</v>
      </c>
      <c r="C109" s="43">
        <v>2.7835149499868268</v>
      </c>
      <c r="D109" s="43">
        <v>3.6769211479259267</v>
      </c>
      <c r="E109" s="43">
        <v>4.8262970100506521</v>
      </c>
      <c r="F109" s="43">
        <v>6.2600602757700514</v>
      </c>
      <c r="G109" s="43">
        <v>8.3008936569156404</v>
      </c>
      <c r="H109" s="43">
        <v>11.026133391021755</v>
      </c>
      <c r="I109" s="43">
        <v>13.870148062970111</v>
      </c>
      <c r="J109" s="43">
        <v>17.109647565959129</v>
      </c>
      <c r="K109" s="43">
        <v>20.475465263716679</v>
      </c>
      <c r="L109" s="43">
        <v>23.947696049001483</v>
      </c>
      <c r="M109" s="43">
        <v>26.794347658451315</v>
      </c>
      <c r="N109" s="43">
        <v>30.701400941471121</v>
      </c>
      <c r="O109" s="43">
        <v>35.480468681185414</v>
      </c>
      <c r="P109" s="43">
        <v>40.277569679959335</v>
      </c>
      <c r="R109" s="57">
        <f>(J109/D109)^(1/6)-1</f>
        <v>0.29209007706984802</v>
      </c>
      <c r="S109" s="57">
        <f>(P109/J109)^(1/6)-1</f>
        <v>0.15337455389757282</v>
      </c>
    </row>
    <row r="110" spans="1:19" x14ac:dyDescent="0.2">
      <c r="A110" s="62" t="s">
        <v>4</v>
      </c>
      <c r="B110" s="63"/>
      <c r="C110" s="63">
        <f t="shared" ref="C110:P110" si="69">C109/B109-1</f>
        <v>0.32501934455474535</v>
      </c>
      <c r="D110" s="63">
        <f t="shared" si="69"/>
        <v>0.32096331939705514</v>
      </c>
      <c r="E110" s="63">
        <f t="shared" si="69"/>
        <v>0.31259192565852656</v>
      </c>
      <c r="F110" s="63">
        <f t="shared" si="69"/>
        <v>0.2970731520943739</v>
      </c>
      <c r="G110" s="63">
        <f t="shared" si="69"/>
        <v>0.32600858318325776</v>
      </c>
      <c r="H110" s="63">
        <f t="shared" si="69"/>
        <v>0.32830678800898294</v>
      </c>
      <c r="I110" s="63">
        <f t="shared" si="69"/>
        <v>0.25793399835559305</v>
      </c>
      <c r="J110" s="63">
        <f t="shared" si="69"/>
        <v>0.23355911474641622</v>
      </c>
      <c r="K110" s="63">
        <f t="shared" si="69"/>
        <v>0.19672045755367185</v>
      </c>
      <c r="L110" s="63">
        <f t="shared" si="69"/>
        <v>0.16958006768411416</v>
      </c>
      <c r="M110" s="63">
        <f t="shared" si="69"/>
        <v>0.11886953983485715</v>
      </c>
      <c r="N110" s="63">
        <f t="shared" si="69"/>
        <v>0.14581632413011802</v>
      </c>
      <c r="O110" s="63">
        <f t="shared" si="69"/>
        <v>0.15566285554281589</v>
      </c>
      <c r="P110" s="63">
        <f t="shared" si="69"/>
        <v>0.13520399186039289</v>
      </c>
      <c r="R110" s="109"/>
      <c r="S110" s="109"/>
    </row>
    <row r="111" spans="1:19" x14ac:dyDescent="0.2">
      <c r="A111" s="77" t="s">
        <v>23</v>
      </c>
      <c r="B111" s="56">
        <f t="shared" ref="B111:P111" si="70">B109+B107+B105+B103</f>
        <v>18.275815472000009</v>
      </c>
      <c r="C111" s="56">
        <f t="shared" si="70"/>
        <v>23.550546464000021</v>
      </c>
      <c r="D111" s="56">
        <f t="shared" si="70"/>
        <v>30.270149135999997</v>
      </c>
      <c r="E111" s="56">
        <f t="shared" si="70"/>
        <v>38.696437647999971</v>
      </c>
      <c r="F111" s="56">
        <f t="shared" si="70"/>
        <v>48.965672031999937</v>
      </c>
      <c r="G111" s="56">
        <f t="shared" si="70"/>
        <v>63.163579743999939</v>
      </c>
      <c r="H111" s="56">
        <f t="shared" si="70"/>
        <v>83.596562672000005</v>
      </c>
      <c r="I111" s="56">
        <f t="shared" si="70"/>
        <v>104.1670741600001</v>
      </c>
      <c r="J111" s="56">
        <f t="shared" si="70"/>
        <v>127.56631424000007</v>
      </c>
      <c r="K111" s="56">
        <f t="shared" si="70"/>
        <v>147.46768544121281</v>
      </c>
      <c r="L111" s="56">
        <f t="shared" si="70"/>
        <v>169.44190539491234</v>
      </c>
      <c r="M111" s="56">
        <f t="shared" si="70"/>
        <v>186.30676892520952</v>
      </c>
      <c r="N111" s="56">
        <f t="shared" si="70"/>
        <v>209.84650669200508</v>
      </c>
      <c r="O111" s="56">
        <f t="shared" si="70"/>
        <v>238.4604610225565</v>
      </c>
      <c r="P111" s="56">
        <f t="shared" si="70"/>
        <v>266.25329485037776</v>
      </c>
      <c r="R111" s="57">
        <f>(J111/D111)^(1/6)-1</f>
        <v>0.27092593208063365</v>
      </c>
      <c r="S111" s="57">
        <f>(P111/J111)^(1/6)-1</f>
        <v>0.13047205334595491</v>
      </c>
    </row>
    <row r="112" spans="1:19" x14ac:dyDescent="0.2">
      <c r="A112" s="74" t="s">
        <v>4</v>
      </c>
      <c r="B112" s="66"/>
      <c r="C112" s="59">
        <f t="shared" ref="C112:P112" si="71">C111/B111-1</f>
        <v>0.28861809203979516</v>
      </c>
      <c r="D112" s="59">
        <f t="shared" si="71"/>
        <v>0.28532682595164971</v>
      </c>
      <c r="E112" s="59">
        <f t="shared" si="71"/>
        <v>0.27836957373885785</v>
      </c>
      <c r="F112" s="59">
        <f t="shared" si="71"/>
        <v>0.26537932192656832</v>
      </c>
      <c r="G112" s="59">
        <f t="shared" si="71"/>
        <v>0.28995635355972271</v>
      </c>
      <c r="H112" s="59">
        <f t="shared" si="71"/>
        <v>0.32349311123299729</v>
      </c>
      <c r="I112" s="59">
        <f t="shared" si="71"/>
        <v>0.24606886731348854</v>
      </c>
      <c r="J112" s="59">
        <f t="shared" si="71"/>
        <v>0.22463182602267251</v>
      </c>
      <c r="K112" s="59">
        <f t="shared" si="71"/>
        <v>0.15600804428487924</v>
      </c>
      <c r="L112" s="59">
        <f t="shared" si="71"/>
        <v>0.14901040785955399</v>
      </c>
      <c r="M112" s="59">
        <f t="shared" si="71"/>
        <v>9.9531833586212537E-2</v>
      </c>
      <c r="N112" s="59">
        <f t="shared" si="71"/>
        <v>0.12634934255257946</v>
      </c>
      <c r="O112" s="59">
        <f t="shared" si="71"/>
        <v>0.13635659121335086</v>
      </c>
      <c r="P112" s="59">
        <f t="shared" si="71"/>
        <v>0.11655112008356072</v>
      </c>
      <c r="R112" s="109"/>
      <c r="S112" s="109"/>
    </row>
    <row r="113" spans="1:19" ht="17.100000000000001" customHeight="1" x14ac:dyDescent="0.2">
      <c r="R113" s="109"/>
      <c r="S113" s="109"/>
    </row>
    <row r="114" spans="1:19" x14ac:dyDescent="0.2">
      <c r="A114" s="67" t="s">
        <v>33</v>
      </c>
      <c r="R114" s="109"/>
      <c r="S114" s="109"/>
    </row>
    <row r="115" spans="1:19" x14ac:dyDescent="0.2">
      <c r="A115" s="68" t="s">
        <v>82</v>
      </c>
      <c r="B115" s="112">
        <f t="shared" ref="B115:P115" si="72">(B103*1000000)/(B34*1000)</f>
        <v>1.1760203885613761E-2</v>
      </c>
      <c r="C115" s="112">
        <f t="shared" si="72"/>
        <v>1.4752408328217946E-2</v>
      </c>
      <c r="D115" s="112">
        <f t="shared" si="72"/>
        <v>1.8192339992862523E-2</v>
      </c>
      <c r="E115" s="112">
        <f t="shared" si="72"/>
        <v>2.2984602981764385E-2</v>
      </c>
      <c r="F115" s="112">
        <f t="shared" si="72"/>
        <v>2.8475722693827466E-2</v>
      </c>
      <c r="G115" s="112">
        <f t="shared" si="72"/>
        <v>3.5128246677215084E-2</v>
      </c>
      <c r="H115" s="112">
        <f t="shared" si="72"/>
        <v>4.1541457526590074E-2</v>
      </c>
      <c r="I115" s="112">
        <f t="shared" si="72"/>
        <v>4.6962409109016029E-2</v>
      </c>
      <c r="J115" s="112">
        <f t="shared" si="72"/>
        <v>5.30396171166325E-2</v>
      </c>
      <c r="K115" s="112">
        <f t="shared" si="72"/>
        <v>6.1086788028342873E-2</v>
      </c>
      <c r="L115" s="112">
        <f t="shared" si="72"/>
        <v>6.6378499653515236E-2</v>
      </c>
      <c r="M115" s="112">
        <f t="shared" si="72"/>
        <v>6.8939338328647376E-2</v>
      </c>
      <c r="N115" s="112">
        <f t="shared" si="72"/>
        <v>7.347949725641939E-2</v>
      </c>
      <c r="O115" s="112">
        <f t="shared" si="72"/>
        <v>7.9187896482034156E-2</v>
      </c>
      <c r="P115" s="112">
        <f t="shared" si="72"/>
        <v>8.4124384464356008E-2</v>
      </c>
      <c r="R115" s="57">
        <f>(J115/D115)^(1/6)-1</f>
        <v>0.19523133232602619</v>
      </c>
      <c r="S115" s="57">
        <f>(P115/J115)^(1/6)-1</f>
        <v>7.9908401366067583E-2</v>
      </c>
    </row>
    <row r="116" spans="1:19" x14ac:dyDescent="0.2">
      <c r="A116" s="62" t="s">
        <v>4</v>
      </c>
      <c r="B116" s="75"/>
      <c r="C116" s="13">
        <f>C115/B115-1</f>
        <v>0.25443474209359107</v>
      </c>
      <c r="D116" s="13">
        <f t="shared" ref="D116:P116" si="73">D115/C115-1</f>
        <v>0.23317763365218025</v>
      </c>
      <c r="E116" s="13">
        <f t="shared" si="73"/>
        <v>0.26342202216878263</v>
      </c>
      <c r="F116" s="13">
        <f t="shared" si="73"/>
        <v>0.23890426632209594</v>
      </c>
      <c r="G116" s="13">
        <f t="shared" si="73"/>
        <v>0.23362090068497721</v>
      </c>
      <c r="H116" s="13">
        <f t="shared" si="73"/>
        <v>0.18256564036071676</v>
      </c>
      <c r="I116" s="13">
        <f t="shared" si="73"/>
        <v>0.13049497791347564</v>
      </c>
      <c r="J116" s="13">
        <f t="shared" si="73"/>
        <v>0.12940579759247783</v>
      </c>
      <c r="K116" s="13">
        <f t="shared" si="73"/>
        <v>0.1517200038230837</v>
      </c>
      <c r="L116" s="13">
        <f t="shared" si="73"/>
        <v>8.6626123192418136E-2</v>
      </c>
      <c r="M116" s="13">
        <f t="shared" si="73"/>
        <v>3.8579339522575751E-2</v>
      </c>
      <c r="N116" s="13">
        <f t="shared" si="73"/>
        <v>6.5857303505411968E-2</v>
      </c>
      <c r="O116" s="13">
        <f t="shared" si="73"/>
        <v>7.7686966279781666E-2</v>
      </c>
      <c r="P116" s="13">
        <f t="shared" si="73"/>
        <v>6.2338920486943561E-2</v>
      </c>
      <c r="R116" s="109"/>
      <c r="S116" s="109"/>
    </row>
    <row r="117" spans="1:19" x14ac:dyDescent="0.2">
      <c r="A117" s="68" t="s">
        <v>10</v>
      </c>
      <c r="B117" s="112">
        <f t="shared" ref="B117:P117" si="74">(B105*1000000)/(B36*1000)</f>
        <v>507.69091886073102</v>
      </c>
      <c r="C117" s="112">
        <f t="shared" si="74"/>
        <v>545.76973159156876</v>
      </c>
      <c r="D117" s="112">
        <f t="shared" si="74"/>
        <v>588.09008768947683</v>
      </c>
      <c r="E117" s="112">
        <f t="shared" si="74"/>
        <v>645.53084981028508</v>
      </c>
      <c r="F117" s="112">
        <f t="shared" si="74"/>
        <v>727.55021241811119</v>
      </c>
      <c r="G117" s="112">
        <f t="shared" si="74"/>
        <v>785.97888277001005</v>
      </c>
      <c r="H117" s="112">
        <f t="shared" si="74"/>
        <v>905.5338812462262</v>
      </c>
      <c r="I117" s="112">
        <f t="shared" si="74"/>
        <v>1029.9913496892702</v>
      </c>
      <c r="J117" s="112">
        <f t="shared" si="74"/>
        <v>1134.7423122912269</v>
      </c>
      <c r="K117" s="112">
        <f t="shared" si="74"/>
        <v>1187.5502882866379</v>
      </c>
      <c r="L117" s="112">
        <f t="shared" si="74"/>
        <v>1249.4843458504527</v>
      </c>
      <c r="M117" s="112">
        <f t="shared" si="74"/>
        <v>1269.4547710760976</v>
      </c>
      <c r="N117" s="112">
        <f t="shared" si="74"/>
        <v>1333.8388435748773</v>
      </c>
      <c r="O117" s="112">
        <f t="shared" si="74"/>
        <v>1426.4784054983659</v>
      </c>
      <c r="P117" s="112">
        <f t="shared" si="74"/>
        <v>1511.7542235838841</v>
      </c>
      <c r="R117" s="57">
        <f>(J117/D117)^(1/6)-1</f>
        <v>0.11577227297756854</v>
      </c>
      <c r="S117" s="57">
        <f>(P117/J117)^(1/6)-1</f>
        <v>4.8972228091286762E-2</v>
      </c>
    </row>
    <row r="118" spans="1:19" x14ac:dyDescent="0.2">
      <c r="A118" s="62" t="s">
        <v>4</v>
      </c>
      <c r="B118" s="75"/>
      <c r="C118" s="13">
        <f>C117/B117-1</f>
        <v>7.5003927224633893E-2</v>
      </c>
      <c r="D118" s="13">
        <f t="shared" ref="D118:P118" si="75">D117/C117-1</f>
        <v>7.754251225053066E-2</v>
      </c>
      <c r="E118" s="13">
        <f t="shared" si="75"/>
        <v>9.7673406376368233E-2</v>
      </c>
      <c r="F118" s="13">
        <f t="shared" si="75"/>
        <v>0.12705723147380299</v>
      </c>
      <c r="G118" s="13">
        <f t="shared" si="75"/>
        <v>8.030878055509505E-2</v>
      </c>
      <c r="H118" s="13">
        <f t="shared" si="75"/>
        <v>0.15210968271166636</v>
      </c>
      <c r="I118" s="13">
        <f t="shared" si="75"/>
        <v>0.13744098483842637</v>
      </c>
      <c r="J118" s="13">
        <f t="shared" si="75"/>
        <v>0.10170081781129348</v>
      </c>
      <c r="K118" s="13">
        <f t="shared" si="75"/>
        <v>4.6537416842052259E-2</v>
      </c>
      <c r="L118" s="13">
        <f t="shared" si="75"/>
        <v>5.2152787275367762E-2</v>
      </c>
      <c r="M118" s="13">
        <f t="shared" si="75"/>
        <v>1.5982933513306374E-2</v>
      </c>
      <c r="N118" s="13">
        <f t="shared" si="75"/>
        <v>5.0717893985464446E-2</v>
      </c>
      <c r="O118" s="13">
        <f t="shared" si="75"/>
        <v>6.9453339411829962E-2</v>
      </c>
      <c r="P118" s="13">
        <f t="shared" si="75"/>
        <v>5.9780658267817088E-2</v>
      </c>
      <c r="R118" s="109"/>
      <c r="S118" s="109"/>
    </row>
    <row r="119" spans="1:19" x14ac:dyDescent="0.2">
      <c r="A119" s="68" t="s">
        <v>11</v>
      </c>
      <c r="B119" s="112">
        <f t="shared" ref="B119:P119" si="76">(B107*1000000)/(B38*1000)</f>
        <v>27151.462372676378</v>
      </c>
      <c r="C119" s="112">
        <f t="shared" si="76"/>
        <v>27781.490958393308</v>
      </c>
      <c r="D119" s="112">
        <f t="shared" si="76"/>
        <v>29088.119577278914</v>
      </c>
      <c r="E119" s="112">
        <f t="shared" si="76"/>
        <v>31401.940289158189</v>
      </c>
      <c r="F119" s="112">
        <f t="shared" si="76"/>
        <v>35515.57951938537</v>
      </c>
      <c r="G119" s="112">
        <f t="shared" si="76"/>
        <v>40601.062142841147</v>
      </c>
      <c r="H119" s="112">
        <f t="shared" si="76"/>
        <v>47383.074499475872</v>
      </c>
      <c r="I119" s="112">
        <f t="shared" si="76"/>
        <v>54890.358475189714</v>
      </c>
      <c r="J119" s="112">
        <f t="shared" si="76"/>
        <v>63177.551145759186</v>
      </c>
      <c r="K119" s="112">
        <f t="shared" si="76"/>
        <v>68834.23824503721</v>
      </c>
      <c r="L119" s="112">
        <f t="shared" si="76"/>
        <v>75432.283753203723</v>
      </c>
      <c r="M119" s="112">
        <f t="shared" si="76"/>
        <v>79749.090322857679</v>
      </c>
      <c r="N119" s="112">
        <f t="shared" si="76"/>
        <v>87002.95882626703</v>
      </c>
      <c r="O119" s="112">
        <f t="shared" si="76"/>
        <v>96295.900532158848</v>
      </c>
      <c r="P119" s="112">
        <f t="shared" si="76"/>
        <v>105217.30555395952</v>
      </c>
      <c r="R119" s="57">
        <f>(J119/D119)^(1/6)-1</f>
        <v>0.13799719133824206</v>
      </c>
      <c r="S119" s="57">
        <f>(P119/J119)^(1/6)-1</f>
        <v>8.8731356852369325E-2</v>
      </c>
    </row>
    <row r="120" spans="1:19" x14ac:dyDescent="0.2">
      <c r="A120" s="62" t="s">
        <v>4</v>
      </c>
      <c r="B120" s="75"/>
      <c r="C120" s="13">
        <f>C119/B119-1</f>
        <v>2.3204222928005169E-2</v>
      </c>
      <c r="D120" s="13">
        <f t="shared" ref="D120:P120" si="77">D119/C119-1</f>
        <v>4.703234325481187E-2</v>
      </c>
      <c r="E120" s="13">
        <f t="shared" si="77"/>
        <v>7.9545214524167074E-2</v>
      </c>
      <c r="F120" s="13">
        <f t="shared" si="77"/>
        <v>0.13099952398952408</v>
      </c>
      <c r="G120" s="13">
        <f t="shared" si="77"/>
        <v>0.1431901912421274</v>
      </c>
      <c r="H120" s="13">
        <f t="shared" si="77"/>
        <v>0.16704026935981386</v>
      </c>
      <c r="I120" s="13">
        <f t="shared" si="77"/>
        <v>0.15843809324354585</v>
      </c>
      <c r="J120" s="13">
        <f t="shared" si="77"/>
        <v>0.15097720074674426</v>
      </c>
      <c r="K120" s="13">
        <f t="shared" si="77"/>
        <v>8.9536346323827676E-2</v>
      </c>
      <c r="L120" s="13">
        <f t="shared" si="77"/>
        <v>9.5854122546961129E-2</v>
      </c>
      <c r="M120" s="13">
        <f t="shared" si="77"/>
        <v>5.7227573591401626E-2</v>
      </c>
      <c r="N120" s="13">
        <f t="shared" si="77"/>
        <v>9.0958636318516639E-2</v>
      </c>
      <c r="O120" s="13">
        <f t="shared" si="77"/>
        <v>0.10681178929154056</v>
      </c>
      <c r="P120" s="13">
        <f t="shared" si="77"/>
        <v>9.2645740602646853E-2</v>
      </c>
      <c r="R120" s="109"/>
      <c r="S120" s="109"/>
    </row>
    <row r="121" spans="1:19" x14ac:dyDescent="0.2">
      <c r="A121" s="77" t="s">
        <v>23</v>
      </c>
      <c r="B121" s="56">
        <f t="shared" ref="B121:P121" si="78">(B111*1000000)/(B40*1000)</f>
        <v>181.51728961460952</v>
      </c>
      <c r="C121" s="56">
        <f t="shared" si="78"/>
        <v>206.77480688145107</v>
      </c>
      <c r="D121" s="56">
        <f t="shared" si="78"/>
        <v>230.56245891827231</v>
      </c>
      <c r="E121" s="56">
        <f t="shared" si="78"/>
        <v>258.40070582738878</v>
      </c>
      <c r="F121" s="56">
        <f t="shared" si="78"/>
        <v>289.27662892392669</v>
      </c>
      <c r="G121" s="56">
        <f t="shared" si="78"/>
        <v>324.28052783817014</v>
      </c>
      <c r="H121" s="56">
        <f t="shared" si="78"/>
        <v>376.20508522988143</v>
      </c>
      <c r="I121" s="56">
        <f t="shared" si="78"/>
        <v>417.79021798997837</v>
      </c>
      <c r="J121" s="56">
        <f t="shared" si="78"/>
        <v>458.94460548589922</v>
      </c>
      <c r="K121" s="56">
        <f t="shared" si="78"/>
        <v>477.30292440105217</v>
      </c>
      <c r="L121" s="56">
        <f t="shared" si="78"/>
        <v>493.57316535841193</v>
      </c>
      <c r="M121" s="56">
        <f t="shared" si="78"/>
        <v>489.32460382017217</v>
      </c>
      <c r="N121" s="56">
        <f t="shared" si="78"/>
        <v>499.15209793060416</v>
      </c>
      <c r="O121" s="56">
        <f t="shared" si="78"/>
        <v>516.01629086306662</v>
      </c>
      <c r="P121" s="56">
        <f t="shared" si="78"/>
        <v>526.91358746978744</v>
      </c>
      <c r="R121" s="109"/>
      <c r="S121" s="109"/>
    </row>
    <row r="122" spans="1:19" x14ac:dyDescent="0.2">
      <c r="A122" s="74" t="s">
        <v>4</v>
      </c>
      <c r="B122" s="66"/>
      <c r="C122" s="59">
        <f t="shared" ref="C122:P122" si="79">C121/B121-1</f>
        <v>0.13914661969924369</v>
      </c>
      <c r="D122" s="59">
        <f t="shared" si="79"/>
        <v>0.11504134568221014</v>
      </c>
      <c r="E122" s="59">
        <f t="shared" si="79"/>
        <v>0.12074058821078193</v>
      </c>
      <c r="F122" s="59">
        <f t="shared" si="79"/>
        <v>0.11948854008612098</v>
      </c>
      <c r="G122" s="59">
        <f t="shared" si="79"/>
        <v>0.12100493235299936</v>
      </c>
      <c r="H122" s="59">
        <f t="shared" si="79"/>
        <v>0.16012234141182802</v>
      </c>
      <c r="I122" s="59">
        <f t="shared" si="79"/>
        <v>0.11053846530194078</v>
      </c>
      <c r="J122" s="59">
        <f t="shared" si="79"/>
        <v>9.8504909219554904E-2</v>
      </c>
      <c r="K122" s="59">
        <f t="shared" si="79"/>
        <v>4.0001165055020937E-2</v>
      </c>
      <c r="L122" s="59">
        <f t="shared" si="79"/>
        <v>3.4087871926987701E-2</v>
      </c>
      <c r="M122" s="59">
        <f t="shared" si="79"/>
        <v>-8.6077644337787529E-3</v>
      </c>
      <c r="N122" s="59">
        <f t="shared" si="79"/>
        <v>2.0083793117510185E-2</v>
      </c>
      <c r="O122" s="59">
        <f t="shared" si="79"/>
        <v>3.3785679760494736E-2</v>
      </c>
      <c r="P122" s="59">
        <f t="shared" si="79"/>
        <v>2.1118125143867905E-2</v>
      </c>
      <c r="R122" s="109"/>
      <c r="S122" s="109"/>
    </row>
    <row r="123" spans="1:19" x14ac:dyDescent="0.2">
      <c r="R123" s="109"/>
      <c r="S123" s="109"/>
    </row>
    <row r="124" spans="1:19" x14ac:dyDescent="0.2">
      <c r="A124" s="67" t="s">
        <v>51</v>
      </c>
      <c r="R124" s="109"/>
      <c r="S124" s="109"/>
    </row>
    <row r="125" spans="1:19" x14ac:dyDescent="0.2">
      <c r="A125" s="68" t="s">
        <v>52</v>
      </c>
      <c r="B125" s="46">
        <v>8.8168622992949057</v>
      </c>
      <c r="C125" s="46">
        <v>11.782375467538246</v>
      </c>
      <c r="D125" s="46">
        <v>15.705110833858358</v>
      </c>
      <c r="E125" s="46">
        <v>20.820540846813259</v>
      </c>
      <c r="F125" s="46">
        <v>27.321674666869662</v>
      </c>
      <c r="G125" s="46">
        <v>36.549118520525219</v>
      </c>
      <c r="H125" s="46">
        <v>50.164116531599483</v>
      </c>
      <c r="I125" s="46">
        <v>64.823098940389997</v>
      </c>
      <c r="J125" s="46">
        <v>82.324652571619566</v>
      </c>
      <c r="K125" s="46">
        <v>98.692769996465586</v>
      </c>
      <c r="L125" s="46">
        <v>117.59906713391851</v>
      </c>
      <c r="M125" s="46">
        <v>134.09304715304717</v>
      </c>
      <c r="N125" s="46">
        <v>156.62963843650556</v>
      </c>
      <c r="O125" s="46">
        <v>184.57936874837876</v>
      </c>
      <c r="P125" s="46">
        <v>213.72550090566111</v>
      </c>
      <c r="R125" s="57">
        <f>(J125/D125)^(1/6)-1</f>
        <v>0.3179981990348435</v>
      </c>
      <c r="S125" s="57">
        <f>(P125/J125)^(1/6)-1</f>
        <v>0.17234222133620003</v>
      </c>
    </row>
    <row r="126" spans="1:19" x14ac:dyDescent="0.2">
      <c r="A126" s="62" t="s">
        <v>4</v>
      </c>
      <c r="B126" s="75"/>
      <c r="C126" s="63">
        <f t="shared" ref="C126:P126" si="80">C125/B125-1</f>
        <v>0.33634563720933874</v>
      </c>
      <c r="D126" s="63">
        <f t="shared" si="80"/>
        <v>0.33293246995291259</v>
      </c>
      <c r="E126" s="63">
        <f t="shared" si="80"/>
        <v>0.3257175366076781</v>
      </c>
      <c r="F126" s="63">
        <f t="shared" si="80"/>
        <v>0.31224615478955964</v>
      </c>
      <c r="G126" s="63">
        <f t="shared" si="80"/>
        <v>0.33773346495647938</v>
      </c>
      <c r="H126" s="63">
        <f t="shared" si="80"/>
        <v>0.37251234946824674</v>
      </c>
      <c r="I126" s="63">
        <f t="shared" si="80"/>
        <v>0.29222048393011169</v>
      </c>
      <c r="J126" s="63">
        <f t="shared" si="80"/>
        <v>0.2699894623569854</v>
      </c>
      <c r="K126" s="63">
        <f t="shared" si="80"/>
        <v>0.1988240085265629</v>
      </c>
      <c r="L126" s="63">
        <f t="shared" si="80"/>
        <v>0.19156719522747201</v>
      </c>
      <c r="M126" s="63">
        <f t="shared" si="80"/>
        <v>0.1402560447213903</v>
      </c>
      <c r="N126" s="63">
        <f t="shared" si="80"/>
        <v>0.16806681451377736</v>
      </c>
      <c r="O126" s="63">
        <f t="shared" si="80"/>
        <v>0.17844470938495749</v>
      </c>
      <c r="P126" s="63">
        <f t="shared" si="80"/>
        <v>0.15790568769912072</v>
      </c>
      <c r="R126" s="109"/>
      <c r="S126" s="109"/>
    </row>
    <row r="127" spans="1:19" x14ac:dyDescent="0.2">
      <c r="A127" s="68" t="s">
        <v>53</v>
      </c>
      <c r="B127" s="39">
        <v>9.4589531727050957</v>
      </c>
      <c r="C127" s="39">
        <v>11.768170996461775</v>
      </c>
      <c r="D127" s="39">
        <v>14.565038302141646</v>
      </c>
      <c r="E127" s="39">
        <v>17.875896801186713</v>
      </c>
      <c r="F127" s="39">
        <v>21.643997365130268</v>
      </c>
      <c r="G127" s="39">
        <v>26.614461223474741</v>
      </c>
      <c r="H127" s="39">
        <v>33.432446140400536</v>
      </c>
      <c r="I127" s="39">
        <v>39.343975219610073</v>
      </c>
      <c r="J127" s="39">
        <v>45.241661668380502</v>
      </c>
      <c r="K127" s="39">
        <v>48.774915444747307</v>
      </c>
      <c r="L127" s="39">
        <v>51.842838260993716</v>
      </c>
      <c r="M127" s="39">
        <v>52.213721772162529</v>
      </c>
      <c r="N127" s="39">
        <v>53.216868255499634</v>
      </c>
      <c r="O127" s="39">
        <v>53.881092274177576</v>
      </c>
      <c r="P127" s="39">
        <v>52.527793944716763</v>
      </c>
      <c r="R127" s="57">
        <f>(J127/D127)^(1/6)-1</f>
        <v>0.2079190190833462</v>
      </c>
      <c r="S127" s="57">
        <f>(P127/J127)^(1/6)-1</f>
        <v>2.5199617991890078E-2</v>
      </c>
    </row>
    <row r="128" spans="1:19" x14ac:dyDescent="0.2">
      <c r="A128" s="62" t="s">
        <v>4</v>
      </c>
      <c r="B128" s="63"/>
      <c r="C128" s="63">
        <f t="shared" ref="C128:P128" si="81">C127/B127-1</f>
        <v>0.24413037908044566</v>
      </c>
      <c r="D128" s="63">
        <f t="shared" si="81"/>
        <v>0.2376637207702692</v>
      </c>
      <c r="E128" s="63">
        <f t="shared" si="81"/>
        <v>0.22731546806562375</v>
      </c>
      <c r="F128" s="63">
        <f t="shared" si="81"/>
        <v>0.21079225315808525</v>
      </c>
      <c r="G128" s="63">
        <f t="shared" si="81"/>
        <v>0.22964629751582666</v>
      </c>
      <c r="H128" s="63">
        <f t="shared" si="81"/>
        <v>0.25617595109955227</v>
      </c>
      <c r="I128" s="63">
        <f t="shared" si="81"/>
        <v>0.17682011822837906</v>
      </c>
      <c r="J128" s="63">
        <f t="shared" si="81"/>
        <v>0.14990062432305695</v>
      </c>
      <c r="K128" s="63">
        <f t="shared" si="81"/>
        <v>7.8097347578995002E-2</v>
      </c>
      <c r="L128" s="63">
        <f t="shared" si="81"/>
        <v>6.2899602967467549E-2</v>
      </c>
      <c r="M128" s="63">
        <f t="shared" si="81"/>
        <v>7.1539970342993087E-3</v>
      </c>
      <c r="N128" s="63">
        <f t="shared" si="81"/>
        <v>1.9212315255257906E-2</v>
      </c>
      <c r="O128" s="63">
        <f t="shared" si="81"/>
        <v>1.2481456358704346E-2</v>
      </c>
      <c r="P128" s="63">
        <f t="shared" si="81"/>
        <v>-2.5116386330374718E-2</v>
      </c>
      <c r="R128" s="109"/>
      <c r="S128" s="109"/>
    </row>
    <row r="129" spans="1:19" x14ac:dyDescent="0.2">
      <c r="A129" s="77" t="s">
        <v>23</v>
      </c>
      <c r="B129" s="56">
        <f t="shared" ref="B129:P129" si="82">B125+B127</f>
        <v>18.275815472000001</v>
      </c>
      <c r="C129" s="56">
        <f t="shared" si="82"/>
        <v>23.550546464000021</v>
      </c>
      <c r="D129" s="56">
        <f t="shared" si="82"/>
        <v>30.270149136000004</v>
      </c>
      <c r="E129" s="56">
        <f t="shared" si="82"/>
        <v>38.696437647999971</v>
      </c>
      <c r="F129" s="56">
        <f t="shared" si="82"/>
        <v>48.965672031999929</v>
      </c>
      <c r="G129" s="56">
        <f t="shared" si="82"/>
        <v>63.163579743999961</v>
      </c>
      <c r="H129" s="56">
        <f t="shared" si="82"/>
        <v>83.596562672000019</v>
      </c>
      <c r="I129" s="56">
        <f t="shared" si="82"/>
        <v>104.16707416000007</v>
      </c>
      <c r="J129" s="56">
        <f t="shared" si="82"/>
        <v>127.56631424000007</v>
      </c>
      <c r="K129" s="56">
        <f t="shared" si="82"/>
        <v>147.46768544121289</v>
      </c>
      <c r="L129" s="56">
        <f t="shared" si="82"/>
        <v>169.44190539491223</v>
      </c>
      <c r="M129" s="56">
        <f t="shared" si="82"/>
        <v>186.3067689252097</v>
      </c>
      <c r="N129" s="56">
        <f t="shared" si="82"/>
        <v>209.84650669200519</v>
      </c>
      <c r="O129" s="56">
        <f t="shared" si="82"/>
        <v>238.46046102255633</v>
      </c>
      <c r="P129" s="56">
        <f t="shared" si="82"/>
        <v>266.25329485037787</v>
      </c>
      <c r="R129" s="57">
        <f>(J129/D129)^(1/6)-1</f>
        <v>0.27092593208063342</v>
      </c>
      <c r="S129" s="57">
        <f>(P129/J129)^(1/6)-1</f>
        <v>0.13047205334595513</v>
      </c>
    </row>
    <row r="130" spans="1:19" x14ac:dyDescent="0.2">
      <c r="A130" s="74" t="s">
        <v>4</v>
      </c>
      <c r="B130" s="66"/>
      <c r="C130" s="59">
        <f t="shared" ref="C130:P130" si="83">C129/B129-1</f>
        <v>0.28861809203979583</v>
      </c>
      <c r="D130" s="59">
        <f t="shared" si="83"/>
        <v>0.28532682595165015</v>
      </c>
      <c r="E130" s="59">
        <f t="shared" si="83"/>
        <v>0.27836957373885762</v>
      </c>
      <c r="F130" s="59">
        <f t="shared" si="83"/>
        <v>0.2653793219265681</v>
      </c>
      <c r="G130" s="59">
        <f t="shared" si="83"/>
        <v>0.28995635355972338</v>
      </c>
      <c r="H130" s="59">
        <f t="shared" si="83"/>
        <v>0.32349311123299707</v>
      </c>
      <c r="I130" s="59">
        <f t="shared" si="83"/>
        <v>0.24606886731348787</v>
      </c>
      <c r="J130" s="59">
        <f t="shared" si="83"/>
        <v>0.22463182602267295</v>
      </c>
      <c r="K130" s="59">
        <f t="shared" si="83"/>
        <v>0.15600804428487991</v>
      </c>
      <c r="L130" s="59">
        <f t="shared" si="83"/>
        <v>0.14901040785955244</v>
      </c>
      <c r="M130" s="59">
        <f t="shared" si="83"/>
        <v>9.9531833586214313E-2</v>
      </c>
      <c r="N130" s="59">
        <f t="shared" si="83"/>
        <v>0.12634934255257901</v>
      </c>
      <c r="O130" s="59">
        <f t="shared" si="83"/>
        <v>0.13635659121334931</v>
      </c>
      <c r="P130" s="59">
        <f t="shared" si="83"/>
        <v>0.11655112008356205</v>
      </c>
      <c r="R130" s="109"/>
      <c r="S130" s="109"/>
    </row>
    <row r="131" spans="1:19" x14ac:dyDescent="0.2">
      <c r="R131" s="109"/>
      <c r="S131" s="109"/>
    </row>
    <row r="132" spans="1:19" x14ac:dyDescent="0.2">
      <c r="A132" s="67" t="s">
        <v>34</v>
      </c>
      <c r="R132" s="109"/>
      <c r="S132" s="109"/>
    </row>
    <row r="133" spans="1:19" x14ac:dyDescent="0.2">
      <c r="A133" s="79" t="s">
        <v>35</v>
      </c>
      <c r="B133" s="45">
        <v>46097.52932895354</v>
      </c>
      <c r="C133" s="45">
        <v>47247.778251781063</v>
      </c>
      <c r="D133" s="45">
        <v>55451.050509790526</v>
      </c>
      <c r="E133" s="45">
        <v>56656.401177424159</v>
      </c>
      <c r="F133" s="45">
        <v>58633.17627234332</v>
      </c>
      <c r="G133" s="45">
        <v>60224.239153619725</v>
      </c>
      <c r="H133" s="45">
        <v>62797.835685772698</v>
      </c>
      <c r="I133" s="45">
        <v>65234.022665089899</v>
      </c>
      <c r="J133" s="45">
        <v>69195</v>
      </c>
      <c r="K133" s="45">
        <v>71813.102962046498</v>
      </c>
      <c r="L133" s="45">
        <v>74579.931213686839</v>
      </c>
      <c r="M133" s="45">
        <v>76368.074154782094</v>
      </c>
      <c r="N133" s="45">
        <v>83132.139751565395</v>
      </c>
      <c r="O133" s="45">
        <v>89860.095214504821</v>
      </c>
      <c r="P133" s="45">
        <v>96773.025593150334</v>
      </c>
      <c r="R133" s="57">
        <f>(J133/D133)^(1/6)-1</f>
        <v>3.7594089634237715E-2</v>
      </c>
      <c r="S133" s="57">
        <f>(P133/J133)^(1/6)-1</f>
        <v>5.7498924331608192E-2</v>
      </c>
    </row>
    <row r="134" spans="1:19" x14ac:dyDescent="0.2">
      <c r="A134" s="80" t="s">
        <v>36</v>
      </c>
      <c r="B134" s="75"/>
      <c r="C134" s="63">
        <f t="shared" ref="C134:P134" si="84">C133/B133-1</f>
        <v>2.4952506990544077E-2</v>
      </c>
      <c r="D134" s="63">
        <f t="shared" si="84"/>
        <v>0.17362239160314874</v>
      </c>
      <c r="E134" s="63">
        <f t="shared" si="84"/>
        <v>2.173720166799753E-2</v>
      </c>
      <c r="F134" s="63">
        <f t="shared" si="84"/>
        <v>3.4890587009378304E-2</v>
      </c>
      <c r="G134" s="63">
        <f t="shared" si="84"/>
        <v>2.7135880783366151E-2</v>
      </c>
      <c r="H134" s="63">
        <f t="shared" si="84"/>
        <v>4.2733566555955171E-2</v>
      </c>
      <c r="I134" s="63">
        <f t="shared" si="84"/>
        <v>3.8794123280097903E-2</v>
      </c>
      <c r="J134" s="63">
        <f t="shared" si="84"/>
        <v>6.0719501466982573E-2</v>
      </c>
      <c r="K134" s="63">
        <f t="shared" si="84"/>
        <v>3.7836591690822985E-2</v>
      </c>
      <c r="L134" s="63">
        <f t="shared" si="84"/>
        <v>3.8528181313967513E-2</v>
      </c>
      <c r="M134" s="63">
        <f t="shared" si="84"/>
        <v>2.397619456059652E-2</v>
      </c>
      <c r="N134" s="63">
        <f t="shared" si="84"/>
        <v>8.8571902220212495E-2</v>
      </c>
      <c r="O134" s="63">
        <f t="shared" si="84"/>
        <v>8.0930858787533255E-2</v>
      </c>
      <c r="P134" s="63">
        <f t="shared" si="84"/>
        <v>7.6929924925448478E-2</v>
      </c>
      <c r="R134" s="109"/>
      <c r="S134" s="109"/>
    </row>
    <row r="135" spans="1:19" x14ac:dyDescent="0.2">
      <c r="A135" s="79" t="s">
        <v>37</v>
      </c>
      <c r="B135" s="45">
        <v>24783.068370101337</v>
      </c>
      <c r="C135" s="45">
        <v>25306.509913431892</v>
      </c>
      <c r="D135" s="45">
        <v>28791.443405007809</v>
      </c>
      <c r="E135" s="45">
        <v>29314.884948338356</v>
      </c>
      <c r="F135" s="45">
        <v>30261.396769989675</v>
      </c>
      <c r="G135" s="45">
        <v>30966.154146886271</v>
      </c>
      <c r="H135" s="45">
        <v>31983.5</v>
      </c>
      <c r="I135" s="45">
        <v>32983.5</v>
      </c>
      <c r="J135" s="45">
        <v>34783.5</v>
      </c>
      <c r="K135" s="45">
        <v>35882.354598751495</v>
      </c>
      <c r="L135" s="45">
        <v>37061.809903164925</v>
      </c>
      <c r="M135" s="45">
        <v>37869.219673639578</v>
      </c>
      <c r="N135" s="45">
        <v>41000.457014191583</v>
      </c>
      <c r="O135" s="45">
        <v>44061.512528039799</v>
      </c>
      <c r="P135" s="45">
        <v>47245.137364331851</v>
      </c>
      <c r="R135" s="57">
        <f>(J135/D135)^(1/6)-1</f>
        <v>3.2012538024635218E-2</v>
      </c>
      <c r="S135" s="57">
        <f>(P135/J135)^(1/6)-1</f>
        <v>5.2359128770853358E-2</v>
      </c>
    </row>
    <row r="136" spans="1:19" x14ac:dyDescent="0.2">
      <c r="A136" s="80" t="s">
        <v>36</v>
      </c>
      <c r="B136" s="75"/>
      <c r="C136" s="63">
        <f t="shared" ref="C136:P136" si="85">C135/B135-1</f>
        <v>2.1120933675914166E-2</v>
      </c>
      <c r="D136" s="63">
        <f t="shared" si="85"/>
        <v>0.13770897304674268</v>
      </c>
      <c r="E136" s="63">
        <f t="shared" si="85"/>
        <v>1.8180455073659285E-2</v>
      </c>
      <c r="F136" s="63">
        <f t="shared" si="85"/>
        <v>3.2287754951771275E-2</v>
      </c>
      <c r="G136" s="63">
        <f t="shared" si="85"/>
        <v>2.328899033489118E-2</v>
      </c>
      <c r="H136" s="63">
        <f t="shared" si="85"/>
        <v>3.2853477648144613E-2</v>
      </c>
      <c r="I136" s="63">
        <f t="shared" si="85"/>
        <v>3.1266121593946927E-2</v>
      </c>
      <c r="J136" s="63">
        <f t="shared" si="85"/>
        <v>5.4572740915912465E-2</v>
      </c>
      <c r="K136" s="63">
        <f t="shared" si="85"/>
        <v>3.1591260188063242E-2</v>
      </c>
      <c r="L136" s="63">
        <f t="shared" si="85"/>
        <v>3.2870064342279015E-2</v>
      </c>
      <c r="M136" s="63">
        <f t="shared" si="85"/>
        <v>2.1785492197608614E-2</v>
      </c>
      <c r="N136" s="63">
        <f t="shared" si="85"/>
        <v>8.2685552211988922E-2</v>
      </c>
      <c r="O136" s="63">
        <f t="shared" si="85"/>
        <v>7.4659058380463605E-2</v>
      </c>
      <c r="P136" s="63">
        <f t="shared" si="85"/>
        <v>7.2254097819861807E-2</v>
      </c>
      <c r="R136" s="109"/>
      <c r="S136" s="109"/>
    </row>
    <row r="137" spans="1:19" x14ac:dyDescent="0.2">
      <c r="A137" s="79" t="s">
        <v>38</v>
      </c>
      <c r="B137" s="132">
        <v>129.42404870089257</v>
      </c>
      <c r="C137" s="132">
        <v>156.17690485670641</v>
      </c>
      <c r="D137" s="132">
        <v>185.6720315131146</v>
      </c>
      <c r="E137" s="132">
        <v>226.56366890990734</v>
      </c>
      <c r="F137" s="132">
        <v>276.18095811064273</v>
      </c>
      <c r="G137" s="132">
        <v>344.25407832884559</v>
      </c>
      <c r="H137" s="132">
        <v>442.51904545392807</v>
      </c>
      <c r="I137" s="132">
        <v>536.95744320586869</v>
      </c>
      <c r="J137" s="132">
        <v>641.66493486517584</v>
      </c>
      <c r="K137" s="132">
        <v>732.82708126658088</v>
      </c>
      <c r="L137" s="132">
        <v>836.47651023914057</v>
      </c>
      <c r="M137" s="132">
        <v>933.96321705241621</v>
      </c>
      <c r="N137" s="132">
        <v>1066.0503159165198</v>
      </c>
      <c r="O137" s="132">
        <v>1221.7012855770408</v>
      </c>
      <c r="P137" s="132">
        <v>1376.1809222932616</v>
      </c>
      <c r="R137" s="57">
        <f>(J137/D137)^(1/6)-1</f>
        <v>0.22958994474115313</v>
      </c>
      <c r="S137" s="57">
        <f>(P137/J137)^(1/6)-1</f>
        <v>0.1356065034552143</v>
      </c>
    </row>
    <row r="138" spans="1:19" x14ac:dyDescent="0.2">
      <c r="A138" s="80" t="s">
        <v>36</v>
      </c>
      <c r="B138" s="75"/>
      <c r="C138" s="63">
        <f t="shared" ref="C138:P138" si="86">C137/B137-1</f>
        <v>0.20670699475366772</v>
      </c>
      <c r="D138" s="63">
        <f t="shared" si="86"/>
        <v>0.18885715966435757</v>
      </c>
      <c r="E138" s="63">
        <f t="shared" si="86"/>
        <v>0.22023584846651723</v>
      </c>
      <c r="F138" s="63">
        <f t="shared" si="86"/>
        <v>0.21899931899701719</v>
      </c>
      <c r="G138" s="63">
        <f t="shared" si="86"/>
        <v>0.24648013637106581</v>
      </c>
      <c r="H138" s="63">
        <f t="shared" si="86"/>
        <v>0.28544314595226306</v>
      </c>
      <c r="I138" s="63">
        <f t="shared" si="86"/>
        <v>0.21341092258541638</v>
      </c>
      <c r="J138" s="63">
        <f t="shared" si="86"/>
        <v>0.19500147168862769</v>
      </c>
      <c r="K138" s="63">
        <f t="shared" si="86"/>
        <v>0.14207126094643097</v>
      </c>
      <c r="L138" s="63">
        <f t="shared" si="86"/>
        <v>0.14143777109521838</v>
      </c>
      <c r="M138" s="63">
        <f t="shared" si="86"/>
        <v>0.11654446433337995</v>
      </c>
      <c r="N138" s="63">
        <f t="shared" si="86"/>
        <v>0.14142644640863899</v>
      </c>
      <c r="O138" s="63">
        <f t="shared" si="86"/>
        <v>0.14600715119783314</v>
      </c>
      <c r="P138" s="63">
        <f t="shared" si="86"/>
        <v>0.12644632410553291</v>
      </c>
      <c r="R138" s="109"/>
      <c r="S138" s="109"/>
    </row>
    <row r="139" spans="1:19" x14ac:dyDescent="0.2">
      <c r="A139" s="79" t="s">
        <v>60</v>
      </c>
      <c r="B139" s="46">
        <v>52.421167360092582</v>
      </c>
      <c r="C139" s="46">
        <v>57.322861715906427</v>
      </c>
      <c r="D139" s="46">
        <v>58.935568781914611</v>
      </c>
      <c r="E139" s="46">
        <v>64.118986972307297</v>
      </c>
      <c r="F139" s="46">
        <v>69.702039547442737</v>
      </c>
      <c r="G139" s="46">
        <v>77.804738380045507</v>
      </c>
      <c r="H139" s="46">
        <v>88.472299389928025</v>
      </c>
      <c r="I139" s="46">
        <v>94.798561525868706</v>
      </c>
      <c r="J139" s="46">
        <v>99.147885809175904</v>
      </c>
      <c r="K139" s="46">
        <v>104.4019591917901</v>
      </c>
      <c r="L139" s="46">
        <v>109.32526123455195</v>
      </c>
      <c r="M139" s="46">
        <v>112.79220506318354</v>
      </c>
      <c r="N139" s="46">
        <v>119.8553363664366</v>
      </c>
      <c r="O139" s="46">
        <v>128.40023246717331</v>
      </c>
      <c r="P139" s="46">
        <v>138.08710006068486</v>
      </c>
      <c r="R139" s="57">
        <f>(J139/D139)^(1/6)-1</f>
        <v>9.0563595995810653E-2</v>
      </c>
      <c r="S139" s="57">
        <f>(P139/J139)^(1/6)-1</f>
        <v>5.6764645167810102E-2</v>
      </c>
    </row>
    <row r="140" spans="1:19" x14ac:dyDescent="0.2">
      <c r="A140" s="80" t="s">
        <v>36</v>
      </c>
      <c r="B140" s="75"/>
      <c r="C140" s="63">
        <f t="shared" ref="C140:P140" si="87">C139/B139-1</f>
        <v>9.3506012984087672E-2</v>
      </c>
      <c r="D140" s="63">
        <f t="shared" si="87"/>
        <v>2.8133750090859166E-2</v>
      </c>
      <c r="E140" s="63">
        <f t="shared" si="87"/>
        <v>8.7950592443986064E-2</v>
      </c>
      <c r="F140" s="63">
        <f t="shared" si="87"/>
        <v>8.7073312270930625E-2</v>
      </c>
      <c r="G140" s="63">
        <f t="shared" si="87"/>
        <v>0.1162476576756073</v>
      </c>
      <c r="H140" s="63">
        <f t="shared" si="87"/>
        <v>0.13710682963517828</v>
      </c>
      <c r="I140" s="63">
        <f t="shared" si="87"/>
        <v>7.1505569308859762E-2</v>
      </c>
      <c r="J140" s="63">
        <f t="shared" si="87"/>
        <v>4.5879644303677969E-2</v>
      </c>
      <c r="K140" s="63">
        <f t="shared" si="87"/>
        <v>5.2992288637665919E-2</v>
      </c>
      <c r="L140" s="63">
        <f t="shared" si="87"/>
        <v>4.7157180582383162E-2</v>
      </c>
      <c r="M140" s="63">
        <f t="shared" si="87"/>
        <v>3.1712193407829492E-2</v>
      </c>
      <c r="N140" s="63">
        <f t="shared" si="87"/>
        <v>6.2620739609589693E-2</v>
      </c>
      <c r="O140" s="63">
        <f t="shared" si="87"/>
        <v>7.1293413875308742E-2</v>
      </c>
      <c r="P140" s="63">
        <f t="shared" si="87"/>
        <v>7.5442757441954722E-2</v>
      </c>
      <c r="R140" s="109"/>
      <c r="S140" s="109"/>
    </row>
    <row r="141" spans="1:19" x14ac:dyDescent="0.2">
      <c r="A141" s="79" t="s">
        <v>39</v>
      </c>
      <c r="B141" s="46">
        <v>52.08438350757514</v>
      </c>
      <c r="C141" s="46">
        <v>53.490712606113121</v>
      </c>
      <c r="D141" s="46">
        <v>64.519576048217573</v>
      </c>
      <c r="E141" s="46">
        <v>65.86576430710825</v>
      </c>
      <c r="F141" s="46">
        <v>67.542727184059032</v>
      </c>
      <c r="G141" s="46">
        <v>69.159549221362525</v>
      </c>
      <c r="H141" s="46">
        <v>72.019965117051896</v>
      </c>
      <c r="I141" s="46">
        <v>75.378306031576031</v>
      </c>
      <c r="J141" s="46">
        <v>80.0488</v>
      </c>
      <c r="K141" s="46">
        <v>83.403287799214567</v>
      </c>
      <c r="L141" s="46">
        <v>87.136180089499561</v>
      </c>
      <c r="M141" s="46">
        <v>89.912229705860071</v>
      </c>
      <c r="N141" s="46">
        <v>98.38622487202025</v>
      </c>
      <c r="O141" s="46">
        <v>106.86278434099974</v>
      </c>
      <c r="P141" s="46">
        <v>116.04028533098949</v>
      </c>
      <c r="R141" s="57">
        <f>(J141/D141)^(1/6)-1</f>
        <v>3.6598446082764191E-2</v>
      </c>
      <c r="S141" s="57">
        <f>(P141/J141)^(1/6)-1</f>
        <v>6.3838394918539487E-2</v>
      </c>
    </row>
    <row r="142" spans="1:19" x14ac:dyDescent="0.2">
      <c r="A142" s="80" t="s">
        <v>36</v>
      </c>
      <c r="B142" s="75"/>
      <c r="C142" s="63">
        <f t="shared" ref="C142:P142" si="88">C141/B141-1</f>
        <v>2.7000974261957911E-2</v>
      </c>
      <c r="D142" s="63">
        <f t="shared" si="88"/>
        <v>0.20618277276126684</v>
      </c>
      <c r="E142" s="63">
        <f t="shared" si="88"/>
        <v>2.0864803232504725E-2</v>
      </c>
      <c r="F142" s="63">
        <f t="shared" si="88"/>
        <v>2.5460311507685685E-2</v>
      </c>
      <c r="G142" s="63">
        <f t="shared" si="88"/>
        <v>2.3937766576962893E-2</v>
      </c>
      <c r="H142" s="63">
        <f t="shared" si="88"/>
        <v>4.1359666566563202E-2</v>
      </c>
      <c r="I142" s="63">
        <f t="shared" si="88"/>
        <v>4.6630693434326576E-2</v>
      </c>
      <c r="J142" s="63">
        <f t="shared" si="88"/>
        <v>6.1960718067443743E-2</v>
      </c>
      <c r="K142" s="63">
        <f t="shared" si="88"/>
        <v>4.1905535113762715E-2</v>
      </c>
      <c r="L142" s="63">
        <f t="shared" si="88"/>
        <v>4.4757135944947013E-2</v>
      </c>
      <c r="M142" s="63">
        <f t="shared" si="88"/>
        <v>3.1858748151561977E-2</v>
      </c>
      <c r="N142" s="63">
        <f t="shared" si="88"/>
        <v>9.4247414327084389E-2</v>
      </c>
      <c r="O142" s="63">
        <f t="shared" si="88"/>
        <v>8.615595811309662E-2</v>
      </c>
      <c r="P142" s="63">
        <f t="shared" si="88"/>
        <v>8.588117038672971E-2</v>
      </c>
      <c r="R142" s="109"/>
      <c r="S142" s="109"/>
    </row>
    <row r="143" spans="1:19" x14ac:dyDescent="0.2">
      <c r="R143" s="109"/>
      <c r="S143" s="109"/>
    </row>
    <row r="144" spans="1:19" x14ac:dyDescent="0.2">
      <c r="A144" s="67" t="s">
        <v>176</v>
      </c>
      <c r="R144" s="109"/>
      <c r="S144" s="109"/>
    </row>
    <row r="145" spans="1:19" x14ac:dyDescent="0.2">
      <c r="A145" s="76" t="s">
        <v>178</v>
      </c>
      <c r="B145" s="56">
        <f>B147+B153+B159+B165+B171</f>
        <v>129.42404870089257</v>
      </c>
      <c r="C145" s="56">
        <f t="shared" ref="C145:P145" si="89">C147+C153+C159+C165+C171</f>
        <v>156.17690485670641</v>
      </c>
      <c r="D145" s="56">
        <f t="shared" si="89"/>
        <v>185.67203151311463</v>
      </c>
      <c r="E145" s="56">
        <f t="shared" si="89"/>
        <v>226.56366890990734</v>
      </c>
      <c r="F145" s="56">
        <f t="shared" si="89"/>
        <v>276.18095811064273</v>
      </c>
      <c r="G145" s="56">
        <f t="shared" si="89"/>
        <v>344.25407832884559</v>
      </c>
      <c r="H145" s="56">
        <f t="shared" si="89"/>
        <v>442.51904545392807</v>
      </c>
      <c r="I145" s="56">
        <f t="shared" si="89"/>
        <v>536.95744320586869</v>
      </c>
      <c r="J145" s="56">
        <f t="shared" si="89"/>
        <v>641.66493486517595</v>
      </c>
      <c r="K145" s="56">
        <f t="shared" si="89"/>
        <v>732.82708126658099</v>
      </c>
      <c r="L145" s="56">
        <f t="shared" si="89"/>
        <v>836.47651023914057</v>
      </c>
      <c r="M145" s="56">
        <f t="shared" si="89"/>
        <v>933.9632170524161</v>
      </c>
      <c r="N145" s="56">
        <f t="shared" si="89"/>
        <v>1066.0503159165198</v>
      </c>
      <c r="O145" s="56">
        <f t="shared" si="89"/>
        <v>1221.7012855770408</v>
      </c>
      <c r="P145" s="56">
        <f t="shared" si="89"/>
        <v>1376.1809222932616</v>
      </c>
      <c r="R145" s="57">
        <f>(J145/D145)^(1/6)-1</f>
        <v>0.22958994474115313</v>
      </c>
      <c r="S145" s="57">
        <f>(P145/J145)^(1/6)-1</f>
        <v>0.1356065034552143</v>
      </c>
    </row>
    <row r="146" spans="1:19" x14ac:dyDescent="0.2">
      <c r="A146" s="58" t="s">
        <v>4</v>
      </c>
      <c r="B146" s="66"/>
      <c r="C146" s="59">
        <f t="shared" ref="C146:P146" si="90">C145/B145-1</f>
        <v>0.20670699475366772</v>
      </c>
      <c r="D146" s="59">
        <f t="shared" si="90"/>
        <v>0.18885715966435779</v>
      </c>
      <c r="E146" s="59">
        <f t="shared" si="90"/>
        <v>0.220235848466517</v>
      </c>
      <c r="F146" s="59">
        <f t="shared" si="90"/>
        <v>0.21899931899701719</v>
      </c>
      <c r="G146" s="59">
        <f t="shared" si="90"/>
        <v>0.24648013637106581</v>
      </c>
      <c r="H146" s="59">
        <f t="shared" si="90"/>
        <v>0.28544314595226306</v>
      </c>
      <c r="I146" s="59">
        <f t="shared" si="90"/>
        <v>0.21341092258541638</v>
      </c>
      <c r="J146" s="59">
        <f t="shared" si="90"/>
        <v>0.19500147168862791</v>
      </c>
      <c r="K146" s="59">
        <f t="shared" si="90"/>
        <v>0.14207126094643097</v>
      </c>
      <c r="L146" s="59">
        <f t="shared" si="90"/>
        <v>0.14143777109521816</v>
      </c>
      <c r="M146" s="59">
        <f t="shared" si="90"/>
        <v>0.11654446433337973</v>
      </c>
      <c r="N146" s="59">
        <f t="shared" si="90"/>
        <v>0.14142644640863922</v>
      </c>
      <c r="O146" s="59">
        <f t="shared" si="90"/>
        <v>0.14600715119783314</v>
      </c>
      <c r="P146" s="59">
        <f t="shared" si="90"/>
        <v>0.12644632410553291</v>
      </c>
      <c r="R146" s="109"/>
      <c r="S146" s="109"/>
    </row>
    <row r="147" spans="1:19" x14ac:dyDescent="0.2">
      <c r="A147" s="68" t="s">
        <v>26</v>
      </c>
      <c r="B147" s="46">
        <f t="shared" ref="B147:P147" si="91">B149+B151</f>
        <v>36.453438175999999</v>
      </c>
      <c r="C147" s="46">
        <f t="shared" si="91"/>
        <v>46.470722079999973</v>
      </c>
      <c r="D147" s="46">
        <f t="shared" si="91"/>
        <v>58.342856752000003</v>
      </c>
      <c r="E147" s="46">
        <f t="shared" si="91"/>
        <v>74.72389203200008</v>
      </c>
      <c r="F147" s="46">
        <f t="shared" si="91"/>
        <v>94.11321105600004</v>
      </c>
      <c r="G147" s="46">
        <f t="shared" si="91"/>
        <v>120.25146734400005</v>
      </c>
      <c r="H147" s="46">
        <f t="shared" si="91"/>
        <v>157.95144830399988</v>
      </c>
      <c r="I147" s="46">
        <f t="shared" si="91"/>
        <v>195.60089279999994</v>
      </c>
      <c r="J147" s="46">
        <f t="shared" si="91"/>
        <v>237.64050143999975</v>
      </c>
      <c r="K147" s="46">
        <f t="shared" si="91"/>
        <v>273.01553707350723</v>
      </c>
      <c r="L147" s="46">
        <f t="shared" si="91"/>
        <v>314.13819916880595</v>
      </c>
      <c r="M147" s="46">
        <f t="shared" si="91"/>
        <v>355.23055957142788</v>
      </c>
      <c r="N147" s="46">
        <f t="shared" si="91"/>
        <v>408.52610273974403</v>
      </c>
      <c r="O147" s="46">
        <f t="shared" si="91"/>
        <v>469.95759804357334</v>
      </c>
      <c r="P147" s="46">
        <f t="shared" si="91"/>
        <v>529.64470384957917</v>
      </c>
      <c r="R147" s="57">
        <f>(J147/D147)^(1/6)-1</f>
        <v>0.26373339336343093</v>
      </c>
      <c r="S147" s="57">
        <f>(P147/J147)^(1/6)-1</f>
        <v>0.14290648151023455</v>
      </c>
    </row>
    <row r="148" spans="1:19" x14ac:dyDescent="0.2">
      <c r="A148" s="62" t="s">
        <v>4</v>
      </c>
      <c r="B148" s="75"/>
      <c r="C148" s="63">
        <f t="shared" ref="C148:P148" si="92">C147/B147-1</f>
        <v>0.27479668325483475</v>
      </c>
      <c r="D148" s="63">
        <f t="shared" si="92"/>
        <v>0.25547557990517111</v>
      </c>
      <c r="E148" s="63">
        <f t="shared" si="92"/>
        <v>0.28077190922672002</v>
      </c>
      <c r="F148" s="63">
        <f t="shared" si="92"/>
        <v>0.25947951179652939</v>
      </c>
      <c r="G148" s="63">
        <f t="shared" si="92"/>
        <v>0.27773206327480415</v>
      </c>
      <c r="H148" s="63">
        <f t="shared" si="92"/>
        <v>0.31350952959395118</v>
      </c>
      <c r="I148" s="63">
        <f t="shared" si="92"/>
        <v>0.23836086911680843</v>
      </c>
      <c r="J148" s="63">
        <f t="shared" si="92"/>
        <v>0.21492544353048992</v>
      </c>
      <c r="K148" s="63">
        <f t="shared" si="92"/>
        <v>0.14885945543436363</v>
      </c>
      <c r="L148" s="63">
        <f t="shared" si="92"/>
        <v>0.15062388952694206</v>
      </c>
      <c r="M148" s="63">
        <f t="shared" si="92"/>
        <v>0.1308098171803056</v>
      </c>
      <c r="N148" s="63">
        <f t="shared" si="92"/>
        <v>0.15003085104112435</v>
      </c>
      <c r="O148" s="63">
        <f t="shared" si="92"/>
        <v>0.15037348872408507</v>
      </c>
      <c r="P148" s="63">
        <f t="shared" si="92"/>
        <v>0.12700530016853095</v>
      </c>
      <c r="R148" s="109"/>
      <c r="S148" s="109"/>
    </row>
    <row r="149" spans="1:19" x14ac:dyDescent="0.2">
      <c r="A149" s="82" t="s">
        <v>30</v>
      </c>
      <c r="B149" s="46">
        <f t="shared" ref="B149:P149" si="93">B79</f>
        <v>24.608799218072551</v>
      </c>
      <c r="C149" s="46">
        <f t="shared" si="93"/>
        <v>30.976301430437257</v>
      </c>
      <c r="D149" s="46">
        <f t="shared" si="93"/>
        <v>38.013984139066203</v>
      </c>
      <c r="E149" s="46">
        <f t="shared" si="93"/>
        <v>47.804384388914329</v>
      </c>
      <c r="F149" s="46">
        <f t="shared" si="93"/>
        <v>59.78257500664575</v>
      </c>
      <c r="G149" s="46">
        <f t="shared" si="93"/>
        <v>72.074280588146181</v>
      </c>
      <c r="H149" s="46">
        <f t="shared" si="93"/>
        <v>93.508030303102103</v>
      </c>
      <c r="I149" s="46">
        <f t="shared" si="93"/>
        <v>114.87382443368527</v>
      </c>
      <c r="J149" s="46">
        <f t="shared" si="93"/>
        <v>137.74837216000375</v>
      </c>
      <c r="K149" s="46">
        <f t="shared" si="93"/>
        <v>155.25000484107829</v>
      </c>
      <c r="L149" s="46">
        <f t="shared" si="93"/>
        <v>175.30731510556336</v>
      </c>
      <c r="M149" s="46">
        <f t="shared" si="93"/>
        <v>194.62269674002113</v>
      </c>
      <c r="N149" s="46">
        <f t="shared" si="93"/>
        <v>219.83056424463814</v>
      </c>
      <c r="O149" s="46">
        <f t="shared" si="93"/>
        <v>248.48827732118735</v>
      </c>
      <c r="P149" s="46">
        <f t="shared" si="93"/>
        <v>275.3072090840364</v>
      </c>
      <c r="R149" s="57">
        <f>(J149/D149)^(1/6)-1</f>
        <v>0.23934013546125987</v>
      </c>
      <c r="S149" s="57">
        <f>(P149/J149)^(1/6)-1</f>
        <v>0.12233330684850663</v>
      </c>
    </row>
    <row r="150" spans="1:19" x14ac:dyDescent="0.2">
      <c r="A150" s="83" t="s">
        <v>4</v>
      </c>
      <c r="B150" s="75"/>
      <c r="C150" s="63">
        <f t="shared" ref="C150:P150" si="94">C149/B149-1</f>
        <v>0.25874900095444109</v>
      </c>
      <c r="D150" s="63">
        <f t="shared" si="94"/>
        <v>0.22719570715804482</v>
      </c>
      <c r="E150" s="63">
        <f t="shared" si="94"/>
        <v>0.25754733347685943</v>
      </c>
      <c r="F150" s="63">
        <f t="shared" si="94"/>
        <v>0.2505667789858439</v>
      </c>
      <c r="G150" s="63">
        <f t="shared" si="94"/>
        <v>0.20560682740972624</v>
      </c>
      <c r="H150" s="63">
        <f t="shared" si="94"/>
        <v>0.29738416450432203</v>
      </c>
      <c r="I150" s="63">
        <f t="shared" si="94"/>
        <v>0.22849154303996033</v>
      </c>
      <c r="J150" s="63">
        <f t="shared" si="94"/>
        <v>0.19912758924051999</v>
      </c>
      <c r="K150" s="63">
        <f t="shared" si="94"/>
        <v>0.12705509623551303</v>
      </c>
      <c r="L150" s="63">
        <f t="shared" si="94"/>
        <v>0.12919362086343722</v>
      </c>
      <c r="M150" s="63">
        <f t="shared" si="94"/>
        <v>0.11018012353236251</v>
      </c>
      <c r="N150" s="63">
        <f t="shared" si="94"/>
        <v>0.12952172550712282</v>
      </c>
      <c r="O150" s="63">
        <f t="shared" si="94"/>
        <v>0.13036273265740017</v>
      </c>
      <c r="P150" s="63">
        <f t="shared" si="94"/>
        <v>0.10792835803752565</v>
      </c>
      <c r="R150" s="109"/>
      <c r="S150" s="109"/>
    </row>
    <row r="151" spans="1:19" x14ac:dyDescent="0.2">
      <c r="A151" s="82" t="s">
        <v>31</v>
      </c>
      <c r="B151" s="46">
        <f t="shared" ref="B151:P151" si="95">B81</f>
        <v>11.844638957927447</v>
      </c>
      <c r="C151" s="46">
        <f t="shared" si="95"/>
        <v>15.494420649562716</v>
      </c>
      <c r="D151" s="46">
        <f t="shared" si="95"/>
        <v>20.3288726129338</v>
      </c>
      <c r="E151" s="46">
        <f t="shared" si="95"/>
        <v>26.919507643085751</v>
      </c>
      <c r="F151" s="46">
        <f t="shared" si="95"/>
        <v>34.33063604935429</v>
      </c>
      <c r="G151" s="46">
        <f t="shared" si="95"/>
        <v>48.177186755853867</v>
      </c>
      <c r="H151" s="46">
        <f t="shared" si="95"/>
        <v>64.443418000897779</v>
      </c>
      <c r="I151" s="46">
        <f t="shared" si="95"/>
        <v>80.727068366314668</v>
      </c>
      <c r="J151" s="46">
        <f t="shared" si="95"/>
        <v>99.892129279995999</v>
      </c>
      <c r="K151" s="46">
        <f t="shared" si="95"/>
        <v>117.76553223242894</v>
      </c>
      <c r="L151" s="46">
        <f t="shared" si="95"/>
        <v>138.83088406324259</v>
      </c>
      <c r="M151" s="46">
        <f t="shared" si="95"/>
        <v>160.60786283140675</v>
      </c>
      <c r="N151" s="46">
        <f t="shared" si="95"/>
        <v>188.69553849510589</v>
      </c>
      <c r="O151" s="46">
        <f t="shared" si="95"/>
        <v>221.46932072238599</v>
      </c>
      <c r="P151" s="46">
        <f t="shared" si="95"/>
        <v>254.33749476554277</v>
      </c>
      <c r="R151" s="57">
        <f>(J151/D151)^(1/6)-1</f>
        <v>0.30387611366934975</v>
      </c>
      <c r="S151" s="57">
        <f>(P151/J151)^(1/6)-1</f>
        <v>0.16854790131319164</v>
      </c>
    </row>
    <row r="152" spans="1:19" x14ac:dyDescent="0.2">
      <c r="A152" s="83" t="s">
        <v>4</v>
      </c>
      <c r="B152" s="75"/>
      <c r="C152" s="63">
        <f t="shared" ref="C152:P152" si="96">C151/B151-1</f>
        <v>0.30813785921203807</v>
      </c>
      <c r="D152" s="63">
        <f t="shared" si="96"/>
        <v>0.3120124380712177</v>
      </c>
      <c r="E152" s="63">
        <f t="shared" si="96"/>
        <v>0.32420071469968303</v>
      </c>
      <c r="F152" s="63">
        <f t="shared" si="96"/>
        <v>0.27530698200463122</v>
      </c>
      <c r="G152" s="63">
        <f t="shared" si="96"/>
        <v>0.40332927961467258</v>
      </c>
      <c r="H152" s="63">
        <f t="shared" si="96"/>
        <v>0.33763348049930397</v>
      </c>
      <c r="I152" s="63">
        <f t="shared" si="96"/>
        <v>0.25268135785705903</v>
      </c>
      <c r="J152" s="63">
        <f t="shared" si="96"/>
        <v>0.237405634832621</v>
      </c>
      <c r="K152" s="63">
        <f t="shared" si="96"/>
        <v>0.17892703941002286</v>
      </c>
      <c r="L152" s="63">
        <f t="shared" si="96"/>
        <v>0.17887535878696537</v>
      </c>
      <c r="M152" s="63">
        <f t="shared" si="96"/>
        <v>0.15685975721543288</v>
      </c>
      <c r="N152" s="63">
        <f t="shared" si="96"/>
        <v>0.17488356527839066</v>
      </c>
      <c r="O152" s="63">
        <f t="shared" si="96"/>
        <v>0.17368604731547554</v>
      </c>
      <c r="P152" s="63">
        <f t="shared" si="96"/>
        <v>0.14840960335249953</v>
      </c>
      <c r="R152" s="109"/>
      <c r="S152" s="109"/>
    </row>
    <row r="153" spans="1:19" x14ac:dyDescent="0.2">
      <c r="A153" s="68" t="s">
        <v>55</v>
      </c>
      <c r="B153" s="46">
        <f t="shared" ref="B153:P153" si="97">B155+B157</f>
        <v>9.193689366400001</v>
      </c>
      <c r="C153" s="46">
        <f t="shared" si="97"/>
        <v>12.500436994919996</v>
      </c>
      <c r="D153" s="46">
        <f t="shared" si="97"/>
        <v>17.361574818462</v>
      </c>
      <c r="E153" s="46">
        <f t="shared" si="97"/>
        <v>23.450167892711708</v>
      </c>
      <c r="F153" s="46">
        <f t="shared" si="97"/>
        <v>31.854186882602306</v>
      </c>
      <c r="G153" s="46">
        <f t="shared" si="97"/>
        <v>43.82164590055492</v>
      </c>
      <c r="H153" s="46">
        <f t="shared" si="97"/>
        <v>60.86607744089914</v>
      </c>
      <c r="I153" s="46">
        <f t="shared" si="97"/>
        <v>78.99483775431203</v>
      </c>
      <c r="J153" s="46">
        <f t="shared" si="97"/>
        <v>100.85638143878366</v>
      </c>
      <c r="K153" s="46">
        <f t="shared" si="97"/>
        <v>120.83719012668536</v>
      </c>
      <c r="L153" s="46">
        <f t="shared" si="97"/>
        <v>144.45242100748442</v>
      </c>
      <c r="M153" s="46">
        <f t="shared" si="97"/>
        <v>169.0655091619092</v>
      </c>
      <c r="N153" s="46">
        <f t="shared" si="97"/>
        <v>200.61283040430911</v>
      </c>
      <c r="O153" s="46">
        <f t="shared" si="97"/>
        <v>238.50466725024916</v>
      </c>
      <c r="P153" s="46">
        <f t="shared" si="97"/>
        <v>277.26497602485711</v>
      </c>
      <c r="R153" s="57">
        <f>(J153/D153)^(1/6)-1</f>
        <v>0.34076411486086444</v>
      </c>
      <c r="S153" s="57">
        <f>(P153/J153)^(1/6)-1</f>
        <v>0.18358269054726839</v>
      </c>
    </row>
    <row r="154" spans="1:19" x14ac:dyDescent="0.2">
      <c r="A154" s="62" t="s">
        <v>4</v>
      </c>
      <c r="B154" s="75"/>
      <c r="C154" s="63">
        <f t="shared" ref="C154:P154" si="98">C153/B153-1</f>
        <v>0.35967580551558576</v>
      </c>
      <c r="D154" s="63">
        <f t="shared" si="98"/>
        <v>0.38887743088641646</v>
      </c>
      <c r="E154" s="63">
        <f t="shared" si="98"/>
        <v>0.35069359421100454</v>
      </c>
      <c r="F154" s="63">
        <f t="shared" si="98"/>
        <v>0.35837777487736289</v>
      </c>
      <c r="G154" s="63">
        <f t="shared" si="98"/>
        <v>0.37569500869880446</v>
      </c>
      <c r="H154" s="63">
        <f t="shared" si="98"/>
        <v>0.38895005402178162</v>
      </c>
      <c r="I154" s="63">
        <f t="shared" si="98"/>
        <v>0.29784670009359293</v>
      </c>
      <c r="J154" s="63">
        <f t="shared" si="98"/>
        <v>0.27674648503570465</v>
      </c>
      <c r="K154" s="63">
        <f t="shared" si="98"/>
        <v>0.19811149679239048</v>
      </c>
      <c r="L154" s="63">
        <f t="shared" si="98"/>
        <v>0.19543015569992095</v>
      </c>
      <c r="M154" s="63">
        <f t="shared" si="98"/>
        <v>0.17038889333083262</v>
      </c>
      <c r="N154" s="63">
        <f t="shared" si="98"/>
        <v>0.18659820917220871</v>
      </c>
      <c r="O154" s="63">
        <f t="shared" si="98"/>
        <v>0.18888042589087628</v>
      </c>
      <c r="P154" s="63">
        <f t="shared" si="98"/>
        <v>0.16251383765978455</v>
      </c>
      <c r="R154" s="109"/>
      <c r="S154" s="109"/>
    </row>
    <row r="155" spans="1:19" x14ac:dyDescent="0.2">
      <c r="A155" s="82" t="s">
        <v>28</v>
      </c>
      <c r="B155" s="46">
        <f t="shared" ref="B155:P155" si="99">B95</f>
        <v>1.4211914463999999</v>
      </c>
      <c r="C155" s="46">
        <f t="shared" si="99"/>
        <v>1.9533583213200001</v>
      </c>
      <c r="D155" s="46">
        <f t="shared" si="99"/>
        <v>2.7456517530539988</v>
      </c>
      <c r="E155" s="46">
        <f t="shared" si="99"/>
        <v>3.747207899150097</v>
      </c>
      <c r="F155" s="46">
        <f t="shared" si="99"/>
        <v>5.1446556723567616</v>
      </c>
      <c r="G155" s="46">
        <f t="shared" si="99"/>
        <v>7.1579554358453779</v>
      </c>
      <c r="H155" s="46">
        <f t="shared" si="99"/>
        <v>9.9912613398535672</v>
      </c>
      <c r="I155" s="46">
        <f t="shared" si="99"/>
        <v>13.112136985898022</v>
      </c>
      <c r="J155" s="46">
        <f t="shared" si="99"/>
        <v>16.885988051087381</v>
      </c>
      <c r="K155" s="46">
        <f t="shared" si="99"/>
        <v>20.751889781889389</v>
      </c>
      <c r="L155" s="46">
        <f t="shared" si="99"/>
        <v>25.18544257784049</v>
      </c>
      <c r="M155" s="46">
        <f t="shared" si="99"/>
        <v>29.04646644114095</v>
      </c>
      <c r="N155" s="46">
        <f t="shared" si="99"/>
        <v>35.158583901030624</v>
      </c>
      <c r="O155" s="46">
        <f t="shared" si="99"/>
        <v>43.038758797352259</v>
      </c>
      <c r="P155" s="46">
        <f t="shared" si="99"/>
        <v>50.480458189254122</v>
      </c>
      <c r="R155" s="57">
        <f>(J155/D155)^(1/6)-1</f>
        <v>0.35356828773895299</v>
      </c>
      <c r="S155" s="57">
        <f>(P155/J155)^(1/6)-1</f>
        <v>0.20023458001579053</v>
      </c>
    </row>
    <row r="156" spans="1:19" x14ac:dyDescent="0.2">
      <c r="A156" s="83" t="s">
        <v>4</v>
      </c>
      <c r="B156" s="75"/>
      <c r="C156" s="63">
        <f t="shared" ref="C156:P156" si="100">C155/B155-1</f>
        <v>0.37445122278777054</v>
      </c>
      <c r="D156" s="63">
        <f t="shared" si="100"/>
        <v>0.40560578317172191</v>
      </c>
      <c r="E156" s="63">
        <f t="shared" si="100"/>
        <v>0.36477901648745648</v>
      </c>
      <c r="F156" s="63">
        <f t="shared" si="100"/>
        <v>0.37293040867137872</v>
      </c>
      <c r="G156" s="63">
        <f t="shared" si="100"/>
        <v>0.39133809757307358</v>
      </c>
      <c r="H156" s="63">
        <f t="shared" si="100"/>
        <v>0.39582614468646327</v>
      </c>
      <c r="I156" s="63">
        <f t="shared" si="100"/>
        <v>0.31236052585230389</v>
      </c>
      <c r="J156" s="63">
        <f t="shared" si="100"/>
        <v>0.2878135783090201</v>
      </c>
      <c r="K156" s="63">
        <f t="shared" si="100"/>
        <v>0.22894139917107559</v>
      </c>
      <c r="L156" s="63">
        <f t="shared" si="100"/>
        <v>0.21364573745087823</v>
      </c>
      <c r="M156" s="63">
        <f t="shared" si="100"/>
        <v>0.15330379251296522</v>
      </c>
      <c r="N156" s="63">
        <f t="shared" si="100"/>
        <v>0.21042550811731675</v>
      </c>
      <c r="O156" s="63">
        <f t="shared" si="100"/>
        <v>0.22413231768673825</v>
      </c>
      <c r="P156" s="63">
        <f t="shared" si="100"/>
        <v>0.17290692389483309</v>
      </c>
      <c r="R156" s="109"/>
      <c r="S156" s="109"/>
    </row>
    <row r="157" spans="1:19" x14ac:dyDescent="0.2">
      <c r="A157" s="82" t="s">
        <v>27</v>
      </c>
      <c r="B157" s="46">
        <f t="shared" ref="B157:P157" si="101">B87</f>
        <v>7.7724979200000011</v>
      </c>
      <c r="C157" s="46">
        <f t="shared" si="101"/>
        <v>10.547078673599996</v>
      </c>
      <c r="D157" s="46">
        <f t="shared" si="101"/>
        <v>14.615923065407999</v>
      </c>
      <c r="E157" s="46">
        <f t="shared" si="101"/>
        <v>19.70295999356161</v>
      </c>
      <c r="F157" s="46">
        <f t="shared" si="101"/>
        <v>26.709531210245544</v>
      </c>
      <c r="G157" s="46">
        <f t="shared" si="101"/>
        <v>36.663690464709539</v>
      </c>
      <c r="H157" s="46">
        <f t="shared" si="101"/>
        <v>50.874816101045575</v>
      </c>
      <c r="I157" s="46">
        <f t="shared" si="101"/>
        <v>65.882700768414011</v>
      </c>
      <c r="J157" s="46">
        <f t="shared" si="101"/>
        <v>83.970393387696276</v>
      </c>
      <c r="K157" s="46">
        <f t="shared" si="101"/>
        <v>100.08530034479597</v>
      </c>
      <c r="L157" s="46">
        <f t="shared" si="101"/>
        <v>119.26697842964393</v>
      </c>
      <c r="M157" s="46">
        <f t="shared" si="101"/>
        <v>140.01904272076825</v>
      </c>
      <c r="N157" s="46">
        <f t="shared" si="101"/>
        <v>165.45424650327848</v>
      </c>
      <c r="O157" s="46">
        <f t="shared" si="101"/>
        <v>195.46590845289691</v>
      </c>
      <c r="P157" s="46">
        <f t="shared" si="101"/>
        <v>226.784517835603</v>
      </c>
      <c r="R157" s="57">
        <f>(J157/D157)^(1/6)-1</f>
        <v>0.33828925143890487</v>
      </c>
      <c r="S157" s="57">
        <f>(P157/J157)^(1/6)-1</f>
        <v>0.18008838493671164</v>
      </c>
    </row>
    <row r="158" spans="1:19" x14ac:dyDescent="0.2">
      <c r="A158" s="83" t="s">
        <v>4</v>
      </c>
      <c r="B158" s="75"/>
      <c r="C158" s="63">
        <f t="shared" ref="C158:P158" si="102">C157/B157-1</f>
        <v>0.35697413909375419</v>
      </c>
      <c r="D158" s="63">
        <f t="shared" si="102"/>
        <v>0.38577927762998265</v>
      </c>
      <c r="E158" s="63">
        <f t="shared" si="102"/>
        <v>0.34804759886792724</v>
      </c>
      <c r="F158" s="63">
        <f t="shared" si="102"/>
        <v>0.35561008188482801</v>
      </c>
      <c r="G158" s="63">
        <f t="shared" si="102"/>
        <v>0.37268191553454399</v>
      </c>
      <c r="H158" s="63">
        <f t="shared" si="102"/>
        <v>0.38760761549672385</v>
      </c>
      <c r="I158" s="63">
        <f t="shared" si="102"/>
        <v>0.29499634234668015</v>
      </c>
      <c r="J158" s="63">
        <f t="shared" si="102"/>
        <v>0.27454388493973214</v>
      </c>
      <c r="K158" s="63">
        <f t="shared" si="102"/>
        <v>0.19191177160140493</v>
      </c>
      <c r="L158" s="63">
        <f t="shared" si="102"/>
        <v>0.19165329992283264</v>
      </c>
      <c r="M158" s="63">
        <f t="shared" si="102"/>
        <v>0.17399673039730823</v>
      </c>
      <c r="N158" s="63">
        <f t="shared" si="102"/>
        <v>0.18165531836433257</v>
      </c>
      <c r="O158" s="63">
        <f t="shared" si="102"/>
        <v>0.18138949337286281</v>
      </c>
      <c r="P158" s="63">
        <f t="shared" si="102"/>
        <v>0.16022543076995555</v>
      </c>
      <c r="R158" s="109"/>
      <c r="S158" s="109"/>
    </row>
    <row r="159" spans="1:19" x14ac:dyDescent="0.2">
      <c r="A159" s="68" t="s">
        <v>56</v>
      </c>
      <c r="B159" s="46">
        <f t="shared" ref="B159:P159" si="103">B161+B163</f>
        <v>13.079938326400001</v>
      </c>
      <c r="C159" s="46">
        <f t="shared" si="103"/>
        <v>16.332337601879992</v>
      </c>
      <c r="D159" s="46">
        <f t="shared" si="103"/>
        <v>20.761882024737996</v>
      </c>
      <c r="E159" s="46">
        <f t="shared" si="103"/>
        <v>25.5741843648883</v>
      </c>
      <c r="F159" s="46">
        <f t="shared" si="103"/>
        <v>31.545848592597736</v>
      </c>
      <c r="G159" s="46">
        <f t="shared" si="103"/>
        <v>39.212646960245195</v>
      </c>
      <c r="H159" s="46">
        <f t="shared" si="103"/>
        <v>51.632657647100999</v>
      </c>
      <c r="I159" s="46">
        <f t="shared" si="103"/>
        <v>63.396076965687975</v>
      </c>
      <c r="J159" s="46">
        <f t="shared" si="103"/>
        <v>76.453851937216484</v>
      </c>
      <c r="K159" s="46">
        <f t="shared" si="103"/>
        <v>87.104709433385409</v>
      </c>
      <c r="L159" s="46">
        <f t="shared" si="103"/>
        <v>99.118723433386037</v>
      </c>
      <c r="M159" s="46">
        <f t="shared" si="103"/>
        <v>110.56817433068575</v>
      </c>
      <c r="N159" s="46">
        <f t="shared" si="103"/>
        <v>127.20953971402491</v>
      </c>
      <c r="O159" s="46">
        <f t="shared" si="103"/>
        <v>146.37832679348875</v>
      </c>
      <c r="P159" s="46">
        <f t="shared" si="103"/>
        <v>164.93084750776262</v>
      </c>
      <c r="R159" s="57">
        <f>(J159/D159)^(1/6)-1</f>
        <v>0.2426689359313372</v>
      </c>
      <c r="S159" s="57">
        <f>(P159/J159)^(1/6)-1</f>
        <v>0.13671193496114209</v>
      </c>
    </row>
    <row r="160" spans="1:19" x14ac:dyDescent="0.2">
      <c r="A160" s="62" t="s">
        <v>4</v>
      </c>
      <c r="B160" s="75"/>
      <c r="C160" s="63">
        <f t="shared" ref="C160:P160" si="104">C159/B159-1</f>
        <v>0.24865555129686534</v>
      </c>
      <c r="D160" s="63">
        <f t="shared" si="104"/>
        <v>0.27121313132469949</v>
      </c>
      <c r="E160" s="63">
        <f t="shared" si="104"/>
        <v>0.23178545829402153</v>
      </c>
      <c r="F160" s="63">
        <f t="shared" si="104"/>
        <v>0.23350360435768747</v>
      </c>
      <c r="G160" s="63">
        <f t="shared" si="104"/>
        <v>0.24303668183605254</v>
      </c>
      <c r="H160" s="63">
        <f t="shared" si="104"/>
        <v>0.31673482025958455</v>
      </c>
      <c r="I160" s="63">
        <f t="shared" si="104"/>
        <v>0.22782904957144789</v>
      </c>
      <c r="J160" s="63">
        <f t="shared" si="104"/>
        <v>0.20597134075970991</v>
      </c>
      <c r="K160" s="63">
        <f t="shared" si="104"/>
        <v>0.1393109336716658</v>
      </c>
      <c r="L160" s="63">
        <f t="shared" si="104"/>
        <v>0.13792611304430702</v>
      </c>
      <c r="M160" s="63">
        <f t="shared" si="104"/>
        <v>0.11551249350981063</v>
      </c>
      <c r="N160" s="63">
        <f t="shared" si="104"/>
        <v>0.15050773411134011</v>
      </c>
      <c r="O160" s="63">
        <f t="shared" si="104"/>
        <v>0.15068671046649862</v>
      </c>
      <c r="P160" s="63">
        <f t="shared" si="104"/>
        <v>0.1267436315244117</v>
      </c>
      <c r="R160" s="109"/>
      <c r="S160" s="109"/>
    </row>
    <row r="161" spans="1:19" x14ac:dyDescent="0.2">
      <c r="A161" s="82" t="s">
        <v>28</v>
      </c>
      <c r="B161" s="46">
        <f t="shared" ref="B161:P161" si="105">B97</f>
        <v>1.4211914463999999</v>
      </c>
      <c r="C161" s="46">
        <f t="shared" si="105"/>
        <v>1.7673241954800001</v>
      </c>
      <c r="D161" s="46">
        <f t="shared" si="105"/>
        <v>2.2351224021459992</v>
      </c>
      <c r="E161" s="46">
        <f t="shared" si="105"/>
        <v>2.7267502464498969</v>
      </c>
      <c r="F161" s="46">
        <f t="shared" si="105"/>
        <v>3.3203862348432396</v>
      </c>
      <c r="G161" s="46">
        <f t="shared" si="105"/>
        <v>4.058935328954612</v>
      </c>
      <c r="H161" s="46">
        <f t="shared" si="105"/>
        <v>5.2836941641464019</v>
      </c>
      <c r="I161" s="46">
        <f t="shared" si="105"/>
        <v>6.4451787581019238</v>
      </c>
      <c r="J161" s="46">
        <f t="shared" si="105"/>
        <v>7.685891724912528</v>
      </c>
      <c r="K161" s="46">
        <f t="shared" si="105"/>
        <v>8.70898857145772</v>
      </c>
      <c r="L161" s="46">
        <f t="shared" si="105"/>
        <v>9.8685470644130007</v>
      </c>
      <c r="M161" s="46">
        <f t="shared" si="105"/>
        <v>10.588728850154297</v>
      </c>
      <c r="N161" s="46">
        <f t="shared" si="105"/>
        <v>11.876172373278324</v>
      </c>
      <c r="O161" s="46">
        <f t="shared" si="105"/>
        <v>13.409050231962118</v>
      </c>
      <c r="P161" s="46">
        <f t="shared" si="105"/>
        <v>14.429371270722456</v>
      </c>
      <c r="R161" s="57">
        <f>(J161/D161)^(1/6)-1</f>
        <v>0.2285669416071836</v>
      </c>
      <c r="S161" s="57">
        <f>(P161/J161)^(1/6)-1</f>
        <v>0.11068828457922142</v>
      </c>
    </row>
    <row r="162" spans="1:19" x14ac:dyDescent="0.2">
      <c r="A162" s="83" t="s">
        <v>4</v>
      </c>
      <c r="B162" s="75"/>
      <c r="C162" s="63">
        <f t="shared" ref="C162:P162" si="106">C161/B161-1</f>
        <v>0.24355110633179233</v>
      </c>
      <c r="D162" s="63">
        <f t="shared" si="106"/>
        <v>0.26469292270337896</v>
      </c>
      <c r="E162" s="63">
        <f t="shared" si="106"/>
        <v>0.21995566946663558</v>
      </c>
      <c r="F162" s="63">
        <f t="shared" si="106"/>
        <v>0.21770823681641893</v>
      </c>
      <c r="G162" s="63">
        <f t="shared" si="106"/>
        <v>0.22242867000267519</v>
      </c>
      <c r="H162" s="63">
        <f t="shared" si="106"/>
        <v>0.30174386530746466</v>
      </c>
      <c r="I162" s="63">
        <f t="shared" si="106"/>
        <v>0.2198243421878987</v>
      </c>
      <c r="J162" s="63">
        <f t="shared" si="106"/>
        <v>0.19250249114517781</v>
      </c>
      <c r="K162" s="63">
        <f t="shared" si="106"/>
        <v>0.13311361689223333</v>
      </c>
      <c r="L162" s="63">
        <f t="shared" si="106"/>
        <v>0.13314502406806961</v>
      </c>
      <c r="M162" s="63">
        <f t="shared" si="106"/>
        <v>7.2977489091412995E-2</v>
      </c>
      <c r="N162" s="63">
        <f t="shared" si="106"/>
        <v>0.1215862207204661</v>
      </c>
      <c r="O162" s="63">
        <f t="shared" si="106"/>
        <v>0.12907170850204275</v>
      </c>
      <c r="P162" s="63">
        <f t="shared" si="106"/>
        <v>7.6091969312507945E-2</v>
      </c>
      <c r="R162" s="109"/>
      <c r="S162" s="109"/>
    </row>
    <row r="163" spans="1:19" x14ac:dyDescent="0.2">
      <c r="A163" s="82" t="s">
        <v>27</v>
      </c>
      <c r="B163" s="46">
        <f t="shared" ref="B163:P163" si="107">B89</f>
        <v>11.658746880000001</v>
      </c>
      <c r="C163" s="46">
        <f t="shared" si="107"/>
        <v>14.565013406399993</v>
      </c>
      <c r="D163" s="46">
        <f t="shared" si="107"/>
        <v>18.526759622591996</v>
      </c>
      <c r="E163" s="46">
        <f t="shared" si="107"/>
        <v>22.847434118438404</v>
      </c>
      <c r="F163" s="46">
        <f t="shared" si="107"/>
        <v>28.225462357754495</v>
      </c>
      <c r="G163" s="46">
        <f t="shared" si="107"/>
        <v>35.153711631290584</v>
      </c>
      <c r="H163" s="46">
        <f t="shared" si="107"/>
        <v>46.348963482954595</v>
      </c>
      <c r="I163" s="46">
        <f t="shared" si="107"/>
        <v>56.95089820758605</v>
      </c>
      <c r="J163" s="46">
        <f t="shared" si="107"/>
        <v>68.767960212303961</v>
      </c>
      <c r="K163" s="46">
        <f t="shared" si="107"/>
        <v>78.395720861927686</v>
      </c>
      <c r="L163" s="46">
        <f t="shared" si="107"/>
        <v>89.25017636897303</v>
      </c>
      <c r="M163" s="46">
        <f t="shared" si="107"/>
        <v>99.979445480531453</v>
      </c>
      <c r="N163" s="46">
        <f t="shared" si="107"/>
        <v>115.33336734074659</v>
      </c>
      <c r="O163" s="46">
        <f t="shared" si="107"/>
        <v>132.96927656152664</v>
      </c>
      <c r="P163" s="46">
        <f t="shared" si="107"/>
        <v>150.50147623704018</v>
      </c>
      <c r="R163" s="57">
        <f>(J163/D163)^(1/6)-1</f>
        <v>0.24431722372781706</v>
      </c>
      <c r="S163" s="57">
        <f>(P163/J163)^(1/6)-1</f>
        <v>0.13944255790862647</v>
      </c>
    </row>
    <row r="164" spans="1:19" x14ac:dyDescent="0.2">
      <c r="A164" s="83" t="s">
        <v>4</v>
      </c>
      <c r="B164" s="75"/>
      <c r="C164" s="63">
        <f t="shared" ref="C164:P164" si="108">C163/B163-1</f>
        <v>0.24927777884821811</v>
      </c>
      <c r="D164" s="63">
        <f t="shared" si="108"/>
        <v>0.27200429588696284</v>
      </c>
      <c r="E164" s="63">
        <f t="shared" si="108"/>
        <v>0.23321263857591523</v>
      </c>
      <c r="F164" s="63">
        <f t="shared" si="108"/>
        <v>0.23538871855093335</v>
      </c>
      <c r="G164" s="63">
        <f t="shared" si="108"/>
        <v>0.24546096661664296</v>
      </c>
      <c r="H164" s="63">
        <f t="shared" si="108"/>
        <v>0.3184657133529829</v>
      </c>
      <c r="I164" s="63">
        <f t="shared" si="108"/>
        <v>0.22874157107160431</v>
      </c>
      <c r="J164" s="63">
        <f t="shared" si="108"/>
        <v>0.20749562125683618</v>
      </c>
      <c r="K164" s="63">
        <f t="shared" si="108"/>
        <v>0.14000358044502725</v>
      </c>
      <c r="L164" s="63">
        <f t="shared" si="108"/>
        <v>0.13845724470296616</v>
      </c>
      <c r="M164" s="63">
        <f t="shared" si="108"/>
        <v>0.12021566284868812</v>
      </c>
      <c r="N164" s="63">
        <f t="shared" si="108"/>
        <v>0.15357078433891624</v>
      </c>
      <c r="O164" s="63">
        <f t="shared" si="108"/>
        <v>0.15291246260655567</v>
      </c>
      <c r="P164" s="63">
        <f t="shared" si="108"/>
        <v>0.13185150832494119</v>
      </c>
      <c r="R164" s="109"/>
      <c r="S164" s="109"/>
    </row>
    <row r="165" spans="1:19" x14ac:dyDescent="0.2">
      <c r="A165" s="68" t="s">
        <v>57</v>
      </c>
      <c r="B165" s="46">
        <f t="shared" ref="B165:P165" si="109">B167+B169</f>
        <v>18.275815472000001</v>
      </c>
      <c r="C165" s="46">
        <f t="shared" si="109"/>
        <v>23.550546464000021</v>
      </c>
      <c r="D165" s="46">
        <f t="shared" si="109"/>
        <v>30.270149136000004</v>
      </c>
      <c r="E165" s="46">
        <f t="shared" si="109"/>
        <v>38.696437647999971</v>
      </c>
      <c r="F165" s="46">
        <f t="shared" si="109"/>
        <v>48.965672031999929</v>
      </c>
      <c r="G165" s="46">
        <f t="shared" si="109"/>
        <v>63.163579743999961</v>
      </c>
      <c r="H165" s="46">
        <f t="shared" si="109"/>
        <v>83.596562672000019</v>
      </c>
      <c r="I165" s="46">
        <f t="shared" si="109"/>
        <v>104.16707416000007</v>
      </c>
      <c r="J165" s="46">
        <f t="shared" si="109"/>
        <v>127.56631424000007</v>
      </c>
      <c r="K165" s="46">
        <f t="shared" si="109"/>
        <v>147.46768544121289</v>
      </c>
      <c r="L165" s="46">
        <f t="shared" si="109"/>
        <v>169.44190539491223</v>
      </c>
      <c r="M165" s="46">
        <f t="shared" si="109"/>
        <v>186.3067689252097</v>
      </c>
      <c r="N165" s="46">
        <f t="shared" si="109"/>
        <v>209.84650669200519</v>
      </c>
      <c r="O165" s="46">
        <f t="shared" si="109"/>
        <v>238.46046102255633</v>
      </c>
      <c r="P165" s="46">
        <f t="shared" si="109"/>
        <v>266.25329485037787</v>
      </c>
      <c r="R165" s="57">
        <f>(J165/D165)^(1/6)-1</f>
        <v>0.27092593208063342</v>
      </c>
      <c r="S165" s="57">
        <f>(P165/J165)^(1/6)-1</f>
        <v>0.13047205334595513</v>
      </c>
    </row>
    <row r="166" spans="1:19" x14ac:dyDescent="0.2">
      <c r="A166" s="62" t="s">
        <v>4</v>
      </c>
      <c r="B166" s="75"/>
      <c r="C166" s="63">
        <f t="shared" ref="C166:P166" si="110">C165/B165-1</f>
        <v>0.28861809203979583</v>
      </c>
      <c r="D166" s="63">
        <f t="shared" si="110"/>
        <v>0.28532682595165015</v>
      </c>
      <c r="E166" s="63">
        <f t="shared" si="110"/>
        <v>0.27836957373885762</v>
      </c>
      <c r="F166" s="63">
        <f t="shared" si="110"/>
        <v>0.2653793219265681</v>
      </c>
      <c r="G166" s="63">
        <f t="shared" si="110"/>
        <v>0.28995635355972338</v>
      </c>
      <c r="H166" s="63">
        <f t="shared" si="110"/>
        <v>0.32349311123299707</v>
      </c>
      <c r="I166" s="63">
        <f t="shared" si="110"/>
        <v>0.24606886731348787</v>
      </c>
      <c r="J166" s="63">
        <f t="shared" si="110"/>
        <v>0.22463182602267295</v>
      </c>
      <c r="K166" s="63">
        <f t="shared" si="110"/>
        <v>0.15600804428487991</v>
      </c>
      <c r="L166" s="63">
        <f t="shared" si="110"/>
        <v>0.14901040785955244</v>
      </c>
      <c r="M166" s="63">
        <f t="shared" si="110"/>
        <v>9.9531833586214313E-2</v>
      </c>
      <c r="N166" s="63">
        <f t="shared" si="110"/>
        <v>0.12634934255257901</v>
      </c>
      <c r="O166" s="63">
        <f t="shared" si="110"/>
        <v>0.13635659121334931</v>
      </c>
      <c r="P166" s="63">
        <f t="shared" si="110"/>
        <v>0.11655112008356205</v>
      </c>
      <c r="R166" s="109"/>
      <c r="S166" s="109"/>
    </row>
    <row r="167" spans="1:19" x14ac:dyDescent="0.2">
      <c r="A167" s="82" t="s">
        <v>58</v>
      </c>
      <c r="B167" s="46">
        <f t="shared" ref="B167:P167" si="111">B125</f>
        <v>8.8168622992949057</v>
      </c>
      <c r="C167" s="46">
        <f t="shared" si="111"/>
        <v>11.782375467538246</v>
      </c>
      <c r="D167" s="46">
        <f t="shared" si="111"/>
        <v>15.705110833858358</v>
      </c>
      <c r="E167" s="46">
        <f t="shared" si="111"/>
        <v>20.820540846813259</v>
      </c>
      <c r="F167" s="46">
        <f t="shared" si="111"/>
        <v>27.321674666869662</v>
      </c>
      <c r="G167" s="46">
        <f t="shared" si="111"/>
        <v>36.549118520525219</v>
      </c>
      <c r="H167" s="46">
        <f t="shared" si="111"/>
        <v>50.164116531599483</v>
      </c>
      <c r="I167" s="46">
        <f t="shared" si="111"/>
        <v>64.823098940389997</v>
      </c>
      <c r="J167" s="46">
        <f t="shared" si="111"/>
        <v>82.324652571619566</v>
      </c>
      <c r="K167" s="46">
        <f t="shared" si="111"/>
        <v>98.692769996465586</v>
      </c>
      <c r="L167" s="46">
        <f t="shared" si="111"/>
        <v>117.59906713391851</v>
      </c>
      <c r="M167" s="46">
        <f t="shared" si="111"/>
        <v>134.09304715304717</v>
      </c>
      <c r="N167" s="46">
        <f t="shared" si="111"/>
        <v>156.62963843650556</v>
      </c>
      <c r="O167" s="46">
        <f t="shared" si="111"/>
        <v>184.57936874837876</v>
      </c>
      <c r="P167" s="46">
        <f t="shared" si="111"/>
        <v>213.72550090566111</v>
      </c>
      <c r="R167" s="57">
        <f>(J167/D167)^(1/6)-1</f>
        <v>0.3179981990348435</v>
      </c>
      <c r="S167" s="57">
        <f>(P167/J167)^(1/6)-1</f>
        <v>0.17234222133620003</v>
      </c>
    </row>
    <row r="168" spans="1:19" x14ac:dyDescent="0.2">
      <c r="A168" s="83" t="s">
        <v>4</v>
      </c>
      <c r="B168" s="75"/>
      <c r="C168" s="63">
        <f t="shared" ref="C168:P168" si="112">C167/B167-1</f>
        <v>0.33634563720933874</v>
      </c>
      <c r="D168" s="63">
        <f t="shared" si="112"/>
        <v>0.33293246995291259</v>
      </c>
      <c r="E168" s="63">
        <f t="shared" si="112"/>
        <v>0.3257175366076781</v>
      </c>
      <c r="F168" s="63">
        <f t="shared" si="112"/>
        <v>0.31224615478955964</v>
      </c>
      <c r="G168" s="63">
        <f t="shared" si="112"/>
        <v>0.33773346495647938</v>
      </c>
      <c r="H168" s="63">
        <f t="shared" si="112"/>
        <v>0.37251234946824674</v>
      </c>
      <c r="I168" s="63">
        <f t="shared" si="112"/>
        <v>0.29222048393011169</v>
      </c>
      <c r="J168" s="63">
        <f t="shared" si="112"/>
        <v>0.2699894623569854</v>
      </c>
      <c r="K168" s="63">
        <f t="shared" si="112"/>
        <v>0.1988240085265629</v>
      </c>
      <c r="L168" s="63">
        <f t="shared" si="112"/>
        <v>0.19156719522747201</v>
      </c>
      <c r="M168" s="63">
        <f t="shared" si="112"/>
        <v>0.1402560447213903</v>
      </c>
      <c r="N168" s="63">
        <f t="shared" si="112"/>
        <v>0.16806681451377736</v>
      </c>
      <c r="O168" s="63">
        <f t="shared" si="112"/>
        <v>0.17844470938495749</v>
      </c>
      <c r="P168" s="63">
        <f t="shared" si="112"/>
        <v>0.15790568769912072</v>
      </c>
      <c r="R168" s="109"/>
      <c r="S168" s="109"/>
    </row>
    <row r="169" spans="1:19" x14ac:dyDescent="0.2">
      <c r="A169" s="82" t="s">
        <v>53</v>
      </c>
      <c r="B169" s="46">
        <f t="shared" ref="B169:P169" si="113">B127</f>
        <v>9.4589531727050957</v>
      </c>
      <c r="C169" s="46">
        <f t="shared" si="113"/>
        <v>11.768170996461775</v>
      </c>
      <c r="D169" s="46">
        <f t="shared" si="113"/>
        <v>14.565038302141646</v>
      </c>
      <c r="E169" s="46">
        <f t="shared" si="113"/>
        <v>17.875896801186713</v>
      </c>
      <c r="F169" s="46">
        <f t="shared" si="113"/>
        <v>21.643997365130268</v>
      </c>
      <c r="G169" s="46">
        <f t="shared" si="113"/>
        <v>26.614461223474741</v>
      </c>
      <c r="H169" s="46">
        <f t="shared" si="113"/>
        <v>33.432446140400536</v>
      </c>
      <c r="I169" s="46">
        <f t="shared" si="113"/>
        <v>39.343975219610073</v>
      </c>
      <c r="J169" s="46">
        <f t="shared" si="113"/>
        <v>45.241661668380502</v>
      </c>
      <c r="K169" s="46">
        <f t="shared" si="113"/>
        <v>48.774915444747307</v>
      </c>
      <c r="L169" s="46">
        <f t="shared" si="113"/>
        <v>51.842838260993716</v>
      </c>
      <c r="M169" s="46">
        <f t="shared" si="113"/>
        <v>52.213721772162529</v>
      </c>
      <c r="N169" s="46">
        <f t="shared" si="113"/>
        <v>53.216868255499634</v>
      </c>
      <c r="O169" s="46">
        <f t="shared" si="113"/>
        <v>53.881092274177576</v>
      </c>
      <c r="P169" s="46">
        <f t="shared" si="113"/>
        <v>52.527793944716763</v>
      </c>
      <c r="R169" s="57">
        <f>(J169/D169)^(1/6)-1</f>
        <v>0.2079190190833462</v>
      </c>
      <c r="S169" s="57">
        <f>(P169/J169)^(1/6)-1</f>
        <v>2.5199617991890078E-2</v>
      </c>
    </row>
    <row r="170" spans="1:19" x14ac:dyDescent="0.2">
      <c r="A170" s="83" t="s">
        <v>4</v>
      </c>
      <c r="B170" s="75"/>
      <c r="C170" s="63">
        <f t="shared" ref="C170:P170" si="114">C169/B169-1</f>
        <v>0.24413037908044566</v>
      </c>
      <c r="D170" s="63">
        <f t="shared" si="114"/>
        <v>0.2376637207702692</v>
      </c>
      <c r="E170" s="63">
        <f t="shared" si="114"/>
        <v>0.22731546806562375</v>
      </c>
      <c r="F170" s="63">
        <f t="shared" si="114"/>
        <v>0.21079225315808525</v>
      </c>
      <c r="G170" s="63">
        <f t="shared" si="114"/>
        <v>0.22964629751582666</v>
      </c>
      <c r="H170" s="63">
        <f t="shared" si="114"/>
        <v>0.25617595109955227</v>
      </c>
      <c r="I170" s="63">
        <f t="shared" si="114"/>
        <v>0.17682011822837906</v>
      </c>
      <c r="J170" s="63">
        <f t="shared" si="114"/>
        <v>0.14990062432305695</v>
      </c>
      <c r="K170" s="63">
        <f t="shared" si="114"/>
        <v>7.8097347578995002E-2</v>
      </c>
      <c r="L170" s="63">
        <f t="shared" si="114"/>
        <v>6.2899602967467549E-2</v>
      </c>
      <c r="M170" s="63">
        <f t="shared" si="114"/>
        <v>7.1539970342993087E-3</v>
      </c>
      <c r="N170" s="63">
        <f t="shared" si="114"/>
        <v>1.9212315255257906E-2</v>
      </c>
      <c r="O170" s="63">
        <f t="shared" si="114"/>
        <v>1.2481456358704346E-2</v>
      </c>
      <c r="P170" s="63">
        <f t="shared" si="114"/>
        <v>-2.5116386330374718E-2</v>
      </c>
      <c r="R170" s="109"/>
      <c r="S170" s="109"/>
    </row>
    <row r="171" spans="1:19" x14ac:dyDescent="0.2">
      <c r="A171" s="68" t="s">
        <v>59</v>
      </c>
      <c r="B171" s="46">
        <f t="shared" ref="B171:P171" si="115">B139</f>
        <v>52.421167360092582</v>
      </c>
      <c r="C171" s="46">
        <f t="shared" si="115"/>
        <v>57.322861715906427</v>
      </c>
      <c r="D171" s="46">
        <f t="shared" si="115"/>
        <v>58.935568781914611</v>
      </c>
      <c r="E171" s="46">
        <f t="shared" si="115"/>
        <v>64.118986972307297</v>
      </c>
      <c r="F171" s="46">
        <f t="shared" si="115"/>
        <v>69.702039547442737</v>
      </c>
      <c r="G171" s="46">
        <f t="shared" si="115"/>
        <v>77.804738380045507</v>
      </c>
      <c r="H171" s="46">
        <f t="shared" si="115"/>
        <v>88.472299389928025</v>
      </c>
      <c r="I171" s="46">
        <f t="shared" si="115"/>
        <v>94.798561525868706</v>
      </c>
      <c r="J171" s="46">
        <f t="shared" si="115"/>
        <v>99.147885809175904</v>
      </c>
      <c r="K171" s="46">
        <f t="shared" si="115"/>
        <v>104.4019591917901</v>
      </c>
      <c r="L171" s="46">
        <f t="shared" si="115"/>
        <v>109.32526123455195</v>
      </c>
      <c r="M171" s="46">
        <f t="shared" si="115"/>
        <v>112.79220506318354</v>
      </c>
      <c r="N171" s="46">
        <f t="shared" si="115"/>
        <v>119.8553363664366</v>
      </c>
      <c r="O171" s="46">
        <f t="shared" si="115"/>
        <v>128.40023246717331</v>
      </c>
      <c r="P171" s="46">
        <f t="shared" si="115"/>
        <v>138.08710006068486</v>
      </c>
      <c r="R171" s="57">
        <f>(J171/D171)^(1/6)-1</f>
        <v>9.0563595995810653E-2</v>
      </c>
      <c r="S171" s="57">
        <f>(P171/J171)^(1/6)-1</f>
        <v>5.6764645167810102E-2</v>
      </c>
    </row>
    <row r="172" spans="1:19" x14ac:dyDescent="0.2">
      <c r="A172" s="62" t="s">
        <v>4</v>
      </c>
      <c r="B172" s="75"/>
      <c r="C172" s="63">
        <f t="shared" ref="C172:P172" si="116">C171/B171-1</f>
        <v>9.3506012984087672E-2</v>
      </c>
      <c r="D172" s="63">
        <f t="shared" si="116"/>
        <v>2.8133750090859166E-2</v>
      </c>
      <c r="E172" s="63">
        <f t="shared" si="116"/>
        <v>8.7950592443986064E-2</v>
      </c>
      <c r="F172" s="63">
        <f t="shared" si="116"/>
        <v>8.7073312270930625E-2</v>
      </c>
      <c r="G172" s="63">
        <f t="shared" si="116"/>
        <v>0.1162476576756073</v>
      </c>
      <c r="H172" s="63">
        <f t="shared" si="116"/>
        <v>0.13710682963517828</v>
      </c>
      <c r="I172" s="63">
        <f t="shared" si="116"/>
        <v>7.1505569308859762E-2</v>
      </c>
      <c r="J172" s="63">
        <f t="shared" si="116"/>
        <v>4.5879644303677969E-2</v>
      </c>
      <c r="K172" s="63">
        <f t="shared" si="116"/>
        <v>5.2992288637665919E-2</v>
      </c>
      <c r="L172" s="63">
        <f t="shared" si="116"/>
        <v>4.7157180582383162E-2</v>
      </c>
      <c r="M172" s="63">
        <f t="shared" si="116"/>
        <v>3.1712193407829492E-2</v>
      </c>
      <c r="N172" s="63">
        <f t="shared" si="116"/>
        <v>6.2620739609589693E-2</v>
      </c>
      <c r="O172" s="63">
        <f t="shared" si="116"/>
        <v>7.1293413875308742E-2</v>
      </c>
      <c r="P172" s="63">
        <f t="shared" si="116"/>
        <v>7.5442757441954722E-2</v>
      </c>
      <c r="R172" s="109"/>
      <c r="S172" s="109"/>
    </row>
    <row r="173" spans="1:19" x14ac:dyDescent="0.2">
      <c r="R173" s="109"/>
      <c r="S173" s="109"/>
    </row>
    <row r="174" spans="1:19" x14ac:dyDescent="0.2">
      <c r="A174" s="67" t="s">
        <v>61</v>
      </c>
      <c r="R174" s="109"/>
      <c r="S174" s="109"/>
    </row>
    <row r="175" spans="1:19" x14ac:dyDescent="0.2">
      <c r="A175" s="55" t="s">
        <v>62</v>
      </c>
      <c r="B175" s="56"/>
      <c r="C175" s="56"/>
      <c r="D175" s="56"/>
      <c r="E175" s="56">
        <v>40.917202629999998</v>
      </c>
      <c r="F175" s="56">
        <v>46.169672820000031</v>
      </c>
      <c r="G175" s="56">
        <v>59.814742410000044</v>
      </c>
      <c r="H175" s="56">
        <v>87.228983570000025</v>
      </c>
      <c r="I175" s="56">
        <v>152.13799160000019</v>
      </c>
      <c r="J175" s="56">
        <v>208.74322500000025</v>
      </c>
      <c r="K175" s="56">
        <v>289.38577040295479</v>
      </c>
      <c r="L175" s="56">
        <v>395.84646038558532</v>
      </c>
      <c r="M175" s="56">
        <v>532.09990360403538</v>
      </c>
      <c r="N175" s="56">
        <v>700.87645964465412</v>
      </c>
      <c r="O175" s="56">
        <v>914.24251989402478</v>
      </c>
      <c r="P175" s="56">
        <v>1161.5993175994072</v>
      </c>
      <c r="R175" s="57"/>
      <c r="S175" s="57">
        <f>(P175/J175)^(1/6)-1</f>
        <v>0.33119188014427614</v>
      </c>
    </row>
    <row r="176" spans="1:19" x14ac:dyDescent="0.2">
      <c r="A176" s="58" t="s">
        <v>4</v>
      </c>
      <c r="B176" s="66"/>
      <c r="C176" s="59"/>
      <c r="D176" s="59"/>
      <c r="E176" s="59"/>
      <c r="F176" s="59">
        <f t="shared" ref="F176:P176" si="117">F175/E175-1</f>
        <v>0.12836826206073493</v>
      </c>
      <c r="G176" s="59">
        <f t="shared" si="117"/>
        <v>0.29554182987602129</v>
      </c>
      <c r="H176" s="59">
        <f t="shared" si="117"/>
        <v>0.45831913764819232</v>
      </c>
      <c r="I176" s="59">
        <f t="shared" si="117"/>
        <v>0.74412202657287185</v>
      </c>
      <c r="J176" s="59">
        <f t="shared" si="117"/>
        <v>0.37206507595305993</v>
      </c>
      <c r="K176" s="59">
        <f t="shared" si="117"/>
        <v>0.38632413292912582</v>
      </c>
      <c r="L176" s="59">
        <f t="shared" si="117"/>
        <v>0.36788502017355418</v>
      </c>
      <c r="M176" s="59">
        <f t="shared" si="117"/>
        <v>0.34420780998200318</v>
      </c>
      <c r="N176" s="59">
        <f t="shared" si="117"/>
        <v>0.31718960085776415</v>
      </c>
      <c r="O176" s="59">
        <f t="shared" si="117"/>
        <v>0.30442748834444755</v>
      </c>
      <c r="P176" s="59">
        <f t="shared" si="117"/>
        <v>0.27055927975659566</v>
      </c>
      <c r="R176" s="109"/>
      <c r="S176" s="109"/>
    </row>
    <row r="177" spans="1:19" x14ac:dyDescent="0.2">
      <c r="A177" s="67"/>
      <c r="R177" s="109"/>
      <c r="S177" s="109"/>
    </row>
    <row r="178" spans="1:19" x14ac:dyDescent="0.2">
      <c r="A178" s="67" t="s">
        <v>64</v>
      </c>
      <c r="R178" s="109"/>
      <c r="S178" s="109"/>
    </row>
    <row r="179" spans="1:19" x14ac:dyDescent="0.2">
      <c r="A179" s="129" t="s">
        <v>75</v>
      </c>
      <c r="E179" s="43">
        <v>6.2450806934209249</v>
      </c>
      <c r="F179" s="43">
        <v>7.0061967897416331</v>
      </c>
      <c r="G179" s="43">
        <v>9.0333343167782534</v>
      </c>
      <c r="H179" s="43">
        <v>13.291367919266609</v>
      </c>
      <c r="I179" s="43">
        <v>23.237319451466842</v>
      </c>
      <c r="J179" s="43">
        <v>31.772239937194339</v>
      </c>
      <c r="K179" s="43">
        <v>43.722092364098557</v>
      </c>
      <c r="L179" s="43">
        <v>59.63461230368187</v>
      </c>
      <c r="M179" s="43">
        <v>79.976617303109947</v>
      </c>
      <c r="N179" s="43">
        <v>105.08034771118886</v>
      </c>
      <c r="O179" s="43">
        <v>136.69008546250117</v>
      </c>
      <c r="P179" s="43">
        <v>173.16931158084009</v>
      </c>
      <c r="R179" s="57"/>
      <c r="S179" s="57">
        <f>(P179/J179)^(1/6)-1</f>
        <v>0.32659141611181775</v>
      </c>
    </row>
    <row r="180" spans="1:19" x14ac:dyDescent="0.2">
      <c r="A180" s="12" t="s">
        <v>4</v>
      </c>
      <c r="E180" s="63"/>
      <c r="F180" s="63">
        <f t="shared" ref="F180:P180" si="118">F179/E179-1</f>
        <v>0.12187450149723911</v>
      </c>
      <c r="G180" s="63">
        <f t="shared" si="118"/>
        <v>0.2893349398927425</v>
      </c>
      <c r="H180" s="63">
        <f t="shared" si="118"/>
        <v>0.47136898216858936</v>
      </c>
      <c r="I180" s="63">
        <f t="shared" si="118"/>
        <v>0.74830157381942608</v>
      </c>
      <c r="J180" s="63">
        <f t="shared" si="118"/>
        <v>0.36729367617265063</v>
      </c>
      <c r="K180" s="63">
        <f t="shared" si="118"/>
        <v>0.37610985094302585</v>
      </c>
      <c r="L180" s="63">
        <f t="shared" si="118"/>
        <v>0.36394689913444145</v>
      </c>
      <c r="M180" s="63">
        <f t="shared" si="118"/>
        <v>0.34111071093811995</v>
      </c>
      <c r="N180" s="63">
        <f t="shared" si="118"/>
        <v>0.31388837455998209</v>
      </c>
      <c r="O180" s="63">
        <f t="shared" si="118"/>
        <v>0.30081493295198269</v>
      </c>
      <c r="P180" s="63">
        <f t="shared" si="118"/>
        <v>0.26687543573411854</v>
      </c>
      <c r="R180" s="109"/>
      <c r="S180" s="109"/>
    </row>
    <row r="181" spans="1:19" x14ac:dyDescent="0.2">
      <c r="A181" s="129" t="s">
        <v>69</v>
      </c>
      <c r="E181" s="43">
        <v>3.4524185678129755</v>
      </c>
      <c r="F181" s="43">
        <v>3.8841819544865075</v>
      </c>
      <c r="G181" s="43">
        <v>4.9902438058482703</v>
      </c>
      <c r="H181" s="43">
        <v>7.3721548939712802</v>
      </c>
      <c r="I181" s="43">
        <v>12.925747402101814</v>
      </c>
      <c r="J181" s="43">
        <v>17.664592375502139</v>
      </c>
      <c r="K181" s="43">
        <v>24.434172296501217</v>
      </c>
      <c r="L181" s="43">
        <v>33.395453308978894</v>
      </c>
      <c r="M181" s="43">
        <v>44.839686317489758</v>
      </c>
      <c r="N181" s="43">
        <v>58.997365023735931</v>
      </c>
      <c r="O181" s="43">
        <v>76.878031519669605</v>
      </c>
      <c r="P181" s="43">
        <v>97.576034983828336</v>
      </c>
      <c r="R181" s="57"/>
      <c r="S181" s="57">
        <f>(P181/J181)^(1/6)-1</f>
        <v>0.32955586777889057</v>
      </c>
    </row>
    <row r="182" spans="1:19" x14ac:dyDescent="0.2">
      <c r="A182" s="12" t="s">
        <v>4</v>
      </c>
      <c r="E182" s="63"/>
      <c r="F182" s="63">
        <f t="shared" ref="F182:P182" si="119">F181/E181-1</f>
        <v>0.12506113560472576</v>
      </c>
      <c r="G182" s="63">
        <f t="shared" si="119"/>
        <v>0.28476056588548393</v>
      </c>
      <c r="H182" s="63">
        <f t="shared" si="119"/>
        <v>0.47731357039741251</v>
      </c>
      <c r="I182" s="63">
        <f t="shared" si="119"/>
        <v>0.75332010626527812</v>
      </c>
      <c r="J182" s="63">
        <f t="shared" si="119"/>
        <v>0.36662057720776398</v>
      </c>
      <c r="K182" s="63">
        <f t="shared" si="119"/>
        <v>0.38322876504002235</v>
      </c>
      <c r="L182" s="63">
        <f t="shared" si="119"/>
        <v>0.36675197767025902</v>
      </c>
      <c r="M182" s="63">
        <f t="shared" si="119"/>
        <v>0.34268835648456086</v>
      </c>
      <c r="N182" s="63">
        <f t="shared" si="119"/>
        <v>0.31573991410202962</v>
      </c>
      <c r="O182" s="63">
        <f t="shared" si="119"/>
        <v>0.30307567954500825</v>
      </c>
      <c r="P182" s="63">
        <f t="shared" si="119"/>
        <v>0.26923170449366984</v>
      </c>
      <c r="R182" s="109"/>
      <c r="S182" s="109"/>
    </row>
    <row r="183" spans="1:19" x14ac:dyDescent="0.2">
      <c r="A183" s="129" t="s">
        <v>72</v>
      </c>
      <c r="E183" s="43">
        <v>5.8018047196406206</v>
      </c>
      <c r="F183" s="43">
        <v>6.5172815352144235</v>
      </c>
      <c r="G183" s="43">
        <v>8.3107911046635667</v>
      </c>
      <c r="H183" s="43">
        <v>12.337273680325856</v>
      </c>
      <c r="I183" s="43">
        <v>21.666695758418111</v>
      </c>
      <c r="J183" s="43">
        <v>29.490875169371108</v>
      </c>
      <c r="K183" s="43">
        <v>41.289961606575346</v>
      </c>
      <c r="L183" s="43">
        <v>56.746839698400962</v>
      </c>
      <c r="M183" s="43">
        <v>76.631429626226407</v>
      </c>
      <c r="N183" s="43">
        <v>101.39587980540476</v>
      </c>
      <c r="O183" s="43">
        <v>132.86374801150643</v>
      </c>
      <c r="P183" s="43">
        <v>169.56384796875025</v>
      </c>
      <c r="R183" s="57"/>
      <c r="S183" s="57">
        <f>(P183/J183)^(1/6)-1</f>
        <v>0.33846679155760095</v>
      </c>
    </row>
    <row r="184" spans="1:19" x14ac:dyDescent="0.2">
      <c r="A184" s="12" t="s">
        <v>4</v>
      </c>
      <c r="E184" s="63"/>
      <c r="F184" s="63">
        <f t="shared" ref="F184:P184" si="120">F183/E183-1</f>
        <v>0.12331969967064338</v>
      </c>
      <c r="G184" s="63">
        <f t="shared" si="120"/>
        <v>0.2751928944236004</v>
      </c>
      <c r="H184" s="63">
        <f t="shared" si="120"/>
        <v>0.48448848310034465</v>
      </c>
      <c r="I184" s="63">
        <f t="shared" si="120"/>
        <v>0.75619803206358349</v>
      </c>
      <c r="J184" s="63">
        <f t="shared" si="120"/>
        <v>0.36111548794481441</v>
      </c>
      <c r="K184" s="63">
        <f t="shared" si="120"/>
        <v>0.400092786987164</v>
      </c>
      <c r="L184" s="63">
        <f t="shared" si="120"/>
        <v>0.37434953897763212</v>
      </c>
      <c r="M184" s="63">
        <f t="shared" si="120"/>
        <v>0.35040876343966265</v>
      </c>
      <c r="N184" s="63">
        <f t="shared" si="120"/>
        <v>0.32316309769983653</v>
      </c>
      <c r="O184" s="63">
        <f t="shared" si="120"/>
        <v>0.31034661631708937</v>
      </c>
      <c r="P184" s="63">
        <f t="shared" si="120"/>
        <v>0.27622357871513215</v>
      </c>
      <c r="R184" s="109"/>
      <c r="S184" s="109"/>
    </row>
    <row r="185" spans="1:19" x14ac:dyDescent="0.2">
      <c r="A185" s="129" t="s">
        <v>74</v>
      </c>
      <c r="E185" s="43">
        <v>4.3920318495381023</v>
      </c>
      <c r="F185" s="43">
        <v>4.9790097540993763</v>
      </c>
      <c r="G185" s="43">
        <v>6.4616458459254469</v>
      </c>
      <c r="H185" s="43">
        <v>9.4928138013507883</v>
      </c>
      <c r="I185" s="43">
        <v>16.610717295007067</v>
      </c>
      <c r="J185" s="43">
        <v>22.946499673017577</v>
      </c>
      <c r="K185" s="43">
        <v>32.266226580709585</v>
      </c>
      <c r="L185" s="43">
        <v>44.712095015993363</v>
      </c>
      <c r="M185" s="43">
        <v>60.860290750328311</v>
      </c>
      <c r="N185" s="43">
        <v>81.172940292340385</v>
      </c>
      <c r="O185" s="43">
        <v>107.21679145197049</v>
      </c>
      <c r="P185" s="43">
        <v>137.93123127931878</v>
      </c>
      <c r="R185" s="57"/>
      <c r="S185" s="57">
        <f>(P185/J185)^(1/6)-1</f>
        <v>0.34841744064267299</v>
      </c>
    </row>
    <row r="186" spans="1:19" x14ac:dyDescent="0.2">
      <c r="A186" s="12" t="s">
        <v>4</v>
      </c>
      <c r="E186" s="63"/>
      <c r="F186" s="63">
        <f t="shared" ref="F186:P186" si="121">F185/E185-1</f>
        <v>0.13364609471650457</v>
      </c>
      <c r="G186" s="63">
        <f t="shared" si="121"/>
        <v>0.29777730212425668</v>
      </c>
      <c r="H186" s="63">
        <f t="shared" si="121"/>
        <v>0.46910153043078351</v>
      </c>
      <c r="I186" s="63">
        <f t="shared" si="121"/>
        <v>0.74982019479234174</v>
      </c>
      <c r="J186" s="63">
        <f t="shared" si="121"/>
        <v>0.38142738001536824</v>
      </c>
      <c r="K186" s="63">
        <f t="shared" si="121"/>
        <v>0.40615026433207713</v>
      </c>
      <c r="L186" s="63">
        <f t="shared" si="121"/>
        <v>0.38572432398167567</v>
      </c>
      <c r="M186" s="63">
        <f t="shared" si="121"/>
        <v>0.36115945201312516</v>
      </c>
      <c r="N186" s="63">
        <f t="shared" si="121"/>
        <v>0.33375866745924965</v>
      </c>
      <c r="O186" s="63">
        <f t="shared" si="121"/>
        <v>0.32084400375093525</v>
      </c>
      <c r="P186" s="63">
        <f t="shared" si="121"/>
        <v>0.28647042512093202</v>
      </c>
      <c r="R186" s="109"/>
      <c r="S186" s="109"/>
    </row>
    <row r="187" spans="1:19" x14ac:dyDescent="0.2">
      <c r="A187" s="129" t="s">
        <v>66</v>
      </c>
      <c r="E187" s="43">
        <v>4.1237745201815672</v>
      </c>
      <c r="F187" s="43">
        <v>4.8488760013605079</v>
      </c>
      <c r="G187" s="43">
        <v>6.6972687895882332</v>
      </c>
      <c r="H187" s="43">
        <v>9.7706398094877862</v>
      </c>
      <c r="I187" s="43">
        <v>16.708543737406444</v>
      </c>
      <c r="J187" s="43">
        <v>23.413022591522658</v>
      </c>
      <c r="K187" s="43">
        <v>31.850674443834169</v>
      </c>
      <c r="L187" s="43">
        <v>43.02356779822474</v>
      </c>
      <c r="M187" s="43">
        <v>57.144784078230984</v>
      </c>
      <c r="N187" s="43">
        <v>74.351339068584082</v>
      </c>
      <c r="O187" s="43">
        <v>95.773292971251124</v>
      </c>
      <c r="P187" s="43">
        <v>120.13775882256797</v>
      </c>
      <c r="R187" s="57"/>
      <c r="S187" s="57">
        <f>(P187/J187)^(1/6)-1</f>
        <v>0.31331934161733654</v>
      </c>
    </row>
    <row r="188" spans="1:19" x14ac:dyDescent="0.2">
      <c r="A188" s="12" t="s">
        <v>4</v>
      </c>
      <c r="E188" s="63"/>
      <c r="F188" s="63">
        <f t="shared" ref="F188:P188" si="122">F187/E187-1</f>
        <v>0.17583441520149234</v>
      </c>
      <c r="G188" s="63">
        <f t="shared" si="122"/>
        <v>0.38120025913409616</v>
      </c>
      <c r="H188" s="63">
        <f t="shared" si="122"/>
        <v>0.45889915971082185</v>
      </c>
      <c r="I188" s="63">
        <f t="shared" si="122"/>
        <v>0.71007672610974781</v>
      </c>
      <c r="J188" s="63">
        <f t="shared" si="122"/>
        <v>0.40126051435030119</v>
      </c>
      <c r="K188" s="63">
        <f t="shared" si="122"/>
        <v>0.36038285186495322</v>
      </c>
      <c r="L188" s="63">
        <f t="shared" si="122"/>
        <v>0.35078985137639629</v>
      </c>
      <c r="M188" s="63">
        <f t="shared" si="122"/>
        <v>0.32822048478715238</v>
      </c>
      <c r="N188" s="63">
        <f t="shared" si="122"/>
        <v>0.30110455867323593</v>
      </c>
      <c r="O188" s="63">
        <f t="shared" si="122"/>
        <v>0.28811792996635521</v>
      </c>
      <c r="P188" s="63">
        <f t="shared" si="122"/>
        <v>0.25439728650272553</v>
      </c>
      <c r="R188" s="109"/>
      <c r="S188" s="109"/>
    </row>
    <row r="189" spans="1:19" x14ac:dyDescent="0.2">
      <c r="A189" s="129" t="s">
        <v>67</v>
      </c>
      <c r="E189" s="43">
        <v>2.4120053845746083</v>
      </c>
      <c r="F189" s="43">
        <v>2.6992243289862681</v>
      </c>
      <c r="G189" s="43">
        <v>3.4129605053075958</v>
      </c>
      <c r="H189" s="43">
        <v>4.9913189462732319</v>
      </c>
      <c r="I189" s="43">
        <v>8.6502536297082546</v>
      </c>
      <c r="J189" s="43">
        <v>11.890168948072281</v>
      </c>
      <c r="K189" s="43">
        <v>16.592273624895281</v>
      </c>
      <c r="L189" s="43">
        <v>22.800366137522591</v>
      </c>
      <c r="M189" s="43">
        <v>30.791806081402534</v>
      </c>
      <c r="N189" s="43">
        <v>40.738328186430216</v>
      </c>
      <c r="O189" s="43">
        <v>53.367677911053605</v>
      </c>
      <c r="P189" s="43">
        <v>68.08226405270463</v>
      </c>
      <c r="R189" s="57"/>
      <c r="S189" s="57">
        <f>(P189/J189)^(1/6)-1</f>
        <v>0.33754271617283726</v>
      </c>
    </row>
    <row r="190" spans="1:19" x14ac:dyDescent="0.2">
      <c r="A190" s="12" t="s">
        <v>4</v>
      </c>
      <c r="E190" s="63"/>
      <c r="F190" s="63">
        <f t="shared" ref="F190:P190" si="123">F189/E189-1</f>
        <v>0.11907889851676878</v>
      </c>
      <c r="G190" s="63">
        <f t="shared" si="123"/>
        <v>0.26442269679355679</v>
      </c>
      <c r="H190" s="63">
        <f t="shared" si="123"/>
        <v>0.46246021262510495</v>
      </c>
      <c r="I190" s="63">
        <f t="shared" si="123"/>
        <v>0.73305968278524181</v>
      </c>
      <c r="J190" s="63">
        <f t="shared" si="123"/>
        <v>0.37454570201698223</v>
      </c>
      <c r="K190" s="63">
        <f t="shared" si="123"/>
        <v>0.39546155293153662</v>
      </c>
      <c r="L190" s="63">
        <f t="shared" si="123"/>
        <v>0.37415562526118196</v>
      </c>
      <c r="M190" s="63">
        <f t="shared" si="123"/>
        <v>0.35049612342533476</v>
      </c>
      <c r="N190" s="63">
        <f t="shared" si="123"/>
        <v>0.32302496575655981</v>
      </c>
      <c r="O190" s="63">
        <f t="shared" si="123"/>
        <v>0.31001148762972996</v>
      </c>
      <c r="P190" s="63">
        <f t="shared" si="123"/>
        <v>0.27572093667210718</v>
      </c>
      <c r="R190" s="109"/>
      <c r="S190" s="109"/>
    </row>
    <row r="191" spans="1:19" x14ac:dyDescent="0.2">
      <c r="A191" s="129" t="s">
        <v>70</v>
      </c>
      <c r="E191" s="43">
        <v>2.6243771778748837</v>
      </c>
      <c r="F191" s="43">
        <v>2.9257129037231988</v>
      </c>
      <c r="G191" s="43">
        <v>3.7875045415798332</v>
      </c>
      <c r="H191" s="43">
        <v>5.4521540467204499</v>
      </c>
      <c r="I191" s="43">
        <v>9.5756722200616533</v>
      </c>
      <c r="J191" s="43">
        <v>13.145539723363642</v>
      </c>
      <c r="K191" s="43">
        <v>18.192899019551046</v>
      </c>
      <c r="L191" s="43">
        <v>24.825558769913087</v>
      </c>
      <c r="M191" s="43">
        <v>33.268518843965666</v>
      </c>
      <c r="N191" s="43">
        <v>43.690458523742855</v>
      </c>
      <c r="O191" s="43">
        <v>56.834036024529453</v>
      </c>
      <c r="P191" s="43">
        <v>72.012923827332585</v>
      </c>
      <c r="R191" s="57"/>
      <c r="S191" s="57">
        <f>(P191/J191)^(1/6)-1</f>
        <v>0.32771645305753316</v>
      </c>
    </row>
    <row r="192" spans="1:19" x14ac:dyDescent="0.2">
      <c r="A192" s="12" t="s">
        <v>4</v>
      </c>
      <c r="E192" s="63"/>
      <c r="F192" s="63">
        <f t="shared" ref="F192:P192" si="124">F191/E191-1</f>
        <v>0.11482180548922649</v>
      </c>
      <c r="G192" s="63">
        <f t="shared" si="124"/>
        <v>0.29455782785793394</v>
      </c>
      <c r="H192" s="63">
        <f t="shared" si="124"/>
        <v>0.43951089348298522</v>
      </c>
      <c r="I192" s="63">
        <f t="shared" si="124"/>
        <v>0.7563099167789582</v>
      </c>
      <c r="J192" s="63">
        <f t="shared" si="124"/>
        <v>0.3728059421063814</v>
      </c>
      <c r="K192" s="63">
        <f t="shared" si="124"/>
        <v>0.38395983751178386</v>
      </c>
      <c r="L192" s="63">
        <f t="shared" si="124"/>
        <v>0.36457409801671714</v>
      </c>
      <c r="M192" s="63">
        <f t="shared" si="124"/>
        <v>0.34009144173966721</v>
      </c>
      <c r="N192" s="63">
        <f t="shared" si="124"/>
        <v>0.31326731823131793</v>
      </c>
      <c r="O192" s="63">
        <f t="shared" si="124"/>
        <v>0.30083404809413805</v>
      </c>
      <c r="P192" s="63">
        <f t="shared" si="124"/>
        <v>0.26707390262151987</v>
      </c>
      <c r="R192" s="109"/>
      <c r="S192" s="109"/>
    </row>
    <row r="193" spans="1:19" x14ac:dyDescent="0.2">
      <c r="A193" s="129" t="s">
        <v>68</v>
      </c>
      <c r="E193" s="43">
        <v>2.1702906795572985</v>
      </c>
      <c r="F193" s="43">
        <v>2.4248364961812885</v>
      </c>
      <c r="G193" s="43">
        <v>3.1128986075417684</v>
      </c>
      <c r="H193" s="43">
        <v>4.4853110172223207</v>
      </c>
      <c r="I193" s="43">
        <v>7.7293130910939984</v>
      </c>
      <c r="J193" s="43">
        <v>10.672079258978991</v>
      </c>
      <c r="K193" s="43">
        <v>14.814196331837097</v>
      </c>
      <c r="L193" s="43">
        <v>20.296690411445514</v>
      </c>
      <c r="M193" s="43">
        <v>27.316306802290125</v>
      </c>
      <c r="N193" s="43">
        <v>36.029744181242755</v>
      </c>
      <c r="O193" s="43">
        <v>47.072956385347204</v>
      </c>
      <c r="P193" s="43">
        <v>59.909819362169337</v>
      </c>
      <c r="R193" s="57"/>
      <c r="S193" s="57">
        <f>(P193/J193)^(1/6)-1</f>
        <v>0.33313714116141235</v>
      </c>
    </row>
    <row r="194" spans="1:19" x14ac:dyDescent="0.2">
      <c r="A194" s="12" t="s">
        <v>4</v>
      </c>
      <c r="E194" s="63"/>
      <c r="F194" s="63">
        <f t="shared" ref="F194:P194" si="125">F193/E193-1</f>
        <v>0.11728650867906465</v>
      </c>
      <c r="G194" s="63">
        <f t="shared" si="125"/>
        <v>0.28375608518102657</v>
      </c>
      <c r="H194" s="63">
        <f t="shared" si="125"/>
        <v>0.44087925201146705</v>
      </c>
      <c r="I194" s="63">
        <f t="shared" si="125"/>
        <v>0.72325019634438514</v>
      </c>
      <c r="J194" s="63">
        <f t="shared" si="125"/>
        <v>0.38072803277638689</v>
      </c>
      <c r="K194" s="63">
        <f t="shared" si="125"/>
        <v>0.3881265283307489</v>
      </c>
      <c r="L194" s="63">
        <f t="shared" si="125"/>
        <v>0.37008380048440581</v>
      </c>
      <c r="M194" s="63">
        <f t="shared" si="125"/>
        <v>0.3458502962082024</v>
      </c>
      <c r="N194" s="63">
        <f t="shared" si="125"/>
        <v>0.31898299583537115</v>
      </c>
      <c r="O194" s="63">
        <f t="shared" si="125"/>
        <v>0.30650265371169616</v>
      </c>
      <c r="P194" s="63">
        <f t="shared" si="125"/>
        <v>0.27270143969155858</v>
      </c>
      <c r="R194" s="109"/>
      <c r="S194" s="109"/>
    </row>
    <row r="195" spans="1:19" x14ac:dyDescent="0.2">
      <c r="A195" s="129" t="s">
        <v>73</v>
      </c>
      <c r="E195" s="43">
        <v>2.4295983852396974</v>
      </c>
      <c r="F195" s="43">
        <v>2.7183284058267105</v>
      </c>
      <c r="G195" s="43">
        <v>3.4820976954014555</v>
      </c>
      <c r="H195" s="43">
        <v>4.7673940274821307</v>
      </c>
      <c r="I195" s="43">
        <v>8.2332436361742953</v>
      </c>
      <c r="J195" s="43">
        <v>11.140208637784786</v>
      </c>
      <c r="K195" s="43">
        <v>15.447636830207115</v>
      </c>
      <c r="L195" s="43">
        <v>20.993338554926204</v>
      </c>
      <c r="M195" s="43">
        <v>27.976176769588758</v>
      </c>
      <c r="N195" s="43">
        <v>36.540273818072116</v>
      </c>
      <c r="O195" s="43">
        <v>47.295880649773949</v>
      </c>
      <c r="P195" s="43">
        <v>59.626802870151714</v>
      </c>
      <c r="R195" s="57"/>
      <c r="S195" s="57">
        <f>(P195/J195)^(1/6)-1</f>
        <v>0.32258837108776706</v>
      </c>
    </row>
    <row r="196" spans="1:19" x14ac:dyDescent="0.2">
      <c r="A196" s="12" t="s">
        <v>4</v>
      </c>
      <c r="E196" s="63"/>
      <c r="F196" s="63">
        <f t="shared" ref="F196:P196" si="126">F195/E195-1</f>
        <v>0.11883857938871967</v>
      </c>
      <c r="G196" s="63">
        <f t="shared" si="126"/>
        <v>0.28097020504866621</v>
      </c>
      <c r="H196" s="63">
        <f t="shared" si="126"/>
        <v>0.36911552877395404</v>
      </c>
      <c r="I196" s="63">
        <f t="shared" si="126"/>
        <v>0.72699038273591809</v>
      </c>
      <c r="J196" s="63">
        <f t="shared" si="126"/>
        <v>0.3530765188143099</v>
      </c>
      <c r="K196" s="63">
        <f t="shared" si="126"/>
        <v>0.38665597139829289</v>
      </c>
      <c r="L196" s="63">
        <f t="shared" si="126"/>
        <v>0.35900000664663057</v>
      </c>
      <c r="M196" s="63">
        <f t="shared" si="126"/>
        <v>0.33262161691876257</v>
      </c>
      <c r="N196" s="63">
        <f t="shared" si="126"/>
        <v>0.30612106575594988</v>
      </c>
      <c r="O196" s="63">
        <f t="shared" si="126"/>
        <v>0.29434937694370311</v>
      </c>
      <c r="P196" s="63">
        <f t="shared" si="126"/>
        <v>0.26071873598650708</v>
      </c>
      <c r="R196" s="109"/>
      <c r="S196" s="109"/>
    </row>
    <row r="197" spans="1:19" x14ac:dyDescent="0.2">
      <c r="A197" s="129" t="s">
        <v>65</v>
      </c>
      <c r="E197" s="43">
        <v>0.77475886400246763</v>
      </c>
      <c r="F197" s="43">
        <v>0.94351277581935522</v>
      </c>
      <c r="G197" s="43">
        <v>1.3121101224947125</v>
      </c>
      <c r="H197" s="43">
        <v>2.0443147785533475</v>
      </c>
      <c r="I197" s="43">
        <v>3.7936569531406845</v>
      </c>
      <c r="J197" s="43">
        <v>5.5180368840008862</v>
      </c>
      <c r="K197" s="43">
        <v>8.0834111030233586</v>
      </c>
      <c r="L197" s="43">
        <v>11.650122596370144</v>
      </c>
      <c r="M197" s="43">
        <v>16.456957455360939</v>
      </c>
      <c r="N197" s="43">
        <v>22.726076491089739</v>
      </c>
      <c r="O197" s="43">
        <v>31.012585933941903</v>
      </c>
      <c r="P197" s="43">
        <v>41.14094956870494</v>
      </c>
      <c r="R197" s="57"/>
      <c r="S197" s="57">
        <f>(P197/J197)^(1/6)-1</f>
        <v>0.39770317609633654</v>
      </c>
    </row>
    <row r="198" spans="1:19" x14ac:dyDescent="0.2">
      <c r="A198" s="12" t="s">
        <v>4</v>
      </c>
      <c r="E198" s="63"/>
      <c r="F198" s="63">
        <f t="shared" ref="F198:P198" si="127">F197/E197-1</f>
        <v>0.21781475457420529</v>
      </c>
      <c r="G198" s="63">
        <f t="shared" si="127"/>
        <v>0.39066492380589546</v>
      </c>
      <c r="H198" s="63">
        <f t="shared" si="127"/>
        <v>0.55803597846383179</v>
      </c>
      <c r="I198" s="63">
        <f t="shared" si="127"/>
        <v>0.85571077064034773</v>
      </c>
      <c r="J198" s="63">
        <f t="shared" si="127"/>
        <v>0.45454292577314503</v>
      </c>
      <c r="K198" s="63">
        <f t="shared" si="127"/>
        <v>0.46490704447093734</v>
      </c>
      <c r="L198" s="63">
        <f t="shared" si="127"/>
        <v>0.44123841381923068</v>
      </c>
      <c r="M198" s="63">
        <f t="shared" si="127"/>
        <v>0.41259950865139161</v>
      </c>
      <c r="N198" s="63">
        <f t="shared" si="127"/>
        <v>0.38094034409055366</v>
      </c>
      <c r="O198" s="63">
        <f t="shared" si="127"/>
        <v>0.36462560733266369</v>
      </c>
      <c r="P198" s="63">
        <f t="shared" si="127"/>
        <v>0.32658881321076771</v>
      </c>
      <c r="R198" s="109"/>
      <c r="S198" s="109"/>
    </row>
    <row r="199" spans="1:19" x14ac:dyDescent="0.2">
      <c r="A199" s="129" t="s">
        <v>71</v>
      </c>
      <c r="E199" s="43">
        <v>0.12701000245832519</v>
      </c>
      <c r="F199" s="43">
        <v>0.15133325709899997</v>
      </c>
      <c r="G199" s="43">
        <v>0.18927594328729902</v>
      </c>
      <c r="H199" s="43">
        <v>0.29219786265476982</v>
      </c>
      <c r="I199" s="43">
        <v>0.51644388540398656</v>
      </c>
      <c r="J199" s="43">
        <v>0.71840452366852936</v>
      </c>
      <c r="K199" s="43">
        <v>1.0606780748036151</v>
      </c>
      <c r="L199" s="43">
        <v>1.4422316729710907</v>
      </c>
      <c r="M199" s="43">
        <v>1.9541181791363325</v>
      </c>
      <c r="N199" s="43">
        <v>2.6140881137097138</v>
      </c>
      <c r="O199" s="43">
        <v>3.438149298087521</v>
      </c>
      <c r="P199" s="43">
        <v>4.4377409242027124</v>
      </c>
      <c r="R199" s="57"/>
      <c r="S199" s="57">
        <f>(P199/J199)^(1/6)-1</f>
        <v>0.354561770219465</v>
      </c>
    </row>
    <row r="200" spans="1:19" x14ac:dyDescent="0.2">
      <c r="A200" s="12" t="s">
        <v>4</v>
      </c>
      <c r="E200" s="63"/>
      <c r="F200" s="63">
        <f t="shared" ref="F200:P200" si="128">F199/E199-1</f>
        <v>0.191506607116678</v>
      </c>
      <c r="G200" s="63">
        <f t="shared" si="128"/>
        <v>0.25072272225977077</v>
      </c>
      <c r="H200" s="63">
        <f t="shared" si="128"/>
        <v>0.54376651136931442</v>
      </c>
      <c r="I200" s="63">
        <f t="shared" si="128"/>
        <v>0.76744580097823012</v>
      </c>
      <c r="J200" s="63">
        <f t="shared" si="128"/>
        <v>0.39106017899032675</v>
      </c>
      <c r="K200" s="63">
        <f t="shared" si="128"/>
        <v>0.4764356847132134</v>
      </c>
      <c r="L200" s="63">
        <f t="shared" si="128"/>
        <v>0.35972611033571167</v>
      </c>
      <c r="M200" s="63">
        <f t="shared" si="128"/>
        <v>0.35492668463640276</v>
      </c>
      <c r="N200" s="63">
        <f t="shared" si="128"/>
        <v>0.33773286673228253</v>
      </c>
      <c r="O200" s="63">
        <f t="shared" si="128"/>
        <v>0.31523848796678955</v>
      </c>
      <c r="P200" s="63">
        <f t="shared" si="128"/>
        <v>0.29073537518315939</v>
      </c>
      <c r="R200" s="109"/>
      <c r="S200" s="109"/>
    </row>
    <row r="201" spans="1:19" x14ac:dyDescent="0.2">
      <c r="A201" s="129" t="s">
        <v>80</v>
      </c>
      <c r="E201" s="46">
        <v>1.4366773248987377</v>
      </c>
      <c r="F201" s="46">
        <v>1.5535041121788606</v>
      </c>
      <c r="G201" s="46">
        <v>1.9250845891448136</v>
      </c>
      <c r="H201" s="46">
        <v>2.6797625531799087</v>
      </c>
      <c r="I201" s="46">
        <v>4.4513146588726862</v>
      </c>
      <c r="J201" s="46">
        <v>5.8022875465742478</v>
      </c>
      <c r="K201" s="46">
        <v>7.6208806673606411</v>
      </c>
      <c r="L201" s="46">
        <v>9.8461097553620736</v>
      </c>
      <c r="M201" s="46">
        <v>12.458020234828261</v>
      </c>
      <c r="N201" s="46">
        <v>15.386205718466789</v>
      </c>
      <c r="O201" s="46">
        <v>18.735731906671315</v>
      </c>
      <c r="P201" s="46">
        <v>22.109925418239406</v>
      </c>
      <c r="R201" s="57"/>
      <c r="S201" s="57">
        <f>(P201/J201)^(1/6)-1</f>
        <v>0.24977357663185829</v>
      </c>
    </row>
    <row r="202" spans="1:19" x14ac:dyDescent="0.2">
      <c r="A202" s="12" t="s">
        <v>4</v>
      </c>
      <c r="E202" s="63"/>
      <c r="F202" s="63">
        <f t="shared" ref="F202:P202" si="129">F201/E201-1</f>
        <v>8.1317346112048661E-2</v>
      </c>
      <c r="G202" s="63">
        <f t="shared" si="129"/>
        <v>0.23918860211112958</v>
      </c>
      <c r="H202" s="63">
        <f t="shared" si="129"/>
        <v>0.39202327434886808</v>
      </c>
      <c r="I202" s="63">
        <f t="shared" si="129"/>
        <v>0.66108547699145426</v>
      </c>
      <c r="J202" s="63">
        <f t="shared" si="129"/>
        <v>0.30349975035098975</v>
      </c>
      <c r="K202" s="63">
        <f t="shared" si="129"/>
        <v>0.31342692105290726</v>
      </c>
      <c r="L202" s="63">
        <f t="shared" si="129"/>
        <v>0.29199106837243027</v>
      </c>
      <c r="M202" s="63">
        <f t="shared" si="129"/>
        <v>0.26527334595714547</v>
      </c>
      <c r="N202" s="63">
        <f t="shared" si="129"/>
        <v>0.23504420673939408</v>
      </c>
      <c r="O202" s="63">
        <f t="shared" si="129"/>
        <v>0.21769669855540585</v>
      </c>
      <c r="P202" s="63">
        <f t="shared" si="129"/>
        <v>0.18009403253505285</v>
      </c>
      <c r="R202" s="109"/>
      <c r="S202" s="109"/>
    </row>
    <row r="203" spans="1:19" x14ac:dyDescent="0.2">
      <c r="A203" s="129" t="s">
        <v>76</v>
      </c>
      <c r="E203" s="43">
        <v>4.9273744607997916</v>
      </c>
      <c r="F203" s="43">
        <v>5.5176745052828942</v>
      </c>
      <c r="G203" s="43">
        <v>7.0995265424387908</v>
      </c>
      <c r="H203" s="43">
        <v>10.252280233511536</v>
      </c>
      <c r="I203" s="43">
        <v>18.039069881144339</v>
      </c>
      <c r="J203" s="43">
        <v>24.569269730949099</v>
      </c>
      <c r="K203" s="43">
        <v>34.010667459557688</v>
      </c>
      <c r="L203" s="43">
        <v>46.479474361794836</v>
      </c>
      <c r="M203" s="43">
        <v>62.425191162077418</v>
      </c>
      <c r="N203" s="43">
        <v>82.153412710645824</v>
      </c>
      <c r="O203" s="43">
        <v>107.06355236772121</v>
      </c>
      <c r="P203" s="43">
        <v>135.90070694059665</v>
      </c>
      <c r="R203" s="109"/>
      <c r="S203" s="109"/>
    </row>
    <row r="204" spans="1:19" x14ac:dyDescent="0.2">
      <c r="A204" s="12" t="s">
        <v>4</v>
      </c>
      <c r="F204" s="63">
        <f t="shared" ref="F204:P204" si="130">F203/E203-1</f>
        <v>0.1198001185376294</v>
      </c>
      <c r="G204" s="63">
        <f t="shared" si="130"/>
        <v>0.28668817554231474</v>
      </c>
      <c r="H204" s="63">
        <f t="shared" si="130"/>
        <v>0.44407942870930217</v>
      </c>
      <c r="I204" s="63">
        <f t="shared" si="130"/>
        <v>0.75951783118258853</v>
      </c>
      <c r="J204" s="63">
        <f t="shared" si="130"/>
        <v>0.36200313501920456</v>
      </c>
      <c r="K204" s="63">
        <f t="shared" si="130"/>
        <v>0.38427669328386971</v>
      </c>
      <c r="L204" s="63">
        <f t="shared" si="130"/>
        <v>0.36661458988018647</v>
      </c>
      <c r="M204" s="63">
        <f t="shared" si="130"/>
        <v>0.34307007596862227</v>
      </c>
      <c r="N204" s="63">
        <f t="shared" si="130"/>
        <v>0.31602981394717888</v>
      </c>
      <c r="O204" s="63">
        <f t="shared" si="130"/>
        <v>0.30321491019261604</v>
      </c>
      <c r="P204" s="63">
        <f t="shared" si="130"/>
        <v>0.26934614007417901</v>
      </c>
      <c r="R204" s="109"/>
      <c r="S204" s="109"/>
    </row>
    <row r="205" spans="1:19" x14ac:dyDescent="0.2">
      <c r="A205" s="23" t="s">
        <v>23</v>
      </c>
      <c r="E205" s="56">
        <f t="shared" ref="E205:P205" si="131">E203+E201+E199+E197+E195+E193+E191+E189+E187+E185+E183+E181+E179</f>
        <v>40.917202629999998</v>
      </c>
      <c r="F205" s="56">
        <f t="shared" si="131"/>
        <v>46.169672820000031</v>
      </c>
      <c r="G205" s="56">
        <f t="shared" si="131"/>
        <v>59.814742410000036</v>
      </c>
      <c r="H205" s="56">
        <f t="shared" si="131"/>
        <v>87.228983570000011</v>
      </c>
      <c r="I205" s="56">
        <f t="shared" si="131"/>
        <v>152.13799160000016</v>
      </c>
      <c r="J205" s="56">
        <f t="shared" si="131"/>
        <v>208.74322500000028</v>
      </c>
      <c r="K205" s="56">
        <f t="shared" si="131"/>
        <v>289.38577040295473</v>
      </c>
      <c r="L205" s="56">
        <f t="shared" si="131"/>
        <v>395.84646038558537</v>
      </c>
      <c r="M205" s="56">
        <f t="shared" si="131"/>
        <v>532.09990360403549</v>
      </c>
      <c r="N205" s="56">
        <f t="shared" si="131"/>
        <v>700.87645964465412</v>
      </c>
      <c r="O205" s="56">
        <f t="shared" si="131"/>
        <v>914.24251989402501</v>
      </c>
      <c r="P205" s="56">
        <f t="shared" si="131"/>
        <v>1161.5993175994074</v>
      </c>
      <c r="R205" s="57"/>
      <c r="S205" s="57">
        <f>(P205/J205)^(1/6)-1</f>
        <v>0.33119188014427614</v>
      </c>
    </row>
    <row r="206" spans="1:19" x14ac:dyDescent="0.2">
      <c r="A206" s="19" t="s">
        <v>4</v>
      </c>
      <c r="E206" s="59"/>
      <c r="F206" s="59">
        <f t="shared" ref="F206:P206" si="132">F205/E205-1</f>
        <v>0.12836826206073493</v>
      </c>
      <c r="G206" s="59">
        <f t="shared" si="132"/>
        <v>0.29554182987602107</v>
      </c>
      <c r="H206" s="59">
        <f t="shared" si="132"/>
        <v>0.45831913764819232</v>
      </c>
      <c r="I206" s="59">
        <f t="shared" si="132"/>
        <v>0.74412202657287185</v>
      </c>
      <c r="J206" s="59">
        <f t="shared" si="132"/>
        <v>0.37206507595306038</v>
      </c>
      <c r="K206" s="59">
        <f t="shared" si="132"/>
        <v>0.38632413292912537</v>
      </c>
      <c r="L206" s="59">
        <f t="shared" si="132"/>
        <v>0.36788502017355462</v>
      </c>
      <c r="M206" s="59">
        <f t="shared" si="132"/>
        <v>0.34420780998200318</v>
      </c>
      <c r="N206" s="59">
        <f t="shared" si="132"/>
        <v>0.31718960085776393</v>
      </c>
      <c r="O206" s="59">
        <f t="shared" si="132"/>
        <v>0.30442748834444799</v>
      </c>
      <c r="P206" s="59">
        <f t="shared" si="132"/>
        <v>0.27055927975659566</v>
      </c>
      <c r="R206" s="109"/>
      <c r="S206" s="109"/>
    </row>
    <row r="207" spans="1:19" x14ac:dyDescent="0.2">
      <c r="R207" s="109"/>
      <c r="S207" s="109"/>
    </row>
    <row r="208" spans="1:19" x14ac:dyDescent="0.2">
      <c r="A208" s="67" t="s">
        <v>63</v>
      </c>
      <c r="R208" s="109"/>
      <c r="S208" s="109"/>
    </row>
    <row r="209" spans="1:19" x14ac:dyDescent="0.2">
      <c r="A209" s="68" t="s">
        <v>82</v>
      </c>
      <c r="E209" s="46">
        <v>1.4366773248987377</v>
      </c>
      <c r="F209" s="46">
        <v>1.5535041121788606</v>
      </c>
      <c r="G209" s="46">
        <v>1.9250845891448136</v>
      </c>
      <c r="H209" s="46">
        <v>2.6797625531799087</v>
      </c>
      <c r="I209" s="46">
        <v>4.4513146588726862</v>
      </c>
      <c r="J209" s="46">
        <v>5.8022875465742478</v>
      </c>
      <c r="K209" s="46">
        <v>7.6208806673606411</v>
      </c>
      <c r="L209" s="46">
        <v>9.8461097553620736</v>
      </c>
      <c r="M209" s="46">
        <v>12.458020234828261</v>
      </c>
      <c r="N209" s="46">
        <v>15.386205718466789</v>
      </c>
      <c r="O209" s="46">
        <v>18.735731906671315</v>
      </c>
      <c r="P209" s="46">
        <v>22.109925418239406</v>
      </c>
      <c r="R209" s="57"/>
      <c r="S209" s="57">
        <f>(P209/J209)^(1/6)-1</f>
        <v>0.24977357663185829</v>
      </c>
    </row>
    <row r="210" spans="1:19" x14ac:dyDescent="0.2">
      <c r="A210" s="62" t="s">
        <v>4</v>
      </c>
      <c r="F210" s="63">
        <f t="shared" ref="F210:P210" si="133">F209/E209-1</f>
        <v>8.1317346112048661E-2</v>
      </c>
      <c r="G210" s="63">
        <f t="shared" si="133"/>
        <v>0.23918860211112958</v>
      </c>
      <c r="H210" s="63">
        <f t="shared" si="133"/>
        <v>0.39202327434886808</v>
      </c>
      <c r="I210" s="63">
        <f t="shared" si="133"/>
        <v>0.66108547699145426</v>
      </c>
      <c r="J210" s="63">
        <f t="shared" si="133"/>
        <v>0.30349975035098975</v>
      </c>
      <c r="K210" s="63">
        <f t="shared" si="133"/>
        <v>0.31342692105290726</v>
      </c>
      <c r="L210" s="63">
        <f t="shared" si="133"/>
        <v>0.29199106837243027</v>
      </c>
      <c r="M210" s="63">
        <f t="shared" si="133"/>
        <v>0.26527334595714547</v>
      </c>
      <c r="N210" s="63">
        <f t="shared" si="133"/>
        <v>0.23504420673939408</v>
      </c>
      <c r="O210" s="63">
        <f t="shared" si="133"/>
        <v>0.21769669855540585</v>
      </c>
      <c r="P210" s="63">
        <f t="shared" si="133"/>
        <v>0.18009403253505285</v>
      </c>
      <c r="R210" s="109"/>
      <c r="S210" s="109"/>
    </row>
    <row r="211" spans="1:19" x14ac:dyDescent="0.2">
      <c r="A211" s="68" t="s">
        <v>10</v>
      </c>
      <c r="E211" s="46">
        <v>13.370353409061481</v>
      </c>
      <c r="F211" s="46">
        <v>14.669498849019545</v>
      </c>
      <c r="G211" s="46">
        <v>18.464654192267833</v>
      </c>
      <c r="H211" s="46">
        <v>26.139703377075296</v>
      </c>
      <c r="I211" s="46">
        <v>44.217532155233229</v>
      </c>
      <c r="J211" s="46">
        <v>58.785714032924318</v>
      </c>
      <c r="K211" s="46">
        <v>78.885635988537658</v>
      </c>
      <c r="L211" s="46">
        <v>104.33693999717245</v>
      </c>
      <c r="M211" s="46">
        <v>135.45395466804828</v>
      </c>
      <c r="N211" s="46">
        <v>172.10268553691785</v>
      </c>
      <c r="O211" s="46">
        <v>216.25969389421212</v>
      </c>
      <c r="P211" s="46">
        <v>264.31026352591653</v>
      </c>
      <c r="R211" s="57"/>
      <c r="S211" s="57">
        <f>(P211/J211)^(1/6)-1</f>
        <v>0.28471572024763758</v>
      </c>
    </row>
    <row r="212" spans="1:19" x14ac:dyDescent="0.2">
      <c r="A212" s="62" t="s">
        <v>4</v>
      </c>
      <c r="F212" s="63">
        <f t="shared" ref="F212:P212" si="134">F211/E211-1</f>
        <v>9.7166125696991346E-2</v>
      </c>
      <c r="G212" s="63">
        <f t="shared" si="134"/>
        <v>0.25871063369707015</v>
      </c>
      <c r="H212" s="63">
        <f t="shared" si="134"/>
        <v>0.41566168014245441</v>
      </c>
      <c r="I212" s="63">
        <f t="shared" si="134"/>
        <v>0.69158507720528739</v>
      </c>
      <c r="J212" s="63">
        <f t="shared" si="134"/>
        <v>0.3294661906174905</v>
      </c>
      <c r="K212" s="63">
        <f t="shared" si="134"/>
        <v>0.34191847945158771</v>
      </c>
      <c r="L212" s="63">
        <f t="shared" si="134"/>
        <v>0.32263546702384382</v>
      </c>
      <c r="M212" s="63">
        <f t="shared" si="134"/>
        <v>0.29823583739104387</v>
      </c>
      <c r="N212" s="63">
        <f t="shared" si="134"/>
        <v>0.27056228043458153</v>
      </c>
      <c r="O212" s="63">
        <f t="shared" si="134"/>
        <v>0.25657361603356343</v>
      </c>
      <c r="P212" s="63">
        <f t="shared" si="134"/>
        <v>0.22218920579444323</v>
      </c>
      <c r="R212" s="109"/>
      <c r="S212" s="109"/>
    </row>
    <row r="213" spans="1:19" x14ac:dyDescent="0.2">
      <c r="A213" s="68" t="s">
        <v>11</v>
      </c>
      <c r="E213" s="46">
        <v>25.335413032037312</v>
      </c>
      <c r="F213" s="46">
        <v>29.00315708298227</v>
      </c>
      <c r="G213" s="46">
        <v>38.112893506092682</v>
      </c>
      <c r="H213" s="46">
        <v>56.365202861191477</v>
      </c>
      <c r="I213" s="46">
        <v>99.675487832753603</v>
      </c>
      <c r="J213" s="46">
        <v>138.63718653650082</v>
      </c>
      <c r="K213" s="46">
        <v>194.79584264403317</v>
      </c>
      <c r="L213" s="46">
        <v>270.01328803668065</v>
      </c>
      <c r="M213" s="46">
        <v>367.73097124579789</v>
      </c>
      <c r="N213" s="46">
        <v>490.66149189817975</v>
      </c>
      <c r="O213" s="46">
        <v>648.23450815919944</v>
      </c>
      <c r="P213" s="46">
        <v>834.03817908654639</v>
      </c>
      <c r="R213" s="57"/>
      <c r="S213" s="57">
        <f>(P213/J213)^(1/6)-1</f>
        <v>0.3486037589543034</v>
      </c>
    </row>
    <row r="214" spans="1:19" x14ac:dyDescent="0.2">
      <c r="A214" s="62" t="s">
        <v>4</v>
      </c>
      <c r="F214" s="63">
        <f t="shared" ref="F214:P214" si="135">F213/E213-1</f>
        <v>0.14476748598126243</v>
      </c>
      <c r="G214" s="63">
        <f t="shared" si="135"/>
        <v>0.31409464828418932</v>
      </c>
      <c r="H214" s="63">
        <f t="shared" si="135"/>
        <v>0.47890117165155677</v>
      </c>
      <c r="I214" s="63">
        <f t="shared" si="135"/>
        <v>0.76838692620730531</v>
      </c>
      <c r="J214" s="63">
        <f t="shared" si="135"/>
        <v>0.39088545790838158</v>
      </c>
      <c r="K214" s="63">
        <f t="shared" si="135"/>
        <v>0.40507642653832088</v>
      </c>
      <c r="L214" s="63">
        <f t="shared" si="135"/>
        <v>0.3861347571472491</v>
      </c>
      <c r="M214" s="63">
        <f t="shared" si="135"/>
        <v>0.36189953435122257</v>
      </c>
      <c r="N214" s="63">
        <f t="shared" si="135"/>
        <v>0.33429471615055495</v>
      </c>
      <c r="O214" s="63">
        <f t="shared" si="135"/>
        <v>0.32114404505523875</v>
      </c>
      <c r="P214" s="63">
        <f t="shared" si="135"/>
        <v>0.28663032990171455</v>
      </c>
      <c r="R214" s="109"/>
      <c r="S214" s="109"/>
    </row>
    <row r="215" spans="1:19" x14ac:dyDescent="0.2">
      <c r="A215" s="68" t="s">
        <v>22</v>
      </c>
      <c r="E215" s="43">
        <v>0.77475886400246763</v>
      </c>
      <c r="F215" s="43">
        <v>0.94351277581935522</v>
      </c>
      <c r="G215" s="43">
        <v>1.3121101224947125</v>
      </c>
      <c r="H215" s="43">
        <v>2.0443147785533475</v>
      </c>
      <c r="I215" s="43">
        <v>3.7936569531406845</v>
      </c>
      <c r="J215" s="43">
        <v>5.5180368840008862</v>
      </c>
      <c r="K215" s="43">
        <v>8.0834111030233586</v>
      </c>
      <c r="L215" s="43">
        <v>11.650122596370144</v>
      </c>
      <c r="M215" s="43">
        <v>16.456957455360939</v>
      </c>
      <c r="N215" s="43">
        <v>22.726076491089739</v>
      </c>
      <c r="O215" s="43">
        <v>31.012585933941903</v>
      </c>
      <c r="P215" s="43">
        <v>41.14094956870494</v>
      </c>
      <c r="R215" s="57"/>
      <c r="S215" s="57">
        <f>(P215/J215)^(1/6)-1</f>
        <v>0.39770317609633654</v>
      </c>
    </row>
    <row r="216" spans="1:19" x14ac:dyDescent="0.2">
      <c r="A216" s="62" t="s">
        <v>4</v>
      </c>
      <c r="F216" s="63">
        <f t="shared" ref="F216:P216" si="136">F215/E215-1</f>
        <v>0.21781475457420529</v>
      </c>
      <c r="G216" s="63">
        <f t="shared" si="136"/>
        <v>0.39066492380589546</v>
      </c>
      <c r="H216" s="63">
        <f t="shared" si="136"/>
        <v>0.55803597846383179</v>
      </c>
      <c r="I216" s="63">
        <f t="shared" si="136"/>
        <v>0.85571077064034773</v>
      </c>
      <c r="J216" s="63">
        <f t="shared" si="136"/>
        <v>0.45454292577314503</v>
      </c>
      <c r="K216" s="63">
        <f t="shared" si="136"/>
        <v>0.46490704447093734</v>
      </c>
      <c r="L216" s="63">
        <f t="shared" si="136"/>
        <v>0.44123841381923068</v>
      </c>
      <c r="M216" s="63">
        <f t="shared" si="136"/>
        <v>0.41259950865139161</v>
      </c>
      <c r="N216" s="63">
        <f t="shared" si="136"/>
        <v>0.38094034409055366</v>
      </c>
      <c r="O216" s="63">
        <f t="shared" si="136"/>
        <v>0.36462560733266369</v>
      </c>
      <c r="P216" s="63">
        <f t="shared" si="136"/>
        <v>0.32658881321076771</v>
      </c>
      <c r="R216" s="109"/>
      <c r="S216" s="109"/>
    </row>
    <row r="217" spans="1:19" x14ac:dyDescent="0.2">
      <c r="A217" s="77" t="s">
        <v>23</v>
      </c>
      <c r="E217" s="56">
        <f t="shared" ref="E217:P217" si="137">E215+E213+E211+E209</f>
        <v>40.917202629999998</v>
      </c>
      <c r="F217" s="56">
        <f t="shared" si="137"/>
        <v>46.169672820000031</v>
      </c>
      <c r="G217" s="56">
        <f t="shared" si="137"/>
        <v>59.814742410000051</v>
      </c>
      <c r="H217" s="56">
        <f t="shared" si="137"/>
        <v>87.22898357000004</v>
      </c>
      <c r="I217" s="56">
        <f t="shared" si="137"/>
        <v>152.13799160000022</v>
      </c>
      <c r="J217" s="56">
        <f t="shared" si="137"/>
        <v>208.74322500000025</v>
      </c>
      <c r="K217" s="56">
        <f t="shared" si="137"/>
        <v>289.38577040295485</v>
      </c>
      <c r="L217" s="56">
        <f t="shared" si="137"/>
        <v>395.84646038558532</v>
      </c>
      <c r="M217" s="56">
        <f t="shared" si="137"/>
        <v>532.09990360403538</v>
      </c>
      <c r="N217" s="56">
        <f t="shared" si="137"/>
        <v>700.87645964465423</v>
      </c>
      <c r="O217" s="56">
        <f t="shared" si="137"/>
        <v>914.24251989402467</v>
      </c>
      <c r="P217" s="56">
        <f t="shared" si="137"/>
        <v>1161.5993175994072</v>
      </c>
      <c r="R217" s="57"/>
      <c r="S217" s="57">
        <f>(P217/J217)^(1/6)-1</f>
        <v>0.33119188014427614</v>
      </c>
    </row>
    <row r="218" spans="1:19" x14ac:dyDescent="0.2">
      <c r="A218" s="74" t="s">
        <v>4</v>
      </c>
      <c r="E218" s="59"/>
      <c r="F218" s="59">
        <f t="shared" ref="F218:P218" si="138">F217/E217-1</f>
        <v>0.12836826206073493</v>
      </c>
      <c r="G218" s="59">
        <f t="shared" si="138"/>
        <v>0.29554182987602151</v>
      </c>
      <c r="H218" s="59">
        <f t="shared" si="138"/>
        <v>0.45831913764819254</v>
      </c>
      <c r="I218" s="59">
        <f t="shared" si="138"/>
        <v>0.74412202657287185</v>
      </c>
      <c r="J218" s="59">
        <f t="shared" si="138"/>
        <v>0.37206507595305971</v>
      </c>
      <c r="K218" s="59">
        <f t="shared" si="138"/>
        <v>0.38632413292912626</v>
      </c>
      <c r="L218" s="59">
        <f t="shared" si="138"/>
        <v>0.36788502017355396</v>
      </c>
      <c r="M218" s="59">
        <f t="shared" si="138"/>
        <v>0.34420780998200318</v>
      </c>
      <c r="N218" s="59">
        <f t="shared" si="138"/>
        <v>0.31718960085776438</v>
      </c>
      <c r="O218" s="59">
        <f t="shared" si="138"/>
        <v>0.30442748834444733</v>
      </c>
      <c r="P218" s="59">
        <f t="shared" si="138"/>
        <v>0.27055927975659588</v>
      </c>
      <c r="R218" s="109"/>
      <c r="S218" s="109"/>
    </row>
    <row r="219" spans="1:19" x14ac:dyDescent="0.2">
      <c r="R219" s="109"/>
      <c r="S219" s="109"/>
    </row>
    <row r="220" spans="1:19" x14ac:dyDescent="0.2">
      <c r="A220" s="67" t="s">
        <v>175</v>
      </c>
      <c r="B220" s="79"/>
      <c r="R220" s="109"/>
      <c r="S220" s="109"/>
    </row>
    <row r="221" spans="1:19" x14ac:dyDescent="0.2">
      <c r="A221" s="85" t="s">
        <v>40</v>
      </c>
      <c r="B221" s="52">
        <v>2016</v>
      </c>
      <c r="C221" s="52">
        <v>2017</v>
      </c>
      <c r="D221" s="52">
        <v>2018</v>
      </c>
      <c r="E221" s="52">
        <v>2019</v>
      </c>
      <c r="F221" s="52">
        <v>2020</v>
      </c>
      <c r="G221" s="52">
        <v>2021</v>
      </c>
      <c r="H221" s="52">
        <v>2022</v>
      </c>
      <c r="I221" s="52">
        <v>2023</v>
      </c>
      <c r="J221" s="52">
        <v>2024</v>
      </c>
      <c r="K221" s="52" t="s">
        <v>42</v>
      </c>
      <c r="L221" s="2" t="s">
        <v>1</v>
      </c>
      <c r="M221" s="52" t="s">
        <v>2</v>
      </c>
      <c r="N221" s="52" t="s">
        <v>43</v>
      </c>
      <c r="O221" s="52" t="s">
        <v>44</v>
      </c>
      <c r="P221" s="52" t="s">
        <v>45</v>
      </c>
      <c r="R221" s="109"/>
      <c r="S221" s="109"/>
    </row>
    <row r="222" spans="1:19" x14ac:dyDescent="0.2">
      <c r="A222" s="32" t="s">
        <v>105</v>
      </c>
      <c r="B222" s="43">
        <v>177.4426124799038</v>
      </c>
      <c r="C222" s="43">
        <v>194.13463892181738</v>
      </c>
      <c r="D222" s="43">
        <v>211.01482217068374</v>
      </c>
      <c r="E222" s="43">
        <v>225.60735168751387</v>
      </c>
      <c r="F222" s="43">
        <v>215.83256253544175</v>
      </c>
      <c r="G222" s="43">
        <v>238.17904870829312</v>
      </c>
      <c r="H222" s="43">
        <v>276.34627052045124</v>
      </c>
      <c r="I222" s="43">
        <v>305.96442284325599</v>
      </c>
      <c r="J222" s="43">
        <v>307.18240107946451</v>
      </c>
      <c r="K222" s="43">
        <v>328.51739675190726</v>
      </c>
      <c r="L222" s="43">
        <v>347.98326524417411</v>
      </c>
      <c r="M222" s="43">
        <v>362.89875735791372</v>
      </c>
      <c r="N222" s="43">
        <v>377.29781087879468</v>
      </c>
      <c r="O222" s="43">
        <v>391.88473945986391</v>
      </c>
      <c r="P222" s="43">
        <v>406.63734810927355</v>
      </c>
      <c r="R222" s="109"/>
      <c r="S222" s="109"/>
    </row>
    <row r="223" spans="1:19" x14ac:dyDescent="0.2">
      <c r="A223" s="32" t="s">
        <v>91</v>
      </c>
      <c r="B223" s="44">
        <v>2.6000000000000002E-2</v>
      </c>
      <c r="C223" s="44">
        <v>5.2000000000000005E-2</v>
      </c>
      <c r="D223" s="44">
        <v>2.7999999999999997E-2</v>
      </c>
      <c r="E223" s="44">
        <v>3.6000000000000004E-2</v>
      </c>
      <c r="F223" s="44">
        <v>-5.2999999999999971E-2</v>
      </c>
      <c r="G223" s="44">
        <v>0.04</v>
      </c>
      <c r="H223" s="44">
        <v>2.8999999999999998E-2</v>
      </c>
      <c r="I223" s="44">
        <v>2E-3</v>
      </c>
      <c r="J223" s="44">
        <v>1.1000000000000001E-2</v>
      </c>
      <c r="K223" s="44">
        <v>2.3106661023142138E-2</v>
      </c>
      <c r="L223" s="44">
        <v>2.2829115097342267E-2</v>
      </c>
      <c r="M223" s="44">
        <v>2.613370176953914E-2</v>
      </c>
      <c r="N223" s="44">
        <v>2.3E-2</v>
      </c>
      <c r="O223" s="44">
        <v>2.1999999999999999E-2</v>
      </c>
      <c r="P223" s="44">
        <v>2.1000000000000001E-2</v>
      </c>
      <c r="R223" s="109"/>
      <c r="S223" s="109"/>
    </row>
    <row r="224" spans="1:19" x14ac:dyDescent="0.2">
      <c r="A224" s="32" t="s">
        <v>92</v>
      </c>
      <c r="B224" s="43">
        <v>16773.373123495054</v>
      </c>
      <c r="C224" s="43">
        <v>18297.232099345136</v>
      </c>
      <c r="D224" s="43">
        <v>19813.970419227</v>
      </c>
      <c r="E224" s="43">
        <v>21096.749447281665</v>
      </c>
      <c r="F224" s="43">
        <v>20167.9181443831</v>
      </c>
      <c r="G224" s="43">
        <v>22647.683225204721</v>
      </c>
      <c r="H224" s="43">
        <v>25522.561105165467</v>
      </c>
      <c r="I224" s="43">
        <v>27968.701349908872</v>
      </c>
      <c r="J224" s="43">
        <v>28057.330865710104</v>
      </c>
      <c r="K224" s="43">
        <v>29951.602588140599</v>
      </c>
      <c r="L224" s="43">
        <v>31883.830159127501</v>
      </c>
      <c r="M224" s="43">
        <v>33307.671302202871</v>
      </c>
      <c r="N224" s="43">
        <v>34691.097339984648</v>
      </c>
      <c r="O224" s="43">
        <v>36096.863659910843</v>
      </c>
      <c r="P224" s="43">
        <v>37524.54492844137</v>
      </c>
      <c r="R224" s="109"/>
      <c r="S224" s="109"/>
    </row>
    <row r="225" spans="1:19" x14ac:dyDescent="0.2">
      <c r="A225" s="32" t="s">
        <v>93</v>
      </c>
      <c r="B225" s="44">
        <v>3.5000000000000003E-2</v>
      </c>
      <c r="C225" s="44">
        <v>4.4000000000000004E-2</v>
      </c>
      <c r="D225" s="44">
        <v>3.4000000000000058E-2</v>
      </c>
      <c r="E225" s="44">
        <v>0.03</v>
      </c>
      <c r="F225" s="44">
        <v>-6.5999999999999948E-2</v>
      </c>
      <c r="G225" s="44">
        <v>4.0999999999999946E-2</v>
      </c>
      <c r="H225" s="44">
        <v>4.0000000000000565E-3</v>
      </c>
      <c r="I225" s="44">
        <v>-2.7000000000000003E-2</v>
      </c>
      <c r="J225" s="44">
        <v>2.2000000000000002E-2</v>
      </c>
      <c r="K225" s="44">
        <v>2.894605913105552E-2</v>
      </c>
      <c r="L225" s="44">
        <v>2.860365360320646E-2</v>
      </c>
      <c r="M225" s="44">
        <v>2.6455488501933303E-2</v>
      </c>
      <c r="N225" s="44">
        <v>2.4333333333333335E-2</v>
      </c>
      <c r="O225" s="44">
        <v>2.3E-2</v>
      </c>
      <c r="P225" s="44">
        <v>2.4E-2</v>
      </c>
      <c r="R225" s="109"/>
      <c r="S225" s="109"/>
    </row>
    <row r="226" spans="1:19" x14ac:dyDescent="0.2">
      <c r="A226" s="32" t="s">
        <v>94</v>
      </c>
      <c r="B226" s="44">
        <v>-0.02</v>
      </c>
      <c r="C226" s="44">
        <v>2.8999999999999998E-2</v>
      </c>
      <c r="D226" s="44">
        <v>8.9000000000000051E-2</v>
      </c>
      <c r="E226" s="44">
        <v>7.4999999999999997E-2</v>
      </c>
      <c r="F226" s="44">
        <v>-4.7999999999999973E-2</v>
      </c>
      <c r="G226" s="44">
        <v>6.6000000000000003E-2</v>
      </c>
      <c r="H226" s="44">
        <v>6.2999999999999973E-2</v>
      </c>
      <c r="I226" s="44">
        <v>4.4999999999999998E-2</v>
      </c>
      <c r="J226" s="44">
        <v>-3.1E-2</v>
      </c>
      <c r="K226" s="44">
        <v>1.9708848915154747E-3</v>
      </c>
      <c r="L226" s="44">
        <v>3.0854459264235988E-2</v>
      </c>
      <c r="M226" s="44">
        <v>3.4327310882667376E-2</v>
      </c>
      <c r="N226" s="44">
        <v>3.0555555555555555E-2</v>
      </c>
      <c r="O226" s="44">
        <v>2.855555555555556E-2</v>
      </c>
      <c r="P226" s="44">
        <v>2.4000000000000004E-2</v>
      </c>
      <c r="R226" s="109"/>
      <c r="S226" s="109"/>
    </row>
    <row r="227" spans="1:19" x14ac:dyDescent="0.2">
      <c r="A227" s="32" t="s">
        <v>95</v>
      </c>
      <c r="B227" s="44">
        <v>6.8488119999999993E-3</v>
      </c>
      <c r="C227" s="44">
        <v>1.4603007999999999E-2</v>
      </c>
      <c r="D227" s="44">
        <v>8.8150110000000011E-3</v>
      </c>
      <c r="E227" s="44">
        <v>2.8275379999999992E-3</v>
      </c>
      <c r="F227" s="44">
        <v>-5.6497431999999993E-2</v>
      </c>
      <c r="G227" s="44">
        <v>-4.9511751999999999E-2</v>
      </c>
      <c r="H227" s="44">
        <v>-3.0687790999999999E-2</v>
      </c>
      <c r="I227" s="44">
        <v>-3.7548722999999999E-2</v>
      </c>
      <c r="J227" s="44">
        <v>-2.2117157000000002E-2</v>
      </c>
      <c r="K227" s="44">
        <v>-2.2646659617062363E-2</v>
      </c>
      <c r="L227" s="44">
        <v>-2.3444195647025923E-2</v>
      </c>
      <c r="M227" s="44">
        <v>-2.3348732940763325E-2</v>
      </c>
      <c r="N227" s="44">
        <v>-2.6128732940763327E-2</v>
      </c>
      <c r="O227" s="44">
        <v>-2.9998732940763325E-2</v>
      </c>
      <c r="P227" s="44">
        <v>-3.3098732940763327E-2</v>
      </c>
      <c r="R227" s="109"/>
      <c r="S227" s="109"/>
    </row>
    <row r="228" spans="1:19" x14ac:dyDescent="0.2">
      <c r="A228" s="32" t="s">
        <v>96</v>
      </c>
      <c r="B228" s="44">
        <v>0.36232199999999998</v>
      </c>
      <c r="C228" s="44">
        <v>0.33781799999999995</v>
      </c>
      <c r="D228" s="44">
        <v>0.316778</v>
      </c>
      <c r="E228" s="44">
        <v>0.29551700000000003</v>
      </c>
      <c r="F228" s="44">
        <v>0.36882900000000002</v>
      </c>
      <c r="G228" s="44">
        <v>0.40692</v>
      </c>
      <c r="H228" s="44">
        <v>0.42520400000000003</v>
      </c>
      <c r="I228" s="44">
        <v>0.42450200000000005</v>
      </c>
      <c r="J228" s="44">
        <v>0.43590800000000002</v>
      </c>
      <c r="K228" s="44">
        <v>0.44321937066187983</v>
      </c>
      <c r="L228" s="44">
        <v>0.45158656820956417</v>
      </c>
      <c r="M228" s="44">
        <v>0.45848389068182271</v>
      </c>
      <c r="N228" s="44">
        <v>0.4690738906818227</v>
      </c>
      <c r="O228" s="44">
        <v>0.48222389068182275</v>
      </c>
      <c r="P228" s="44">
        <v>0.49794389068182271</v>
      </c>
      <c r="R228" s="109"/>
      <c r="S228" s="109"/>
    </row>
    <row r="229" spans="1:19" x14ac:dyDescent="0.2">
      <c r="A229" s="32" t="s">
        <v>97</v>
      </c>
      <c r="B229" s="44">
        <v>8.1399999999999979E-3</v>
      </c>
      <c r="C229" s="44">
        <v>5.4439999999999992E-3</v>
      </c>
      <c r="D229" s="44">
        <v>-1.1860000000000015E-3</v>
      </c>
      <c r="E229" s="44">
        <v>-1.0483000000000003E-2</v>
      </c>
      <c r="F229" s="44">
        <v>-4.1231999999999998E-2</v>
      </c>
      <c r="G229" s="44">
        <v>-4.6662000000000002E-2</v>
      </c>
      <c r="H229" s="44">
        <v>-3.3460999999999998E-2</v>
      </c>
      <c r="I229" s="44">
        <v>-3.2166E-2</v>
      </c>
      <c r="J229" s="44">
        <v>-1.5555000000000001E-2</v>
      </c>
      <c r="K229" s="44">
        <v>-1.9507500000000001E-2</v>
      </c>
      <c r="L229" s="44">
        <v>-1.90805E-2</v>
      </c>
      <c r="M229" s="44">
        <v>-2.1160500000000006E-2</v>
      </c>
      <c r="N229" s="44">
        <v>-2.6930500000000003E-2</v>
      </c>
      <c r="O229" s="44">
        <v>-3.1690500000000003E-2</v>
      </c>
      <c r="P229" s="44">
        <v>-3.4790500000000002E-2</v>
      </c>
      <c r="R229" s="109"/>
      <c r="S229" s="109"/>
    </row>
    <row r="230" spans="1:19" x14ac:dyDescent="0.2">
      <c r="A230" s="32" t="s">
        <v>98</v>
      </c>
      <c r="B230" s="44">
        <v>6.9999999999999993E-3</v>
      </c>
      <c r="C230" s="44">
        <v>2.5000000000000001E-2</v>
      </c>
      <c r="D230" s="44">
        <v>2.1000000000000001E-2</v>
      </c>
      <c r="E230" s="44">
        <v>2.7999999999999997E-2</v>
      </c>
      <c r="F230" s="44">
        <v>3.2000000000000001E-2</v>
      </c>
      <c r="G230" s="44">
        <v>3.7999999999999999E-2</v>
      </c>
      <c r="H230" s="44">
        <v>0.151</v>
      </c>
      <c r="I230" s="44">
        <v>0.107</v>
      </c>
      <c r="J230" s="44">
        <v>2.4E-2</v>
      </c>
      <c r="K230" s="44">
        <v>2.4782906956833071E-2</v>
      </c>
      <c r="L230" s="44">
        <v>2.2182177721727401E-2</v>
      </c>
      <c r="M230" s="44">
        <v>2.1781031775000001E-2</v>
      </c>
      <c r="N230" s="44">
        <v>2.0750000000000001E-2</v>
      </c>
      <c r="O230" s="44">
        <v>2.0499999999999997E-2</v>
      </c>
      <c r="P230" s="44">
        <v>2.0499999999999997E-2</v>
      </c>
      <c r="R230" s="109"/>
      <c r="S230" s="109"/>
    </row>
    <row r="231" spans="1:19" x14ac:dyDescent="0.2">
      <c r="A231" s="32" t="s">
        <v>99</v>
      </c>
      <c r="B231" s="43">
        <v>1027.0267094609444</v>
      </c>
      <c r="C231" s="43">
        <v>1125.8331059143215</v>
      </c>
      <c r="D231" s="43">
        <v>1249.9506071670944</v>
      </c>
      <c r="E231" s="43">
        <v>1346.9641663792459</v>
      </c>
      <c r="F231" s="43">
        <v>1367.6387961135699</v>
      </c>
      <c r="G231" s="43">
        <v>1492.4241018155137</v>
      </c>
      <c r="H231" s="43">
        <v>1625.9730036035933</v>
      </c>
      <c r="I231" s="43">
        <v>1783.0654400277704</v>
      </c>
      <c r="J231" s="43">
        <v>1826.3323136493452</v>
      </c>
      <c r="K231" s="43">
        <v>1976.3665742922014</v>
      </c>
      <c r="L231" s="43">
        <v>2097.745524966123</v>
      </c>
      <c r="M231" s="43">
        <v>2186.4905916131343</v>
      </c>
      <c r="N231" s="43">
        <v>2272.6622723630057</v>
      </c>
      <c r="O231" s="43">
        <v>2357.0669213319711</v>
      </c>
      <c r="P231" s="43">
        <v>2438.8710027159545</v>
      </c>
      <c r="R231" s="109"/>
      <c r="S231" s="109"/>
    </row>
    <row r="232" spans="1:19" x14ac:dyDescent="0.2">
      <c r="A232" s="32" t="s">
        <v>100</v>
      </c>
      <c r="B232" s="44">
        <v>5.3800359588828117E-2</v>
      </c>
      <c r="C232" s="44">
        <v>9.620625787350523E-2</v>
      </c>
      <c r="D232" s="44">
        <v>0.11024502708327577</v>
      </c>
      <c r="E232" s="44">
        <v>7.7613914226598357E-2</v>
      </c>
      <c r="F232" s="44">
        <v>1.5349056975954456E-2</v>
      </c>
      <c r="G232" s="44">
        <v>9.1241419925017553E-2</v>
      </c>
      <c r="H232" s="44">
        <v>8.9484551760869557E-2</v>
      </c>
      <c r="I232" s="44">
        <v>9.6614418613358399E-2</v>
      </c>
      <c r="J232" s="44">
        <v>2.4265443460617542E-2</v>
      </c>
      <c r="K232" s="44">
        <v>8.2150580987673916E-2</v>
      </c>
      <c r="L232" s="44">
        <v>6.1415201133621311E-2</v>
      </c>
      <c r="M232" s="44">
        <v>4.2304972452959611E-2</v>
      </c>
      <c r="N232" s="44">
        <v>3.9410954284645028E-2</v>
      </c>
      <c r="O232" s="44">
        <v>3.7139107730778331E-2</v>
      </c>
      <c r="P232" s="44">
        <v>3.4705879855865929E-2</v>
      </c>
      <c r="R232" s="109"/>
      <c r="S232" s="109"/>
    </row>
    <row r="233" spans="1:19" x14ac:dyDescent="0.2">
      <c r="A233" s="32" t="s">
        <v>101</v>
      </c>
      <c r="B233" s="44">
        <v>3.6854686892030308E-2</v>
      </c>
      <c r="C233" s="44">
        <v>4.1475659171223533E-2</v>
      </c>
      <c r="D233" s="44">
        <v>5.9150006330523919E-2</v>
      </c>
      <c r="E233" s="44">
        <v>4.9451445497032065E-2</v>
      </c>
      <c r="F233" s="44">
        <v>1.3797114090877249E-2</v>
      </c>
      <c r="G233" s="44">
        <v>1.933490699078555E-2</v>
      </c>
      <c r="H233" s="44">
        <v>-9.3626842718184333E-2</v>
      </c>
      <c r="I233" s="44">
        <v>-3.1755067625803934E-2</v>
      </c>
      <c r="J233" s="44">
        <v>4.7247545326043694E-2</v>
      </c>
      <c r="K233" s="44">
        <v>3.9117584356231916E-2</v>
      </c>
      <c r="L233" s="44">
        <v>2.6975774504548244E-2</v>
      </c>
      <c r="M233" s="44">
        <v>2.4182832582310132E-2</v>
      </c>
      <c r="N233" s="44">
        <v>2.237075839167213E-2</v>
      </c>
      <c r="O233" s="44">
        <v>2.038606755925465E-2</v>
      </c>
      <c r="P233" s="44">
        <v>1.7992143924276061E-2</v>
      </c>
      <c r="R233" s="109"/>
      <c r="S233" s="109"/>
    </row>
    <row r="234" spans="1:19" x14ac:dyDescent="0.2">
      <c r="A234" s="32" t="s">
        <v>102</v>
      </c>
      <c r="B234" s="44">
        <v>3.0250023850344032E-2</v>
      </c>
      <c r="C234" s="44">
        <v>4.9741644023326259E-2</v>
      </c>
      <c r="D234" s="44">
        <v>4.3931368753607813E-2</v>
      </c>
      <c r="E234" s="44">
        <v>3.4976263979897837E-2</v>
      </c>
      <c r="F234" s="44">
        <v>1.4545794665475897E-2</v>
      </c>
      <c r="G234" s="44">
        <v>5.3583747000000237E-2</v>
      </c>
      <c r="H234" s="44">
        <v>-6.8943717295214535E-3</v>
      </c>
      <c r="I234" s="44">
        <v>-6.7944035730125307E-3</v>
      </c>
      <c r="J234" s="44">
        <v>7.7099793193167176E-3</v>
      </c>
      <c r="K234" s="44">
        <v>1.7732615769747939E-2</v>
      </c>
      <c r="L234" s="44">
        <v>1.6405754801012362E-2</v>
      </c>
      <c r="M234" s="44">
        <v>1.8447919470738983E-2</v>
      </c>
      <c r="N234" s="44">
        <v>1.9085540343222851E-2</v>
      </c>
      <c r="O234" s="44">
        <v>1.8970584348077413E-2</v>
      </c>
      <c r="P234" s="44">
        <v>1.8174951144449114E-2</v>
      </c>
      <c r="R234" s="109"/>
      <c r="S234" s="109"/>
    </row>
    <row r="235" spans="1:19" x14ac:dyDescent="0.2">
      <c r="A235" s="32" t="s">
        <v>103</v>
      </c>
      <c r="B235" s="44">
        <v>0.04</v>
      </c>
      <c r="C235" s="44">
        <v>2.8999999999999998E-2</v>
      </c>
      <c r="D235" s="44">
        <v>2.2000000000000002E-2</v>
      </c>
      <c r="E235" s="44">
        <v>0.02</v>
      </c>
      <c r="F235" s="44">
        <v>2.5750000000000002E-2</v>
      </c>
      <c r="G235" s="44">
        <v>2.7999999999999997E-2</v>
      </c>
      <c r="H235" s="44">
        <v>2.2000000000000002E-2</v>
      </c>
      <c r="I235" s="44">
        <v>2.6000000000000002E-2</v>
      </c>
      <c r="J235" s="44">
        <v>2.6000000000000002E-2</v>
      </c>
      <c r="K235" s="44">
        <v>2.6749969130050882E-2</v>
      </c>
      <c r="L235" s="44">
        <v>2.7401682659695732E-2</v>
      </c>
      <c r="M235" s="44">
        <v>2.6702683072876085E-2</v>
      </c>
      <c r="N235" s="44">
        <v>2.6235910321603436E-2</v>
      </c>
      <c r="O235" s="44">
        <v>2.5785592795903201E-2</v>
      </c>
      <c r="P235" s="44">
        <v>2.5448800231299421E-2</v>
      </c>
      <c r="R235" s="109"/>
      <c r="S235" s="109"/>
    </row>
    <row r="236" spans="1:19" x14ac:dyDescent="0.2">
      <c r="A236" s="32" t="s">
        <v>104</v>
      </c>
      <c r="B236" s="43">
        <v>10578.827000000001</v>
      </c>
      <c r="C236" s="43">
        <v>10610.055</v>
      </c>
      <c r="D236" s="43">
        <v>10649.800000000001</v>
      </c>
      <c r="E236" s="43">
        <v>10693.939000000002</v>
      </c>
      <c r="F236" s="43">
        <v>10701.777000000002</v>
      </c>
      <c r="G236" s="43">
        <v>10516.707000000002</v>
      </c>
      <c r="H236" s="43">
        <v>10827.529000000004</v>
      </c>
      <c r="I236" s="43">
        <v>10900.555000000004</v>
      </c>
      <c r="J236" s="43">
        <v>10909.500000000004</v>
      </c>
      <c r="K236" s="43">
        <v>10895.520256064983</v>
      </c>
      <c r="L236" s="43">
        <v>10879.974772029207</v>
      </c>
      <c r="M236" s="43">
        <v>10862.737305906878</v>
      </c>
      <c r="N236" s="43">
        <v>10844.665438165832</v>
      </c>
      <c r="O236" s="43">
        <v>10826.483287111101</v>
      </c>
      <c r="P236" s="43">
        <v>10807.767878193945</v>
      </c>
    </row>
    <row r="237" spans="1:19" x14ac:dyDescent="0.2">
      <c r="A237" s="32" t="s">
        <v>106</v>
      </c>
      <c r="B237" s="43">
        <v>2.4584432695337455</v>
      </c>
      <c r="C237" s="43">
        <v>1.4165059986255413</v>
      </c>
      <c r="D237" s="43">
        <v>2.4907063736773698</v>
      </c>
      <c r="E237" s="43">
        <v>2.7556135591739133</v>
      </c>
      <c r="F237" s="43">
        <v>3.2921040268776847</v>
      </c>
      <c r="G237" s="43">
        <v>2.9913287704434319</v>
      </c>
      <c r="H237" s="43">
        <v>3.5801329106305868</v>
      </c>
      <c r="I237" s="43">
        <v>4.7626978905654438</v>
      </c>
      <c r="J237" s="43">
        <v>5.3466200667979971</v>
      </c>
      <c r="K237" s="43">
        <v>8.8052146276326066</v>
      </c>
      <c r="L237" s="43">
        <v>8.9498502068463104</v>
      </c>
      <c r="M237" s="43">
        <v>3.6341106033712105</v>
      </c>
      <c r="N237" s="43">
        <v>3.4974522729001354</v>
      </c>
      <c r="O237" s="43">
        <v>4.0964252310778067</v>
      </c>
      <c r="P237" s="43">
        <v>3.5087293945936304</v>
      </c>
    </row>
    <row r="238" spans="1:19" x14ac:dyDescent="0.2">
      <c r="A238" s="32" t="s">
        <v>107</v>
      </c>
      <c r="B238" s="44">
        <v>1.3854864032799199E-2</v>
      </c>
      <c r="C238" s="44">
        <v>7.2965134222955528E-3</v>
      </c>
      <c r="D238" s="44">
        <v>1.180346644873463E-2</v>
      </c>
      <c r="E238" s="44">
        <v>1.2214201082377323E-2</v>
      </c>
      <c r="F238" s="44">
        <v>1.5253046102981286E-2</v>
      </c>
      <c r="G238" s="44">
        <v>1.2559159954102533E-2</v>
      </c>
      <c r="H238" s="44">
        <v>1.2955242362735762E-2</v>
      </c>
      <c r="I238" s="44">
        <v>1.5566181996935472E-2</v>
      </c>
      <c r="J238" s="44">
        <v>1.7405359317491917E-2</v>
      </c>
      <c r="K238" s="44">
        <v>2.6802886893330061E-2</v>
      </c>
      <c r="L238" s="44">
        <v>2.5719197158996565E-2</v>
      </c>
      <c r="M238" s="44">
        <v>1.0014116967027861E-2</v>
      </c>
      <c r="N238" s="44">
        <v>9.2697391080906032E-3</v>
      </c>
      <c r="O238" s="44">
        <v>1.0453137921940834E-2</v>
      </c>
      <c r="P238" s="44">
        <v>8.6286451820228472E-3</v>
      </c>
    </row>
    <row r="239" spans="1:19" x14ac:dyDescent="0.2">
      <c r="A239" s="32" t="s">
        <v>108</v>
      </c>
      <c r="B239" s="43">
        <v>1018.4730000000001</v>
      </c>
      <c r="C239" s="43">
        <v>1019.773</v>
      </c>
      <c r="D239" s="43">
        <v>1043.33</v>
      </c>
      <c r="E239" s="43">
        <v>1058.7759999999998</v>
      </c>
      <c r="F239" s="43">
        <v>1068.4459999999997</v>
      </c>
      <c r="G239" s="43">
        <v>1098.8509999999997</v>
      </c>
      <c r="H239" s="43">
        <v>1124.4059999999997</v>
      </c>
      <c r="I239" s="43">
        <v>1136.4099999999999</v>
      </c>
      <c r="J239" s="43">
        <v>1144.1300279643656</v>
      </c>
      <c r="K239" s="43">
        <v>1152.6004773202073</v>
      </c>
      <c r="L239" s="43">
        <v>1165.2386818201505</v>
      </c>
      <c r="M239" s="43">
        <v>1180.5411368426596</v>
      </c>
      <c r="N239" s="43">
        <v>1195.5512993225616</v>
      </c>
      <c r="O239" s="43">
        <v>1210.2655276766411</v>
      </c>
      <c r="P239" s="43">
        <v>1223.7994419323022</v>
      </c>
    </row>
    <row r="240" spans="1:19" x14ac:dyDescent="0.2">
      <c r="A240" s="32" t="s">
        <v>109</v>
      </c>
      <c r="B240" s="44">
        <v>1.7406757717911781E-2</v>
      </c>
      <c r="C240" s="44">
        <v>1.2764206807640566E-3</v>
      </c>
      <c r="D240" s="44">
        <v>2.3100238974752108E-2</v>
      </c>
      <c r="E240" s="44">
        <v>1.4804520142236877E-2</v>
      </c>
      <c r="F240" s="44">
        <v>9.1331877564282404E-3</v>
      </c>
      <c r="G240" s="44">
        <v>2.8457217304384219E-2</v>
      </c>
      <c r="H240" s="44">
        <v>2.3256110246066219E-2</v>
      </c>
      <c r="I240" s="44">
        <v>1.0675859075814254E-2</v>
      </c>
      <c r="J240" s="44">
        <v>6.7933474400665439E-3</v>
      </c>
      <c r="K240" s="44">
        <v>7.4033974712752748E-3</v>
      </c>
      <c r="L240" s="44">
        <v>1.0964948174693623E-2</v>
      </c>
      <c r="M240" s="44">
        <v>1.3132463984637077E-2</v>
      </c>
      <c r="N240" s="44">
        <v>1.2714645861512608E-2</v>
      </c>
      <c r="O240" s="44">
        <v>1.2307483888325921E-2</v>
      </c>
      <c r="P240" s="44">
        <v>1.1182599145529881E-2</v>
      </c>
    </row>
    <row r="241" spans="1:16" x14ac:dyDescent="0.2">
      <c r="A241" s="32" t="s">
        <v>110</v>
      </c>
      <c r="B241" s="136">
        <v>7.7681749382941354E-2</v>
      </c>
      <c r="C241" s="136">
        <v>7.5971199851691762E-2</v>
      </c>
      <c r="D241" s="136">
        <v>8.7903976755343879E-2</v>
      </c>
      <c r="E241" s="136">
        <v>8.8388717561323354E-2</v>
      </c>
      <c r="F241" s="136">
        <v>9.2357129355428044E-2</v>
      </c>
      <c r="G241" s="136">
        <v>9.7163078470681258E-2</v>
      </c>
      <c r="H241" s="136">
        <v>0.17070505911654368</v>
      </c>
      <c r="I241" s="136">
        <v>0.18438494176705425</v>
      </c>
      <c r="J241" s="136">
        <v>0.17572996101815616</v>
      </c>
      <c r="K241" s="136">
        <v>0.17510485323415395</v>
      </c>
      <c r="L241" s="136">
        <v>0.17375606921344</v>
      </c>
      <c r="M241" s="136">
        <v>0.17495842253805466</v>
      </c>
      <c r="N241" s="136">
        <v>0.17749428795461034</v>
      </c>
      <c r="O241" s="136">
        <v>0.1802669923335791</v>
      </c>
      <c r="P241" s="136">
        <v>0.18305377794603137</v>
      </c>
    </row>
    <row r="242" spans="1:16" x14ac:dyDescent="0.2">
      <c r="A242" s="32" t="s">
        <v>111</v>
      </c>
      <c r="B242" s="44">
        <v>-4.8325492142864634E-2</v>
      </c>
      <c r="C242" s="44">
        <v>-2.2019966656739887E-2</v>
      </c>
      <c r="D242" s="44">
        <v>0.15706974388909023</v>
      </c>
      <c r="E242" s="44">
        <v>5.5144354541389884E-3</v>
      </c>
      <c r="F242" s="44">
        <v>4.4897266343427056E-2</v>
      </c>
      <c r="G242" s="44">
        <v>5.203657962081043E-2</v>
      </c>
      <c r="H242" s="44">
        <v>0.75689224552568657</v>
      </c>
      <c r="I242" s="44">
        <v>8.0137535005163851E-2</v>
      </c>
      <c r="J242" s="44">
        <v>-4.6939737409969706E-2</v>
      </c>
      <c r="K242" s="44">
        <v>-3.5572066389841783E-3</v>
      </c>
      <c r="L242" s="44">
        <v>-7.7027220879499758E-3</v>
      </c>
      <c r="M242" s="44">
        <v>6.9197774216318564E-3</v>
      </c>
      <c r="N242" s="44">
        <v>1.4494103111864165E-2</v>
      </c>
      <c r="O242" s="44">
        <v>1.5621372444829307E-2</v>
      </c>
      <c r="P242" s="44">
        <v>1.545921178567955E-2</v>
      </c>
    </row>
    <row r="244" spans="1:16" x14ac:dyDescent="0.2">
      <c r="A244" s="86" t="s">
        <v>77</v>
      </c>
    </row>
    <row r="245" spans="1:16" x14ac:dyDescent="0.2">
      <c r="A245" s="86" t="s">
        <v>41</v>
      </c>
    </row>
    <row r="246" spans="1:16" x14ac:dyDescent="0.2">
      <c r="A246" s="86" t="s">
        <v>81</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40CE7-4CDF-4EF5-9F96-B3CBCC8EF1CF}">
  <sheetPr>
    <tabColor rgb="FFFF2D9B"/>
  </sheetPr>
  <dimension ref="A1:U246"/>
  <sheetViews>
    <sheetView zoomScale="85" zoomScaleNormal="85" workbookViewId="0">
      <pane ySplit="1" topLeftCell="A2" activePane="bottomLeft" state="frozen"/>
      <selection pane="bottomLeft" activeCell="E248" sqref="E248"/>
    </sheetView>
  </sheetViews>
  <sheetFormatPr defaultColWidth="8.875" defaultRowHeight="15" x14ac:dyDescent="0.2"/>
  <cols>
    <col min="1" max="1" width="68.47265625" style="47" bestFit="1" customWidth="1"/>
    <col min="2" max="16" width="13.046875" style="47" customWidth="1"/>
    <col min="17" max="17" width="8.875" style="47"/>
    <col min="18" max="19" width="24.48046875" style="47" customWidth="1"/>
    <col min="20" max="16384" width="8.875" style="47"/>
  </cols>
  <sheetData>
    <row r="1" spans="1:21" s="48" customFormat="1" ht="24" customHeight="1" x14ac:dyDescent="0.2">
      <c r="A1" s="51" t="s">
        <v>0</v>
      </c>
      <c r="B1" s="52">
        <v>2016</v>
      </c>
      <c r="C1" s="52">
        <v>2017</v>
      </c>
      <c r="D1" s="52">
        <v>2018</v>
      </c>
      <c r="E1" s="52">
        <v>2019</v>
      </c>
      <c r="F1" s="52">
        <v>2020</v>
      </c>
      <c r="G1" s="52">
        <v>2021</v>
      </c>
      <c r="H1" s="52">
        <v>2022</v>
      </c>
      <c r="I1" s="52">
        <v>2023</v>
      </c>
      <c r="J1" s="52">
        <v>2024</v>
      </c>
      <c r="K1" s="52" t="s">
        <v>42</v>
      </c>
      <c r="L1" s="52" t="s">
        <v>1</v>
      </c>
      <c r="M1" s="52" t="s">
        <v>2</v>
      </c>
      <c r="N1" s="52" t="s">
        <v>43</v>
      </c>
      <c r="O1" s="52" t="s">
        <v>44</v>
      </c>
      <c r="P1" s="52" t="s">
        <v>45</v>
      </c>
      <c r="Q1" s="52"/>
      <c r="R1" s="53" t="s">
        <v>78</v>
      </c>
      <c r="S1" s="53" t="s">
        <v>79</v>
      </c>
      <c r="T1" s="54"/>
      <c r="U1" s="54"/>
    </row>
    <row r="2" spans="1:21" s="49" customFormat="1" x14ac:dyDescent="0.2">
      <c r="A2" s="55" t="s">
        <v>3</v>
      </c>
      <c r="B2" s="56">
        <f>B4+B6+B8</f>
        <v>2841.1602105371999</v>
      </c>
      <c r="C2" s="56">
        <f t="shared" ref="C2:P2" si="0">C4+C6+C8</f>
        <v>2880.9094888238005</v>
      </c>
      <c r="D2" s="56">
        <f t="shared" si="0"/>
        <v>2980.0745134693002</v>
      </c>
      <c r="E2" s="56">
        <f t="shared" si="0"/>
        <v>3161.2676205570992</v>
      </c>
      <c r="F2" s="56">
        <f t="shared" si="0"/>
        <v>3231.4134603254997</v>
      </c>
      <c r="G2" s="56">
        <f t="shared" si="0"/>
        <v>3534.7259691454997</v>
      </c>
      <c r="H2" s="56">
        <f t="shared" si="0"/>
        <v>3788.9869821409002</v>
      </c>
      <c r="I2" s="56">
        <f t="shared" si="0"/>
        <v>4091.6888133887996</v>
      </c>
      <c r="J2" s="56">
        <f t="shared" si="0"/>
        <v>4404.3002201563995</v>
      </c>
      <c r="K2" s="56">
        <f t="shared" si="0"/>
        <v>4639.942113197877</v>
      </c>
      <c r="L2" s="56">
        <f t="shared" si="0"/>
        <v>4880.9107702148303</v>
      </c>
      <c r="M2" s="56">
        <f t="shared" si="0"/>
        <v>5116.2858816697844</v>
      </c>
      <c r="N2" s="56">
        <f t="shared" si="0"/>
        <v>5357.6228244443992</v>
      </c>
      <c r="O2" s="56">
        <f t="shared" si="0"/>
        <v>5603.7294582862369</v>
      </c>
      <c r="P2" s="56">
        <f t="shared" si="0"/>
        <v>5868.5537388368502</v>
      </c>
      <c r="R2" s="57">
        <f>(J2/D2)^(1/6)-1</f>
        <v>6.7271630131868765E-2</v>
      </c>
      <c r="S2" s="57">
        <f>(P2/J2)^(1/6)-1</f>
        <v>4.9000499810237352E-2</v>
      </c>
    </row>
    <row r="3" spans="1:21" s="49" customFormat="1" x14ac:dyDescent="0.2">
      <c r="A3" s="58" t="s">
        <v>4</v>
      </c>
      <c r="B3" s="59"/>
      <c r="C3" s="59">
        <f t="shared" ref="C3:P3" si="1">C2/B2-1</f>
        <v>1.3990509278279939E-2</v>
      </c>
      <c r="D3" s="59">
        <f t="shared" si="1"/>
        <v>3.4421430117884899E-2</v>
      </c>
      <c r="E3" s="59">
        <f t="shared" si="1"/>
        <v>6.0801535756520586E-2</v>
      </c>
      <c r="F3" s="59">
        <f t="shared" si="1"/>
        <v>2.2189149476702363E-2</v>
      </c>
      <c r="G3" s="59">
        <f t="shared" si="1"/>
        <v>9.3863726367422906E-2</v>
      </c>
      <c r="H3" s="59">
        <f t="shared" si="1"/>
        <v>7.1932312494613848E-2</v>
      </c>
      <c r="I3" s="59">
        <f t="shared" si="1"/>
        <v>7.9889910594747704E-2</v>
      </c>
      <c r="J3" s="59">
        <f t="shared" si="1"/>
        <v>7.6401559606555258E-2</v>
      </c>
      <c r="K3" s="59">
        <f t="shared" si="1"/>
        <v>5.3502686298053881E-2</v>
      </c>
      <c r="L3" s="59">
        <f t="shared" si="1"/>
        <v>5.1933548121546824E-2</v>
      </c>
      <c r="M3" s="59">
        <f t="shared" si="1"/>
        <v>4.8223604678721443E-2</v>
      </c>
      <c r="N3" s="59">
        <f t="shared" si="1"/>
        <v>4.7170339647996773E-2</v>
      </c>
      <c r="O3" s="59">
        <f t="shared" si="1"/>
        <v>4.5935789417456796E-2</v>
      </c>
      <c r="P3" s="59">
        <f t="shared" si="1"/>
        <v>4.7258577081914277E-2</v>
      </c>
      <c r="R3" s="60"/>
      <c r="S3" s="60"/>
    </row>
    <row r="4" spans="1:21" s="50" customFormat="1" x14ac:dyDescent="0.2">
      <c r="A4" s="61" t="s">
        <v>5</v>
      </c>
      <c r="B4" s="43">
        <v>588.95646299999999</v>
      </c>
      <c r="C4" s="43">
        <v>618.37798510000027</v>
      </c>
      <c r="D4" s="43">
        <v>652.9643047000003</v>
      </c>
      <c r="E4" s="43">
        <v>693.37724113631441</v>
      </c>
      <c r="F4" s="43">
        <v>720.76080875081641</v>
      </c>
      <c r="G4" s="43">
        <v>763.96636110465658</v>
      </c>
      <c r="H4" s="43">
        <v>811.89817162354132</v>
      </c>
      <c r="I4" s="43">
        <v>889.81159882690258</v>
      </c>
      <c r="J4" s="43">
        <v>964.54725559995461</v>
      </c>
      <c r="K4" s="43">
        <v>1023.7635800263449</v>
      </c>
      <c r="L4" s="43">
        <v>1083.17561440246</v>
      </c>
      <c r="M4" s="43">
        <v>1139.3837426891291</v>
      </c>
      <c r="N4" s="43">
        <v>1199.5730687069497</v>
      </c>
      <c r="O4" s="43">
        <v>1262.0845658237781</v>
      </c>
      <c r="P4" s="43">
        <v>1329.7312193366633</v>
      </c>
      <c r="R4" s="57">
        <f>(J4/D4)^(1/6)-1</f>
        <v>6.7183277953718035E-2</v>
      </c>
      <c r="S4" s="57">
        <f>(P4/J4)^(1/6)-1</f>
        <v>5.4969877091547437E-2</v>
      </c>
    </row>
    <row r="5" spans="1:21" s="50" customFormat="1" x14ac:dyDescent="0.2">
      <c r="A5" s="62" t="s">
        <v>4</v>
      </c>
      <c r="B5" s="63"/>
      <c r="C5" s="63">
        <f t="shared" ref="C5:P5" si="2">C4/B4-1</f>
        <v>4.9955342963950544E-2</v>
      </c>
      <c r="D5" s="63">
        <f t="shared" si="2"/>
        <v>5.5930709749324237E-2</v>
      </c>
      <c r="E5" s="63">
        <f t="shared" si="2"/>
        <v>6.1891494137465308E-2</v>
      </c>
      <c r="F5" s="63">
        <f t="shared" si="2"/>
        <v>3.9493029176477679E-2</v>
      </c>
      <c r="G5" s="63">
        <f t="shared" si="2"/>
        <v>5.9944369656726559E-2</v>
      </c>
      <c r="H5" s="63">
        <f t="shared" si="2"/>
        <v>6.2740734355865913E-2</v>
      </c>
      <c r="I5" s="63">
        <f t="shared" si="2"/>
        <v>9.5964530930718661E-2</v>
      </c>
      <c r="J5" s="63">
        <f t="shared" si="2"/>
        <v>8.3990427717036908E-2</v>
      </c>
      <c r="K5" s="63">
        <f t="shared" si="2"/>
        <v>6.1392870160163815E-2</v>
      </c>
      <c r="L5" s="63">
        <f t="shared" si="2"/>
        <v>5.8032963406049465E-2</v>
      </c>
      <c r="M5" s="63">
        <f t="shared" si="2"/>
        <v>5.1891980893307599E-2</v>
      </c>
      <c r="N5" s="63">
        <f t="shared" si="2"/>
        <v>5.2826211014529667E-2</v>
      </c>
      <c r="O5" s="63">
        <f t="shared" si="2"/>
        <v>5.2111454272819824E-2</v>
      </c>
      <c r="P5" s="63">
        <f t="shared" si="2"/>
        <v>5.3599144894646011E-2</v>
      </c>
      <c r="R5" s="64"/>
      <c r="S5" s="64"/>
    </row>
    <row r="6" spans="1:21" s="50" customFormat="1" x14ac:dyDescent="0.2">
      <c r="A6" s="61" t="s">
        <v>6</v>
      </c>
      <c r="B6" s="43">
        <v>1368.1529043999999</v>
      </c>
      <c r="C6" s="43">
        <v>1340.4637879000002</v>
      </c>
      <c r="D6" s="43">
        <v>1360.8355936000003</v>
      </c>
      <c r="E6" s="43">
        <v>1446.9223071000001</v>
      </c>
      <c r="F6" s="43">
        <v>1484.4377393</v>
      </c>
      <c r="G6" s="43">
        <v>1708.6620491000003</v>
      </c>
      <c r="H6" s="43">
        <v>1846.5735906000009</v>
      </c>
      <c r="I6" s="43">
        <v>1975.7972239000005</v>
      </c>
      <c r="J6" s="43">
        <v>2126.0431002000005</v>
      </c>
      <c r="K6" s="43">
        <v>2207.5707346159534</v>
      </c>
      <c r="L6" s="43">
        <v>2297.1397750553742</v>
      </c>
      <c r="M6" s="43">
        <v>2383.4956287174464</v>
      </c>
      <c r="N6" s="43">
        <v>2465.3923370400184</v>
      </c>
      <c r="O6" s="43">
        <v>2543.7632713737567</v>
      </c>
      <c r="P6" s="43">
        <v>2628.5456581926383</v>
      </c>
      <c r="R6" s="57">
        <f>(J6/D6)^(1/6)-1</f>
        <v>7.7195178239757745E-2</v>
      </c>
      <c r="S6" s="57">
        <f>(P6/J6)^(1/6)-1</f>
        <v>3.5994007779211579E-2</v>
      </c>
    </row>
    <row r="7" spans="1:21" s="50" customFormat="1" x14ac:dyDescent="0.2">
      <c r="A7" s="62" t="s">
        <v>4</v>
      </c>
      <c r="B7" s="63"/>
      <c r="C7" s="63">
        <f t="shared" ref="C7:P7" si="3">C6/B6-1</f>
        <v>-2.0238320154824185E-2</v>
      </c>
      <c r="D7" s="63">
        <f t="shared" si="3"/>
        <v>1.5197580034530533E-2</v>
      </c>
      <c r="E7" s="63">
        <f t="shared" si="3"/>
        <v>6.3260186538965479E-2</v>
      </c>
      <c r="F7" s="63">
        <f t="shared" si="3"/>
        <v>2.592774471435888E-2</v>
      </c>
      <c r="G7" s="63">
        <f t="shared" si="3"/>
        <v>0.15104999277755859</v>
      </c>
      <c r="H7" s="63">
        <f t="shared" si="3"/>
        <v>8.0713176471990167E-2</v>
      </c>
      <c r="I7" s="63">
        <f t="shared" si="3"/>
        <v>6.9980223890243831E-2</v>
      </c>
      <c r="J7" s="63">
        <f t="shared" si="3"/>
        <v>7.6043166010442809E-2</v>
      </c>
      <c r="K7" s="63">
        <f t="shared" si="3"/>
        <v>3.834712212950131E-2</v>
      </c>
      <c r="L7" s="63">
        <f t="shared" si="3"/>
        <v>4.0573576662766841E-2</v>
      </c>
      <c r="M7" s="63">
        <f t="shared" si="3"/>
        <v>3.7592772803731744E-2</v>
      </c>
      <c r="N7" s="63">
        <f t="shared" si="3"/>
        <v>3.435991546862649E-2</v>
      </c>
      <c r="O7" s="63">
        <f t="shared" si="3"/>
        <v>3.1788422944411199E-2</v>
      </c>
      <c r="P7" s="63">
        <f t="shared" si="3"/>
        <v>3.3329511347608642E-2</v>
      </c>
      <c r="R7" s="64"/>
      <c r="S7" s="64"/>
    </row>
    <row r="8" spans="1:21" s="50" customFormat="1" x14ac:dyDescent="0.2">
      <c r="A8" s="61" t="s">
        <v>7</v>
      </c>
      <c r="B8" s="43">
        <v>884.05084313719999</v>
      </c>
      <c r="C8" s="43">
        <v>922.06771582379974</v>
      </c>
      <c r="D8" s="43">
        <v>966.27461516929941</v>
      </c>
      <c r="E8" s="43">
        <v>1020.9680723207848</v>
      </c>
      <c r="F8" s="43">
        <v>1026.214912274683</v>
      </c>
      <c r="G8" s="43">
        <v>1062.0975589408426</v>
      </c>
      <c r="H8" s="43">
        <v>1130.5152199173579</v>
      </c>
      <c r="I8" s="43">
        <v>1226.0799906618965</v>
      </c>
      <c r="J8" s="43">
        <v>1313.7098643564443</v>
      </c>
      <c r="K8" s="43">
        <v>1408.6077985555787</v>
      </c>
      <c r="L8" s="43">
        <v>1500.5953807569954</v>
      </c>
      <c r="M8" s="43">
        <v>1593.4065102632094</v>
      </c>
      <c r="N8" s="43">
        <v>1692.6574186974315</v>
      </c>
      <c r="O8" s="43">
        <v>1797.8816210887019</v>
      </c>
      <c r="P8" s="43">
        <v>1910.2768613075482</v>
      </c>
      <c r="R8" s="57">
        <f>(J8/D8)^(1/6)-1</f>
        <v>5.2526764943408022E-2</v>
      </c>
      <c r="S8" s="57">
        <f>(P8/J8)^(1/6)-1</f>
        <v>6.4386789474657924E-2</v>
      </c>
    </row>
    <row r="9" spans="1:21" s="50" customFormat="1" x14ac:dyDescent="0.2">
      <c r="A9" s="62" t="s">
        <v>4</v>
      </c>
      <c r="B9" s="63"/>
      <c r="C9" s="63">
        <f t="shared" ref="C9:P9" si="4">C8/B8-1</f>
        <v>4.3003038775112357E-2</v>
      </c>
      <c r="D9" s="63">
        <f t="shared" si="4"/>
        <v>4.7943224328165668E-2</v>
      </c>
      <c r="E9" s="63">
        <f t="shared" si="4"/>
        <v>5.6602394694910574E-2</v>
      </c>
      <c r="F9" s="63">
        <f t="shared" si="4"/>
        <v>5.139083283937973E-3</v>
      </c>
      <c r="G9" s="63">
        <f t="shared" si="4"/>
        <v>3.4966015633726366E-2</v>
      </c>
      <c r="H9" s="63">
        <f t="shared" si="4"/>
        <v>6.4417491971964891E-2</v>
      </c>
      <c r="I9" s="63">
        <f t="shared" si="4"/>
        <v>8.4532051458382496E-2</v>
      </c>
      <c r="J9" s="63">
        <f t="shared" si="4"/>
        <v>7.147157963750872E-2</v>
      </c>
      <c r="K9" s="63">
        <f t="shared" si="4"/>
        <v>7.223660016104283E-2</v>
      </c>
      <c r="L9" s="63">
        <f t="shared" si="4"/>
        <v>6.5303899563627921E-2</v>
      </c>
      <c r="M9" s="63">
        <f t="shared" si="4"/>
        <v>6.1849536988041409E-2</v>
      </c>
      <c r="N9" s="63">
        <f t="shared" si="4"/>
        <v>6.2288504405462186E-2</v>
      </c>
      <c r="O9" s="63">
        <f t="shared" si="4"/>
        <v>6.2165090956352254E-2</v>
      </c>
      <c r="P9" s="63">
        <f t="shared" si="4"/>
        <v>6.2515373037066668E-2</v>
      </c>
      <c r="R9" s="64"/>
      <c r="S9" s="64"/>
    </row>
    <row r="10" spans="1:21" s="50" customFormat="1" ht="17.100000000000001" customHeight="1" x14ac:dyDescent="0.2">
      <c r="B10" s="65"/>
      <c r="C10" s="65"/>
      <c r="D10" s="65"/>
      <c r="E10" s="65"/>
      <c r="F10" s="65"/>
      <c r="G10" s="65"/>
      <c r="H10" s="65"/>
      <c r="I10" s="65"/>
      <c r="J10" s="65"/>
      <c r="K10" s="65"/>
      <c r="L10" s="65"/>
      <c r="M10" s="65"/>
      <c r="N10" s="65"/>
      <c r="O10" s="65"/>
      <c r="P10" s="65"/>
      <c r="R10" s="64"/>
      <c r="S10" s="64"/>
    </row>
    <row r="11" spans="1:21" s="50" customFormat="1" x14ac:dyDescent="0.2">
      <c r="A11" s="55" t="s">
        <v>8</v>
      </c>
      <c r="B11" s="56">
        <v>705.71633229999998</v>
      </c>
      <c r="C11" s="56">
        <v>643.03268789999993</v>
      </c>
      <c r="D11" s="56">
        <v>621.63181619999989</v>
      </c>
      <c r="E11" s="56">
        <v>667.24369079999974</v>
      </c>
      <c r="F11" s="56">
        <v>606.70364579999989</v>
      </c>
      <c r="G11" s="56">
        <v>737.95701410000015</v>
      </c>
      <c r="H11" s="56">
        <v>813.01399760000015</v>
      </c>
      <c r="I11" s="56">
        <v>831.78263790000005</v>
      </c>
      <c r="J11" s="56">
        <v>865.83318519999989</v>
      </c>
      <c r="K11" s="56">
        <v>880.30646887002183</v>
      </c>
      <c r="L11" s="56">
        <v>906.34501206292725</v>
      </c>
      <c r="M11" s="56">
        <v>931.68328080693732</v>
      </c>
      <c r="N11" s="56">
        <v>951.78991364272792</v>
      </c>
      <c r="O11" s="56">
        <v>973.87707451963013</v>
      </c>
      <c r="P11" s="56">
        <v>998.67813133447748</v>
      </c>
      <c r="R11" s="57">
        <f>(J11/D11)^(1/6)-1</f>
        <v>5.6777355793638407E-2</v>
      </c>
      <c r="S11" s="57">
        <f>(P11/J11)^(1/6)-1</f>
        <v>2.4075286045257327E-2</v>
      </c>
    </row>
    <row r="12" spans="1:21" s="50" customFormat="1" x14ac:dyDescent="0.2">
      <c r="A12" s="58" t="s">
        <v>4</v>
      </c>
      <c r="B12" s="59"/>
      <c r="C12" s="59">
        <f t="shared" ref="C12:P12" si="5">C11/B11-1</f>
        <v>-8.8822720307049963E-2</v>
      </c>
      <c r="D12" s="59">
        <f t="shared" si="5"/>
        <v>-3.328115677896637E-2</v>
      </c>
      <c r="E12" s="59">
        <f t="shared" si="5"/>
        <v>7.3374421017931013E-2</v>
      </c>
      <c r="F12" s="59">
        <f t="shared" si="5"/>
        <v>-9.0731536071048668E-2</v>
      </c>
      <c r="G12" s="59">
        <f t="shared" si="5"/>
        <v>0.21633851915778335</v>
      </c>
      <c r="H12" s="59">
        <f t="shared" si="5"/>
        <v>0.10170915387468504</v>
      </c>
      <c r="I12" s="59">
        <f t="shared" si="5"/>
        <v>2.3085260961563492E-2</v>
      </c>
      <c r="J12" s="59">
        <f t="shared" si="5"/>
        <v>4.0936833432791087E-2</v>
      </c>
      <c r="K12" s="59">
        <f t="shared" si="5"/>
        <v>1.6716018648186504E-2</v>
      </c>
      <c r="L12" s="59">
        <f t="shared" si="5"/>
        <v>2.9578952459964336E-2</v>
      </c>
      <c r="M12" s="59">
        <f t="shared" si="5"/>
        <v>2.7956537970389217E-2</v>
      </c>
      <c r="N12" s="59">
        <f t="shared" si="5"/>
        <v>2.1580974189400637E-2</v>
      </c>
      <c r="O12" s="59">
        <f t="shared" si="5"/>
        <v>2.3205920298492444E-2</v>
      </c>
      <c r="P12" s="59">
        <f t="shared" si="5"/>
        <v>2.5466311368999683E-2</v>
      </c>
      <c r="R12" s="64"/>
      <c r="S12" s="64"/>
    </row>
    <row r="13" spans="1:21" s="50" customFormat="1" x14ac:dyDescent="0.2">
      <c r="B13" s="65"/>
      <c r="C13" s="65"/>
      <c r="D13" s="65"/>
      <c r="E13" s="65"/>
      <c r="F13" s="65"/>
      <c r="G13" s="65"/>
      <c r="H13" s="65"/>
      <c r="I13" s="65"/>
      <c r="J13" s="65"/>
      <c r="K13" s="65"/>
      <c r="L13" s="65"/>
      <c r="M13" s="65"/>
      <c r="N13" s="65"/>
      <c r="O13" s="65"/>
      <c r="P13" s="65"/>
      <c r="R13" s="64"/>
      <c r="S13" s="64"/>
    </row>
    <row r="14" spans="1:21" s="50" customFormat="1" x14ac:dyDescent="0.2">
      <c r="A14" s="55" t="s">
        <v>46</v>
      </c>
      <c r="B14" s="56">
        <v>87.707092799999998</v>
      </c>
      <c r="C14" s="56">
        <v>99.180545540000011</v>
      </c>
      <c r="D14" s="56">
        <v>110.23411480000004</v>
      </c>
      <c r="E14" s="56">
        <v>122.97689089999999</v>
      </c>
      <c r="F14" s="56">
        <v>118.5902248</v>
      </c>
      <c r="G14" s="56">
        <v>125.40649049999999</v>
      </c>
      <c r="H14" s="56">
        <v>138.8916008999999</v>
      </c>
      <c r="I14" s="56">
        <v>159.51688789999994</v>
      </c>
      <c r="J14" s="56">
        <v>173.85971299999997</v>
      </c>
      <c r="K14" s="56">
        <v>186.08691232519192</v>
      </c>
      <c r="L14" s="56">
        <v>198.52375025371677</v>
      </c>
      <c r="M14" s="56">
        <v>207.56227040187707</v>
      </c>
      <c r="N14" s="56">
        <v>215.96691751209144</v>
      </c>
      <c r="O14" s="56">
        <v>225.38980943015133</v>
      </c>
      <c r="P14" s="56">
        <v>234.54884302972084</v>
      </c>
      <c r="R14" s="57">
        <f>(J14/D14)^(1/6)-1</f>
        <v>7.889825307277043E-2</v>
      </c>
      <c r="S14" s="57">
        <f>(P14/J14)^(1/6)-1</f>
        <v>5.1168624365151905E-2</v>
      </c>
    </row>
    <row r="15" spans="1:21" s="50" customFormat="1" x14ac:dyDescent="0.2">
      <c r="A15" s="58" t="s">
        <v>4</v>
      </c>
      <c r="B15" s="66"/>
      <c r="C15" s="59">
        <f t="shared" ref="C15" si="6">C14/B14-1</f>
        <v>0.13081556318555809</v>
      </c>
      <c r="D15" s="59">
        <f t="shared" ref="D15" si="7">D14/C14-1</f>
        <v>0.1114489661235234</v>
      </c>
      <c r="E15" s="59">
        <f t="shared" ref="E15" si="8">E14/D14-1</f>
        <v>0.11559739127147184</v>
      </c>
      <c r="F15" s="59">
        <f t="shared" ref="F15" si="9">F14/E14-1</f>
        <v>-3.5670653794354301E-2</v>
      </c>
      <c r="G15" s="59">
        <f t="shared" ref="G15" si="10">G14/F14-1</f>
        <v>5.7477466726245652E-2</v>
      </c>
      <c r="H15" s="59">
        <f t="shared" ref="H15" si="11">H14/G14-1</f>
        <v>0.10753119991026239</v>
      </c>
      <c r="I15" s="59">
        <f t="shared" ref="I15" si="12">I14/H14-1</f>
        <v>0.14849916673399122</v>
      </c>
      <c r="J15" s="59">
        <f t="shared" ref="J15" si="13">J14/I14-1</f>
        <v>8.991414820599708E-2</v>
      </c>
      <c r="K15" s="59">
        <f t="shared" ref="K15" si="14">K14/J14-1</f>
        <v>7.0327962207046513E-2</v>
      </c>
      <c r="L15" s="59">
        <f t="shared" ref="L15" si="15">L14/K14-1</f>
        <v>6.6833490722824962E-2</v>
      </c>
      <c r="M15" s="59">
        <f t="shared" ref="M15" si="16">M14/L14-1</f>
        <v>4.5528659098011737E-2</v>
      </c>
      <c r="N15" s="59">
        <f t="shared" ref="N15" si="17">N14/M14-1</f>
        <v>4.0492171789899389E-2</v>
      </c>
      <c r="O15" s="59">
        <f t="shared" ref="O15" si="18">O14/N14-1</f>
        <v>4.3631182157944703E-2</v>
      </c>
      <c r="P15" s="59">
        <f t="shared" ref="P15" si="19">P14/O14-1</f>
        <v>4.0636413965325691E-2</v>
      </c>
      <c r="R15" s="64"/>
      <c r="S15" s="64"/>
    </row>
    <row r="16" spans="1:21" ht="17.100000000000001" customHeight="1" x14ac:dyDescent="0.2">
      <c r="R16" s="109"/>
      <c r="S16" s="109"/>
    </row>
    <row r="17" spans="1:19" x14ac:dyDescent="0.2">
      <c r="A17" s="67" t="s">
        <v>9</v>
      </c>
      <c r="R17" s="109"/>
      <c r="S17" s="109"/>
    </row>
    <row r="18" spans="1:19" x14ac:dyDescent="0.2">
      <c r="A18" s="68" t="s">
        <v>82</v>
      </c>
      <c r="B18" s="43">
        <v>518.649</v>
      </c>
      <c r="C18" s="43">
        <v>536.779</v>
      </c>
      <c r="D18" s="43">
        <v>566.05799999999999</v>
      </c>
      <c r="E18" s="43">
        <v>613.01199999999994</v>
      </c>
      <c r="F18" s="43">
        <v>636.38300000000004</v>
      </c>
      <c r="G18" s="43">
        <v>713.43700000000001</v>
      </c>
      <c r="H18" s="43">
        <v>733.76800000000003</v>
      </c>
      <c r="I18" s="43">
        <v>669.73399999999992</v>
      </c>
      <c r="J18" s="43">
        <v>666.11225620947926</v>
      </c>
      <c r="K18" s="43">
        <v>668.94350868054926</v>
      </c>
      <c r="L18" s="43">
        <v>680.40080962115655</v>
      </c>
      <c r="M18" s="43">
        <v>698.73005948724222</v>
      </c>
      <c r="N18" s="43">
        <v>710.4049917918378</v>
      </c>
      <c r="O18" s="43">
        <v>721.71134205597036</v>
      </c>
      <c r="P18" s="43">
        <v>732.02749862327551</v>
      </c>
      <c r="R18" s="57">
        <f>(J18/D18)^(1/6)-1</f>
        <v>2.749822900649157E-2</v>
      </c>
      <c r="S18" s="57">
        <f>(P18/J18)^(1/6)-1</f>
        <v>1.5850959590651748E-2</v>
      </c>
    </row>
    <row r="19" spans="1:19" x14ac:dyDescent="0.2">
      <c r="A19" s="62" t="s">
        <v>4</v>
      </c>
      <c r="B19" s="63"/>
      <c r="C19" s="63">
        <f t="shared" ref="C19:P19" si="20">C18/B18-1</f>
        <v>3.4956203521071094E-2</v>
      </c>
      <c r="D19" s="63">
        <f t="shared" si="20"/>
        <v>5.4545725522049171E-2</v>
      </c>
      <c r="E19" s="63">
        <f t="shared" si="20"/>
        <v>8.2949097088990786E-2</v>
      </c>
      <c r="F19" s="63">
        <f t="shared" si="20"/>
        <v>3.8124865418621701E-2</v>
      </c>
      <c r="G19" s="63">
        <f t="shared" si="20"/>
        <v>0.12108117281574149</v>
      </c>
      <c r="H19" s="63">
        <f t="shared" si="20"/>
        <v>2.8497260444860562E-2</v>
      </c>
      <c r="I19" s="63">
        <f t="shared" si="20"/>
        <v>-8.7267365161740607E-2</v>
      </c>
      <c r="J19" s="63">
        <f t="shared" si="20"/>
        <v>-5.4077346984334751E-3</v>
      </c>
      <c r="K19" s="63">
        <f t="shared" si="20"/>
        <v>4.2504134170737728E-3</v>
      </c>
      <c r="L19" s="63">
        <f t="shared" si="20"/>
        <v>1.7127456641602201E-2</v>
      </c>
      <c r="M19" s="63">
        <f t="shared" si="20"/>
        <v>2.6938900728662007E-2</v>
      </c>
      <c r="N19" s="63">
        <f t="shared" si="20"/>
        <v>1.670878781594598E-2</v>
      </c>
      <c r="O19" s="63">
        <f t="shared" si="20"/>
        <v>1.5915358696473758E-2</v>
      </c>
      <c r="P19" s="63">
        <f t="shared" si="20"/>
        <v>1.4294020290601228E-2</v>
      </c>
      <c r="R19" s="109"/>
      <c r="S19" s="109"/>
    </row>
    <row r="20" spans="1:19" x14ac:dyDescent="0.2">
      <c r="A20" s="68" t="s">
        <v>10</v>
      </c>
      <c r="B20" s="43">
        <v>31.643000000000001</v>
      </c>
      <c r="C20" s="43">
        <v>32.290999999999997</v>
      </c>
      <c r="D20" s="43">
        <v>32.548000000000002</v>
      </c>
      <c r="E20" s="43">
        <v>33.118000000000002</v>
      </c>
      <c r="F20" s="43">
        <v>31.484000000000005</v>
      </c>
      <c r="G20" s="43">
        <v>33.264833333000006</v>
      </c>
      <c r="H20" s="43">
        <v>34.144138889000004</v>
      </c>
      <c r="I20" s="43">
        <v>34.314162036999996</v>
      </c>
      <c r="J20" s="43">
        <v>34.362028363850527</v>
      </c>
      <c r="K20" s="43">
        <v>34.481438533570383</v>
      </c>
      <c r="L20" s="43">
        <v>34.743112430478384</v>
      </c>
      <c r="M20" s="43">
        <v>35.03978605258704</v>
      </c>
      <c r="N20" s="43">
        <v>35.18878351534439</v>
      </c>
      <c r="O20" s="43">
        <v>35.333501381549198</v>
      </c>
      <c r="P20" s="43">
        <v>35.465611450284449</v>
      </c>
      <c r="R20" s="57">
        <f>(J20/D20)^(1/6)-1</f>
        <v>9.0803460040671524E-3</v>
      </c>
      <c r="S20" s="57">
        <f>(P20/J20)^(1/6)-1</f>
        <v>5.2824712055257184E-3</v>
      </c>
    </row>
    <row r="21" spans="1:19" x14ac:dyDescent="0.2">
      <c r="A21" s="62" t="s">
        <v>4</v>
      </c>
      <c r="B21" s="63"/>
      <c r="C21" s="63">
        <f t="shared" ref="C21:P21" si="21">C20/B20-1</f>
        <v>2.0478462851183377E-2</v>
      </c>
      <c r="D21" s="63">
        <f t="shared" si="21"/>
        <v>7.9588739896567784E-3</v>
      </c>
      <c r="E21" s="63">
        <f t="shared" si="21"/>
        <v>1.7512596780140166E-2</v>
      </c>
      <c r="F21" s="63">
        <f t="shared" si="21"/>
        <v>-4.9338728184069036E-2</v>
      </c>
      <c r="G21" s="63">
        <f t="shared" si="21"/>
        <v>5.6563121998475463E-2</v>
      </c>
      <c r="H21" s="63">
        <f t="shared" si="21"/>
        <v>2.6433487497070862E-2</v>
      </c>
      <c r="I21" s="63">
        <f t="shared" si="21"/>
        <v>4.9795705363291365E-3</v>
      </c>
      <c r="J21" s="63">
        <f t="shared" si="21"/>
        <v>1.3949437785751861E-3</v>
      </c>
      <c r="K21" s="63">
        <f t="shared" si="21"/>
        <v>3.4750617296352981E-3</v>
      </c>
      <c r="L21" s="63">
        <f t="shared" si="21"/>
        <v>7.5888335300524634E-3</v>
      </c>
      <c r="M21" s="63">
        <f t="shared" si="21"/>
        <v>8.5390628920281042E-3</v>
      </c>
      <c r="N21" s="63">
        <f t="shared" si="21"/>
        <v>4.2522366584583082E-3</v>
      </c>
      <c r="O21" s="63">
        <f t="shared" si="21"/>
        <v>4.112613502018414E-3</v>
      </c>
      <c r="P21" s="63">
        <f t="shared" si="21"/>
        <v>3.7389464267540973E-3</v>
      </c>
      <c r="R21" s="109"/>
      <c r="S21" s="109"/>
    </row>
    <row r="22" spans="1:19" x14ac:dyDescent="0.2">
      <c r="A22" s="68" t="s">
        <v>11</v>
      </c>
      <c r="B22" s="43">
        <v>0.88099999999999989</v>
      </c>
      <c r="C22" s="43">
        <v>0.93499999999999961</v>
      </c>
      <c r="D22" s="43">
        <v>0.9409999999999995</v>
      </c>
      <c r="E22" s="43">
        <v>0.96099999999999952</v>
      </c>
      <c r="F22" s="43">
        <v>0.92899999999999938</v>
      </c>
      <c r="G22" s="43">
        <v>0.97893333329999943</v>
      </c>
      <c r="H22" s="43">
        <v>0.99667619049999945</v>
      </c>
      <c r="I22" s="43">
        <v>1.0144190479999995</v>
      </c>
      <c r="J22" s="43">
        <v>1.0166538352536443</v>
      </c>
      <c r="K22" s="43">
        <v>1.0273540085485715</v>
      </c>
      <c r="L22" s="43">
        <v>1.0399955141442905</v>
      </c>
      <c r="M22" s="43">
        <v>1.0552247688454905</v>
      </c>
      <c r="N22" s="43">
        <v>1.066180790532882</v>
      </c>
      <c r="O22" s="43">
        <v>1.0764362497667894</v>
      </c>
      <c r="P22" s="43">
        <v>1.0861190548204411</v>
      </c>
      <c r="R22" s="57">
        <f>(J22/D22)^(1/6)-1</f>
        <v>1.2971546682766011E-2</v>
      </c>
      <c r="S22" s="57">
        <f>(P22/J22)^(1/6)-1</f>
        <v>1.1076589751791044E-2</v>
      </c>
    </row>
    <row r="23" spans="1:19" x14ac:dyDescent="0.2">
      <c r="A23" s="62" t="s">
        <v>4</v>
      </c>
      <c r="B23" s="63"/>
      <c r="C23" s="63">
        <f t="shared" ref="C23:P23" si="22">C22/B22-1</f>
        <v>6.1293984108966804E-2</v>
      </c>
      <c r="D23" s="63">
        <f t="shared" si="22"/>
        <v>6.4171122994651775E-3</v>
      </c>
      <c r="E23" s="63">
        <f t="shared" si="22"/>
        <v>2.1253985122210439E-2</v>
      </c>
      <c r="F23" s="63">
        <f t="shared" si="22"/>
        <v>-3.3298647242455903E-2</v>
      </c>
      <c r="G23" s="63">
        <f t="shared" si="22"/>
        <v>5.3749551453175615E-2</v>
      </c>
      <c r="H23" s="63">
        <f t="shared" si="22"/>
        <v>1.8124683874221059E-2</v>
      </c>
      <c r="I23" s="63">
        <f t="shared" si="22"/>
        <v>1.780202804995179E-2</v>
      </c>
      <c r="J23" s="63">
        <f t="shared" si="22"/>
        <v>2.2030217768986837E-3</v>
      </c>
      <c r="K23" s="63">
        <f t="shared" si="22"/>
        <v>1.0524893453293993E-2</v>
      </c>
      <c r="L23" s="63">
        <f t="shared" si="22"/>
        <v>1.2304916796478604E-2</v>
      </c>
      <c r="M23" s="63">
        <f t="shared" si="22"/>
        <v>1.464357729824517E-2</v>
      </c>
      <c r="N23" s="63">
        <f t="shared" si="22"/>
        <v>1.0382642647194684E-2</v>
      </c>
      <c r="O23" s="63">
        <f t="shared" si="22"/>
        <v>9.6188745145011634E-3</v>
      </c>
      <c r="P23" s="63">
        <f t="shared" si="22"/>
        <v>8.9952424546735354E-3</v>
      </c>
      <c r="R23" s="109"/>
      <c r="S23" s="109"/>
    </row>
    <row r="24" spans="1:19" x14ac:dyDescent="0.2">
      <c r="A24" s="69" t="s">
        <v>54</v>
      </c>
      <c r="B24" s="56">
        <f t="shared" ref="B24:P24" si="23">B18+B20+B22</f>
        <v>551.173</v>
      </c>
      <c r="C24" s="56">
        <f t="shared" si="23"/>
        <v>570.00499999999988</v>
      </c>
      <c r="D24" s="56">
        <f t="shared" si="23"/>
        <v>599.54700000000003</v>
      </c>
      <c r="E24" s="56">
        <f t="shared" si="23"/>
        <v>647.09100000000001</v>
      </c>
      <c r="F24" s="56">
        <f t="shared" si="23"/>
        <v>668.79600000000005</v>
      </c>
      <c r="G24" s="56">
        <f t="shared" si="23"/>
        <v>747.68076666629997</v>
      </c>
      <c r="H24" s="56">
        <f t="shared" si="23"/>
        <v>768.90881507950007</v>
      </c>
      <c r="I24" s="56">
        <f t="shared" si="23"/>
        <v>705.06258108499992</v>
      </c>
      <c r="J24" s="56">
        <f t="shared" si="23"/>
        <v>701.49093840858347</v>
      </c>
      <c r="K24" s="56">
        <f t="shared" si="23"/>
        <v>704.45230122266821</v>
      </c>
      <c r="L24" s="56">
        <f t="shared" si="23"/>
        <v>716.18391756577921</v>
      </c>
      <c r="M24" s="56">
        <f t="shared" si="23"/>
        <v>734.82507030867475</v>
      </c>
      <c r="N24" s="56">
        <f t="shared" si="23"/>
        <v>746.65995609771505</v>
      </c>
      <c r="O24" s="56">
        <f t="shared" si="23"/>
        <v>758.12127968728635</v>
      </c>
      <c r="P24" s="56">
        <f t="shared" si="23"/>
        <v>768.57922912838035</v>
      </c>
      <c r="R24" s="57">
        <f>(J24/D24)^(1/6)-1</f>
        <v>2.6517770081367464E-2</v>
      </c>
      <c r="S24" s="57">
        <f>(P24/J24)^(1/6)-1</f>
        <v>1.5339066028914328E-2</v>
      </c>
    </row>
    <row r="25" spans="1:19" ht="17.100000000000001" customHeight="1" x14ac:dyDescent="0.2">
      <c r="A25" s="70" t="s">
        <v>4</v>
      </c>
      <c r="B25" s="66"/>
      <c r="C25" s="59">
        <f t="shared" ref="C25:P25" si="24">C24/B24-1</f>
        <v>3.4167130828251624E-2</v>
      </c>
      <c r="D25" s="59">
        <f t="shared" si="24"/>
        <v>5.1827615547232364E-2</v>
      </c>
      <c r="E25" s="59">
        <f t="shared" si="24"/>
        <v>7.9299871402909172E-2</v>
      </c>
      <c r="F25" s="59">
        <f t="shared" si="24"/>
        <v>3.3542422935877614E-2</v>
      </c>
      <c r="G25" s="59">
        <f t="shared" si="24"/>
        <v>0.11795041636956549</v>
      </c>
      <c r="H25" s="59">
        <f t="shared" si="24"/>
        <v>2.8391861018239206E-2</v>
      </c>
      <c r="I25" s="59">
        <f t="shared" si="24"/>
        <v>-8.3034857635100545E-2</v>
      </c>
      <c r="J25" s="59">
        <f t="shared" si="24"/>
        <v>-5.0657101542960215E-3</v>
      </c>
      <c r="K25" s="59">
        <f t="shared" si="24"/>
        <v>4.2215268251404314E-3</v>
      </c>
      <c r="L25" s="59">
        <f t="shared" si="24"/>
        <v>1.6653528312348786E-2</v>
      </c>
      <c r="M25" s="59">
        <f t="shared" si="24"/>
        <v>2.6028443652092115E-2</v>
      </c>
      <c r="N25" s="59">
        <f t="shared" si="24"/>
        <v>1.610571858152432E-2</v>
      </c>
      <c r="O25" s="59">
        <f t="shared" si="24"/>
        <v>1.5350124907557383E-2</v>
      </c>
      <c r="P25" s="59">
        <f t="shared" si="24"/>
        <v>1.3794559948782537E-2</v>
      </c>
      <c r="R25" s="109"/>
      <c r="S25" s="109"/>
    </row>
    <row r="26" spans="1:19" ht="17.100000000000001" customHeight="1" x14ac:dyDescent="0.2">
      <c r="R26" s="109"/>
      <c r="S26" s="109"/>
    </row>
    <row r="27" spans="1:19" x14ac:dyDescent="0.2">
      <c r="A27" s="71" t="s">
        <v>12</v>
      </c>
      <c r="R27" s="109"/>
      <c r="S27" s="109"/>
    </row>
    <row r="28" spans="1:19" x14ac:dyDescent="0.2">
      <c r="A28" s="72" t="s">
        <v>84</v>
      </c>
      <c r="B28" s="88">
        <v>5.6892482147477969E-2</v>
      </c>
      <c r="C28" s="88">
        <v>6.9435497410444899E-2</v>
      </c>
      <c r="D28" s="88">
        <v>8.4496099587012138E-2</v>
      </c>
      <c r="E28" s="88">
        <v>0.1024636671702792</v>
      </c>
      <c r="F28" s="88">
        <v>0.12373553769966182</v>
      </c>
      <c r="G28" s="88">
        <v>0.14869192906914297</v>
      </c>
      <c r="H28" s="88">
        <v>0.17766127726992173</v>
      </c>
      <c r="I28" s="88">
        <v>0.21087658622361094</v>
      </c>
      <c r="J28" s="88">
        <v>0.24842579708817217</v>
      </c>
      <c r="K28" s="88">
        <v>0.29020228038168805</v>
      </c>
      <c r="L28" s="88">
        <v>0.33586460667997892</v>
      </c>
      <c r="M28" s="88">
        <v>0.38481650128104627</v>
      </c>
      <c r="N28" s="88">
        <v>0.43621688254611179</v>
      </c>
      <c r="O28" s="88">
        <v>0.48902522298232115</v>
      </c>
      <c r="P28" s="88">
        <v>0.54207966775805549</v>
      </c>
      <c r="R28" s="109"/>
      <c r="S28" s="109"/>
    </row>
    <row r="29" spans="1:19" x14ac:dyDescent="0.2">
      <c r="A29" s="72" t="s">
        <v>13</v>
      </c>
      <c r="B29" s="88">
        <v>0.11923441077752042</v>
      </c>
      <c r="C29" s="88">
        <v>0.1446126501729233</v>
      </c>
      <c r="D29" s="88">
        <v>0.17432338058225588</v>
      </c>
      <c r="E29" s="88">
        <v>0.20864926275366849</v>
      </c>
      <c r="F29" s="88">
        <v>0.2477064744214578</v>
      </c>
      <c r="G29" s="88">
        <v>0.29138280091259167</v>
      </c>
      <c r="H29" s="88">
        <v>0.33928702454620158</v>
      </c>
      <c r="I29" s="88">
        <v>0.3907243227626549</v>
      </c>
      <c r="J29" s="88">
        <v>0.44471099725115198</v>
      </c>
      <c r="K29" s="88">
        <v>0.50003510716455402</v>
      </c>
      <c r="L29" s="88">
        <v>0.55535835745527284</v>
      </c>
      <c r="M29" s="88">
        <v>0.60934253574819497</v>
      </c>
      <c r="N29" s="88">
        <v>0.66077593277259616</v>
      </c>
      <c r="O29" s="88">
        <v>0.70867518678923824</v>
      </c>
      <c r="P29" s="88">
        <v>0.75234585906274198</v>
      </c>
      <c r="R29" s="109"/>
      <c r="S29" s="109"/>
    </row>
    <row r="30" spans="1:19" x14ac:dyDescent="0.2">
      <c r="A30" s="72" t="s">
        <v>14</v>
      </c>
      <c r="B30" s="88">
        <v>0.29506648717974304</v>
      </c>
      <c r="C30" s="88">
        <v>0.37085727538961921</v>
      </c>
      <c r="D30" s="88">
        <v>0.45358925112992232</v>
      </c>
      <c r="E30" s="88">
        <v>0.53896657301033324</v>
      </c>
      <c r="F30" s="88">
        <v>0.62211732330443259</v>
      </c>
      <c r="G30" s="88">
        <v>0.69865617605906638</v>
      </c>
      <c r="H30" s="88">
        <v>0.76553503064029138</v>
      </c>
      <c r="I30" s="88">
        <v>0.8213661353579319</v>
      </c>
      <c r="J30" s="88">
        <v>0.86622583801658393</v>
      </c>
      <c r="K30" s="88">
        <v>0.90117550821957237</v>
      </c>
      <c r="L30" s="88">
        <v>0.9277557991443085</v>
      </c>
      <c r="M30" s="88">
        <v>0.94760260867436419</v>
      </c>
      <c r="N30" s="88">
        <v>0.9622191672752638</v>
      </c>
      <c r="O30" s="88">
        <v>0.97287506543887603</v>
      </c>
      <c r="P30" s="88">
        <v>0.98058615807245864</v>
      </c>
      <c r="R30" s="109"/>
      <c r="S30" s="109"/>
    </row>
    <row r="31" spans="1:19" x14ac:dyDescent="0.2">
      <c r="A31" s="73" t="s">
        <v>15</v>
      </c>
      <c r="B31" s="89">
        <v>6.0852249672508872E-2</v>
      </c>
      <c r="C31" s="89">
        <v>7.4188744842070456E-2</v>
      </c>
      <c r="D31" s="89">
        <v>8.9951910386557574E-2</v>
      </c>
      <c r="E31" s="89">
        <v>0.10854648063398518</v>
      </c>
      <c r="F31" s="89">
        <v>0.13026383280097201</v>
      </c>
      <c r="G31" s="89">
        <v>0.15576040887915421</v>
      </c>
      <c r="H31" s="89">
        <v>0.1856004393868402</v>
      </c>
      <c r="I31" s="89">
        <v>0.22050781156872196</v>
      </c>
      <c r="J31" s="89">
        <v>0.25893604888580801</v>
      </c>
      <c r="K31" s="89">
        <v>0.30136417665220422</v>
      </c>
      <c r="L31" s="89">
        <v>0.34737207011759641</v>
      </c>
      <c r="M31" s="89">
        <v>0.39633109215842877</v>
      </c>
      <c r="N31" s="89">
        <v>0.44755105584343829</v>
      </c>
      <c r="O31" s="89">
        <v>0.49994937988358795</v>
      </c>
      <c r="P31" s="89">
        <v>0.55240194683621013</v>
      </c>
      <c r="R31" s="109"/>
      <c r="S31" s="109"/>
    </row>
    <row r="32" spans="1:19" ht="17.100000000000001" customHeight="1" x14ac:dyDescent="0.2">
      <c r="R32" s="109"/>
      <c r="S32" s="109"/>
    </row>
    <row r="33" spans="1:19" x14ac:dyDescent="0.2">
      <c r="A33" s="67" t="s">
        <v>16</v>
      </c>
      <c r="R33" s="109"/>
      <c r="S33" s="109"/>
    </row>
    <row r="34" spans="1:19" x14ac:dyDescent="0.2">
      <c r="A34" s="68" t="s">
        <v>83</v>
      </c>
      <c r="B34" s="43">
        <f t="shared" ref="B34:P34" si="25">B28*B18</f>
        <v>29.507228973307299</v>
      </c>
      <c r="C34" s="43">
        <f t="shared" si="25"/>
        <v>37.2715168644812</v>
      </c>
      <c r="D34" s="43">
        <f t="shared" si="25"/>
        <v>47.829693140024915</v>
      </c>
      <c r="E34" s="43">
        <f t="shared" si="25"/>
        <v>62.811457539387192</v>
      </c>
      <c r="F34" s="43">
        <f t="shared" si="25"/>
        <v>78.743192687923894</v>
      </c>
      <c r="G34" s="43">
        <f t="shared" si="25"/>
        <v>106.08232379930216</v>
      </c>
      <c r="H34" s="43">
        <f t="shared" si="25"/>
        <v>130.36216009979594</v>
      </c>
      <c r="I34" s="43">
        <f t="shared" si="25"/>
        <v>141.23121959788384</v>
      </c>
      <c r="J34" s="43">
        <f t="shared" si="25"/>
        <v>165.47946819904064</v>
      </c>
      <c r="K34" s="43">
        <f t="shared" si="25"/>
        <v>194.12893166562293</v>
      </c>
      <c r="L34" s="43">
        <f t="shared" si="25"/>
        <v>228.52255030814896</v>
      </c>
      <c r="M34" s="43">
        <f t="shared" si="25"/>
        <v>268.88285683177787</v>
      </c>
      <c r="N34" s="43">
        <f t="shared" si="25"/>
        <v>309.8906508646316</v>
      </c>
      <c r="O34" s="43">
        <f t="shared" si="25"/>
        <v>352.93504997779115</v>
      </c>
      <c r="P34" s="43">
        <f t="shared" si="25"/>
        <v>396.81722324346561</v>
      </c>
      <c r="R34" s="57">
        <f>(J34/D34)^(1/6)-1</f>
        <v>0.22981868462534072</v>
      </c>
      <c r="S34" s="57">
        <f>(P34/J34)^(1/6)-1</f>
        <v>0.15693173181184461</v>
      </c>
    </row>
    <row r="35" spans="1:19" x14ac:dyDescent="0.2">
      <c r="A35" s="62" t="s">
        <v>4</v>
      </c>
      <c r="B35" s="75"/>
      <c r="C35" s="63">
        <f t="shared" ref="C35:P35" si="26">C34/B34-1</f>
        <v>0.26313171928809709</v>
      </c>
      <c r="D35" s="63">
        <f t="shared" si="26"/>
        <v>0.28327734323057263</v>
      </c>
      <c r="E35" s="63">
        <f t="shared" si="26"/>
        <v>0.31323145552078002</v>
      </c>
      <c r="F35" s="63">
        <f t="shared" si="26"/>
        <v>0.25364377412427319</v>
      </c>
      <c r="G35" s="63">
        <f t="shared" si="26"/>
        <v>0.3471935817960683</v>
      </c>
      <c r="H35" s="63">
        <f t="shared" si="26"/>
        <v>0.2288773042569181</v>
      </c>
      <c r="I35" s="63">
        <f t="shared" si="26"/>
        <v>8.3375877553481192E-2</v>
      </c>
      <c r="J35" s="63">
        <f t="shared" si="26"/>
        <v>0.17169184455247843</v>
      </c>
      <c r="K35" s="63">
        <f t="shared" si="26"/>
        <v>0.17313001895874103</v>
      </c>
      <c r="L35" s="63">
        <f t="shared" si="26"/>
        <v>0.17716894822131546</v>
      </c>
      <c r="M35" s="63">
        <f t="shared" si="26"/>
        <v>0.1766141086260653</v>
      </c>
      <c r="N35" s="63">
        <f t="shared" si="26"/>
        <v>0.1525117462527914</v>
      </c>
      <c r="O35" s="63">
        <f t="shared" si="26"/>
        <v>0.13890189650142903</v>
      </c>
      <c r="P35" s="63">
        <f t="shared" si="26"/>
        <v>0.1243349825086395</v>
      </c>
      <c r="R35" s="109"/>
      <c r="S35" s="109"/>
    </row>
    <row r="36" spans="1:19" x14ac:dyDescent="0.2">
      <c r="A36" s="68" t="s">
        <v>17</v>
      </c>
      <c r="B36" s="43">
        <f t="shared" ref="B36:P36" si="27">B29*B20</f>
        <v>3.772934460233079</v>
      </c>
      <c r="C36" s="43">
        <f t="shared" si="27"/>
        <v>4.669687086733866</v>
      </c>
      <c r="D36" s="43">
        <f t="shared" si="27"/>
        <v>5.6738773911912652</v>
      </c>
      <c r="E36" s="43">
        <f t="shared" si="27"/>
        <v>6.9100462838759933</v>
      </c>
      <c r="F36" s="43">
        <f t="shared" si="27"/>
        <v>7.7987906406851781</v>
      </c>
      <c r="G36" s="43">
        <f t="shared" si="27"/>
        <v>9.6928003084600842</v>
      </c>
      <c r="H36" s="43">
        <f t="shared" si="27"/>
        <v>11.58466328934106</v>
      </c>
      <c r="I36" s="43">
        <f t="shared" si="27"/>
        <v>13.407377723074825</v>
      </c>
      <c r="J36" s="43">
        <f t="shared" si="27"/>
        <v>15.281171901260338</v>
      </c>
      <c r="K36" s="43">
        <f t="shared" si="27"/>
        <v>17.24192981232185</v>
      </c>
      <c r="L36" s="43">
        <f t="shared" si="27"/>
        <v>19.294877852274347</v>
      </c>
      <c r="M36" s="43">
        <f t="shared" si="27"/>
        <v>21.351232085357623</v>
      </c>
      <c r="N36" s="43">
        <f t="shared" si="27"/>
        <v>23.251901250484647</v>
      </c>
      <c r="O36" s="43">
        <f t="shared" si="27"/>
        <v>25.039975691487186</v>
      </c>
      <c r="P36" s="43">
        <f t="shared" si="27"/>
        <v>26.682405913749673</v>
      </c>
      <c r="R36" s="57">
        <f>(J36/D36)^(1/6)-1</f>
        <v>0.17954030606009885</v>
      </c>
      <c r="S36" s="57">
        <f>(P36/J36)^(1/6)-1</f>
        <v>9.7348870379808883E-2</v>
      </c>
    </row>
    <row r="37" spans="1:19" x14ac:dyDescent="0.2">
      <c r="A37" s="62" t="s">
        <v>4</v>
      </c>
      <c r="B37" s="75"/>
      <c r="C37" s="63">
        <f t="shared" ref="C37:P37" si="28">C36/B36-1</f>
        <v>0.23768041452948774</v>
      </c>
      <c r="D37" s="63">
        <f t="shared" si="28"/>
        <v>0.21504445283072782</v>
      </c>
      <c r="E37" s="63">
        <f t="shared" si="28"/>
        <v>0.21787021598385059</v>
      </c>
      <c r="F37" s="63">
        <f t="shared" si="28"/>
        <v>0.12861626685236449</v>
      </c>
      <c r="G37" s="63">
        <f t="shared" si="28"/>
        <v>0.24285940667443073</v>
      </c>
      <c r="H37" s="63">
        <f t="shared" si="28"/>
        <v>0.19518229208020688</v>
      </c>
      <c r="I37" s="63">
        <f t="shared" si="28"/>
        <v>0.15733857672072582</v>
      </c>
      <c r="J37" s="63">
        <f t="shared" si="28"/>
        <v>0.13975843874082927</v>
      </c>
      <c r="K37" s="63">
        <f t="shared" si="28"/>
        <v>0.1283120119144654</v>
      </c>
      <c r="L37" s="63">
        <f t="shared" si="28"/>
        <v>0.11906718460745447</v>
      </c>
      <c r="M37" s="63">
        <f t="shared" si="28"/>
        <v>0.10657513609711122</v>
      </c>
      <c r="N37" s="63">
        <f t="shared" si="28"/>
        <v>8.9019179667410242E-2</v>
      </c>
      <c r="O37" s="63">
        <f t="shared" si="28"/>
        <v>7.6900139121538258E-2</v>
      </c>
      <c r="P37" s="63">
        <f t="shared" si="28"/>
        <v>6.5592324948656522E-2</v>
      </c>
      <c r="R37" s="109"/>
      <c r="S37" s="109"/>
    </row>
    <row r="38" spans="1:19" x14ac:dyDescent="0.2">
      <c r="A38" s="68" t="s">
        <v>18</v>
      </c>
      <c r="B38" s="43">
        <f t="shared" ref="B38:P38" si="29">B30*B22</f>
        <v>0.25995357520535362</v>
      </c>
      <c r="C38" s="43">
        <f t="shared" si="29"/>
        <v>0.34675155248929379</v>
      </c>
      <c r="D38" s="43">
        <f t="shared" si="29"/>
        <v>0.4268274853132567</v>
      </c>
      <c r="E38" s="43">
        <f t="shared" si="29"/>
        <v>0.51794687666292993</v>
      </c>
      <c r="F38" s="43">
        <f t="shared" si="29"/>
        <v>0.57794699334981747</v>
      </c>
      <c r="G38" s="43">
        <f t="shared" si="29"/>
        <v>0.68393781926013308</v>
      </c>
      <c r="H38" s="43">
        <f t="shared" si="29"/>
        <v>0.76299053803286598</v>
      </c>
      <c r="I38" s="43">
        <f t="shared" si="29"/>
        <v>0.833209453089232</v>
      </c>
      <c r="J38" s="43">
        <f t="shared" si="29"/>
        <v>0.88065182041536205</v>
      </c>
      <c r="K38" s="43">
        <f t="shared" si="29"/>
        <v>0.92582627077517388</v>
      </c>
      <c r="L38" s="43">
        <f t="shared" si="29"/>
        <v>0.96486186933143225</v>
      </c>
      <c r="M38" s="43">
        <f t="shared" si="29"/>
        <v>0.9999337436957898</v>
      </c>
      <c r="N38" s="43">
        <f t="shared" si="29"/>
        <v>1.025899592431432</v>
      </c>
      <c r="O38" s="43">
        <f t="shared" si="29"/>
        <v>1.0472379869326436</v>
      </c>
      <c r="P38" s="43">
        <f t="shared" si="29"/>
        <v>1.0650333111756665</v>
      </c>
      <c r="R38" s="57">
        <f>(J38/D38)^(1/6)-1</f>
        <v>0.12830187512277624</v>
      </c>
      <c r="S38" s="57">
        <f>(P38/J38)^(1/6)-1</f>
        <v>3.2190424162536591E-2</v>
      </c>
    </row>
    <row r="39" spans="1:19" x14ac:dyDescent="0.2">
      <c r="A39" s="62" t="s">
        <v>4</v>
      </c>
      <c r="B39" s="75"/>
      <c r="C39" s="63">
        <f t="shared" ref="C39:P39" si="30">C38/B38-1</f>
        <v>0.33389799396054864</v>
      </c>
      <c r="D39" s="63">
        <f t="shared" si="30"/>
        <v>0.2309317211389712</v>
      </c>
      <c r="E39" s="63">
        <f t="shared" si="30"/>
        <v>0.21348060864168339</v>
      </c>
      <c r="F39" s="63">
        <f t="shared" si="30"/>
        <v>0.11584222125917853</v>
      </c>
      <c r="G39" s="63">
        <f t="shared" si="30"/>
        <v>0.18339194965958039</v>
      </c>
      <c r="H39" s="63">
        <f t="shared" si="30"/>
        <v>0.11558465776647675</v>
      </c>
      <c r="I39" s="63">
        <f t="shared" si="30"/>
        <v>9.2031174118362813E-2</v>
      </c>
      <c r="J39" s="63">
        <f t="shared" si="30"/>
        <v>5.6939305177385213E-2</v>
      </c>
      <c r="K39" s="63">
        <f t="shared" si="30"/>
        <v>5.1296607027400576E-2</v>
      </c>
      <c r="L39" s="63">
        <f t="shared" si="30"/>
        <v>4.2162984340004428E-2</v>
      </c>
      <c r="M39" s="63">
        <f t="shared" si="30"/>
        <v>3.6349114292037799E-2</v>
      </c>
      <c r="N39" s="63">
        <f t="shared" si="30"/>
        <v>2.5967569250810119E-2</v>
      </c>
      <c r="O39" s="63">
        <f t="shared" si="30"/>
        <v>2.0799690982076013E-2</v>
      </c>
      <c r="P39" s="63">
        <f t="shared" si="30"/>
        <v>1.6992626762084351E-2</v>
      </c>
      <c r="R39" s="109"/>
      <c r="S39" s="109"/>
    </row>
    <row r="40" spans="1:19" x14ac:dyDescent="0.2">
      <c r="A40" s="73" t="s">
        <v>19</v>
      </c>
      <c r="B40" s="56">
        <f t="shared" ref="B40:P40" si="31">B38+B36+B34</f>
        <v>33.540117008745732</v>
      </c>
      <c r="C40" s="56">
        <f t="shared" si="31"/>
        <v>42.28795550370436</v>
      </c>
      <c r="D40" s="56">
        <f t="shared" si="31"/>
        <v>53.930398016529438</v>
      </c>
      <c r="E40" s="56">
        <f t="shared" si="31"/>
        <v>70.23945069992611</v>
      </c>
      <c r="F40" s="56">
        <f t="shared" si="31"/>
        <v>87.11993032195889</v>
      </c>
      <c r="G40" s="56">
        <f t="shared" si="31"/>
        <v>116.45906192702238</v>
      </c>
      <c r="H40" s="56">
        <f t="shared" si="31"/>
        <v>142.70981392716988</v>
      </c>
      <c r="I40" s="56">
        <f t="shared" si="31"/>
        <v>155.47180677404791</v>
      </c>
      <c r="J40" s="56">
        <f t="shared" si="31"/>
        <v>181.64129192071633</v>
      </c>
      <c r="K40" s="56">
        <f t="shared" si="31"/>
        <v>212.29668774871996</v>
      </c>
      <c r="L40" s="56">
        <f t="shared" si="31"/>
        <v>248.78229002975473</v>
      </c>
      <c r="M40" s="56">
        <f t="shared" si="31"/>
        <v>291.23402266083127</v>
      </c>
      <c r="N40" s="56">
        <f t="shared" si="31"/>
        <v>334.16845170754766</v>
      </c>
      <c r="O40" s="56">
        <f t="shared" si="31"/>
        <v>379.02226365621095</v>
      </c>
      <c r="P40" s="56">
        <f t="shared" si="31"/>
        <v>424.56466246839096</v>
      </c>
      <c r="R40" s="57">
        <f>(J40/D40)^(1/6)-1</f>
        <v>0.22432530584609056</v>
      </c>
      <c r="S40" s="57">
        <f>(P40/J40)^(1/6)-1</f>
        <v>0.15200636058622563</v>
      </c>
    </row>
    <row r="41" spans="1:19" x14ac:dyDescent="0.2">
      <c r="A41" s="74" t="s">
        <v>4</v>
      </c>
      <c r="B41" s="66"/>
      <c r="C41" s="59">
        <f t="shared" ref="C41:P41" si="32">C40/B40-1</f>
        <v>0.26081717284044026</v>
      </c>
      <c r="D41" s="59">
        <f t="shared" si="32"/>
        <v>0.27531344029637994</v>
      </c>
      <c r="E41" s="59">
        <f t="shared" si="32"/>
        <v>0.30240927720203392</v>
      </c>
      <c r="F41" s="59">
        <f t="shared" si="32"/>
        <v>0.24032761437940087</v>
      </c>
      <c r="G41" s="59">
        <f t="shared" si="32"/>
        <v>0.33676716104613846</v>
      </c>
      <c r="H41" s="59">
        <f t="shared" si="32"/>
        <v>0.22540755151022251</v>
      </c>
      <c r="I41" s="59">
        <f t="shared" si="32"/>
        <v>8.9426175367245175E-2</v>
      </c>
      <c r="J41" s="59">
        <f t="shared" si="32"/>
        <v>0.16832302711128433</v>
      </c>
      <c r="K41" s="59">
        <f t="shared" si="32"/>
        <v>0.16876887134993646</v>
      </c>
      <c r="L41" s="59">
        <f t="shared" si="32"/>
        <v>0.17186138261478723</v>
      </c>
      <c r="M41" s="59">
        <f t="shared" si="32"/>
        <v>0.1706380812958963</v>
      </c>
      <c r="N41" s="59">
        <f t="shared" si="32"/>
        <v>0.14742243593124926</v>
      </c>
      <c r="O41" s="59">
        <f t="shared" si="32"/>
        <v>0.13422515416840652</v>
      </c>
      <c r="P41" s="59">
        <f t="shared" si="32"/>
        <v>0.12015758222975759</v>
      </c>
      <c r="R41" s="109"/>
      <c r="S41" s="109"/>
    </row>
    <row r="42" spans="1:19" ht="17.100000000000001" customHeight="1" x14ac:dyDescent="0.2">
      <c r="R42" s="109"/>
      <c r="S42" s="109"/>
    </row>
    <row r="43" spans="1:19" x14ac:dyDescent="0.2">
      <c r="A43" s="76" t="s">
        <v>20</v>
      </c>
      <c r="B43" s="56">
        <f t="shared" ref="B43:P43" si="33">B55+B111</f>
        <v>52.239214821760001</v>
      </c>
      <c r="C43" s="56">
        <f t="shared" si="33"/>
        <v>66.480664626439989</v>
      </c>
      <c r="D43" s="56">
        <f t="shared" si="33"/>
        <v>84.622790578139956</v>
      </c>
      <c r="E43" s="56">
        <f t="shared" si="33"/>
        <v>107.54220532847991</v>
      </c>
      <c r="F43" s="56">
        <f t="shared" si="33"/>
        <v>134.57261118049985</v>
      </c>
      <c r="G43" s="56">
        <f t="shared" si="33"/>
        <v>173.57688714099964</v>
      </c>
      <c r="H43" s="56">
        <f t="shared" si="33"/>
        <v>228.61606117521922</v>
      </c>
      <c r="I43" s="56">
        <f t="shared" si="33"/>
        <v>284.22128898353913</v>
      </c>
      <c r="J43" s="56">
        <f t="shared" si="33"/>
        <v>347.4863426778191</v>
      </c>
      <c r="K43" s="56">
        <f t="shared" si="33"/>
        <v>406.84369160549215</v>
      </c>
      <c r="L43" s="56">
        <f t="shared" si="33"/>
        <v>475.87837760094675</v>
      </c>
      <c r="M43" s="56">
        <f t="shared" si="33"/>
        <v>558.45543385676797</v>
      </c>
      <c r="N43" s="56">
        <f t="shared" si="33"/>
        <v>644.76607520744119</v>
      </c>
      <c r="O43" s="56">
        <f t="shared" si="33"/>
        <v>740.11452281758443</v>
      </c>
      <c r="P43" s="56">
        <f t="shared" si="33"/>
        <v>840.38771746673331</v>
      </c>
      <c r="R43" s="57">
        <f>(J43/D43)^(1/6)-1</f>
        <v>0.26544050899021254</v>
      </c>
      <c r="S43" s="57">
        <f>(P43/J43)^(1/6)-1</f>
        <v>0.15857368329693822</v>
      </c>
    </row>
    <row r="44" spans="1:19" x14ac:dyDescent="0.2">
      <c r="A44" s="58" t="s">
        <v>4</v>
      </c>
      <c r="B44" s="66"/>
      <c r="C44" s="59">
        <f t="shared" ref="C44:P44" si="34">C43/B43-1</f>
        <v>0.27261990543448555</v>
      </c>
      <c r="D44" s="59">
        <f t="shared" si="34"/>
        <v>0.27289326984984252</v>
      </c>
      <c r="E44" s="59">
        <f t="shared" si="34"/>
        <v>0.27084210522668073</v>
      </c>
      <c r="F44" s="59">
        <f t="shared" si="34"/>
        <v>0.25134695508110072</v>
      </c>
      <c r="G44" s="59">
        <f t="shared" si="34"/>
        <v>0.28983814476323166</v>
      </c>
      <c r="H44" s="59">
        <f t="shared" si="34"/>
        <v>0.31708815004563506</v>
      </c>
      <c r="I44" s="59">
        <f t="shared" si="34"/>
        <v>0.24322537761553931</v>
      </c>
      <c r="J44" s="59">
        <f t="shared" si="34"/>
        <v>0.2225908337849527</v>
      </c>
      <c r="K44" s="59">
        <f t="shared" si="34"/>
        <v>0.17081922837671848</v>
      </c>
      <c r="L44" s="59">
        <f t="shared" si="34"/>
        <v>0.16968356009903696</v>
      </c>
      <c r="M44" s="59">
        <f t="shared" si="34"/>
        <v>0.17352554800266029</v>
      </c>
      <c r="N44" s="59">
        <f t="shared" si="34"/>
        <v>0.15455242463055718</v>
      </c>
      <c r="O44" s="59">
        <f t="shared" si="34"/>
        <v>0.14788068305154956</v>
      </c>
      <c r="P44" s="59">
        <f t="shared" si="34"/>
        <v>0.13548334961380459</v>
      </c>
      <c r="R44" s="109"/>
      <c r="S44" s="109"/>
    </row>
    <row r="45" spans="1:19" x14ac:dyDescent="0.2">
      <c r="A45" s="58"/>
      <c r="B45" s="66"/>
      <c r="C45" s="59"/>
      <c r="D45" s="59"/>
      <c r="E45" s="59"/>
      <c r="F45" s="59"/>
      <c r="G45" s="59"/>
      <c r="H45" s="59"/>
      <c r="I45" s="59"/>
      <c r="J45" s="59"/>
      <c r="K45" s="59"/>
      <c r="L45" s="59"/>
      <c r="M45" s="59"/>
      <c r="N45" s="59"/>
      <c r="O45" s="59"/>
      <c r="P45" s="59"/>
      <c r="R45" s="109"/>
      <c r="S45" s="109"/>
    </row>
    <row r="46" spans="1:19" x14ac:dyDescent="0.2">
      <c r="A46" s="67" t="s">
        <v>21</v>
      </c>
      <c r="R46" s="109"/>
      <c r="S46" s="109"/>
    </row>
    <row r="47" spans="1:19" x14ac:dyDescent="0.2">
      <c r="A47" s="68" t="s">
        <v>82</v>
      </c>
      <c r="B47" s="43">
        <v>4.0127774493379667</v>
      </c>
      <c r="C47" s="43">
        <v>5.2119001855944553</v>
      </c>
      <c r="D47" s="43">
        <v>6.7953141329704829</v>
      </c>
      <c r="E47" s="43">
        <v>8.9383458447163981</v>
      </c>
      <c r="F47" s="43">
        <v>11.503203933883665</v>
      </c>
      <c r="G47" s="43">
        <v>14.917974780098957</v>
      </c>
      <c r="H47" s="43">
        <v>20.061554473801554</v>
      </c>
      <c r="I47" s="43">
        <v>25.471549674187717</v>
      </c>
      <c r="J47" s="43">
        <v>31.269206280426602</v>
      </c>
      <c r="K47" s="43">
        <v>37.944518700866674</v>
      </c>
      <c r="L47" s="43">
        <v>45.455995851946675</v>
      </c>
      <c r="M47" s="43">
        <v>54.641161094658401</v>
      </c>
      <c r="N47" s="43">
        <v>64.629186462554912</v>
      </c>
      <c r="O47" s="43">
        <v>75.98096580181857</v>
      </c>
      <c r="P47" s="43">
        <v>88.299814871368596</v>
      </c>
      <c r="R47" s="57">
        <f>(J47/D47)^(1/6)-1</f>
        <v>0.28968768615036589</v>
      </c>
      <c r="S47" s="57">
        <f>(P47/J47)^(1/6)-1</f>
        <v>0.18888675639361052</v>
      </c>
    </row>
    <row r="48" spans="1:19" x14ac:dyDescent="0.2">
      <c r="A48" s="62" t="s">
        <v>4</v>
      </c>
      <c r="B48" s="63"/>
      <c r="C48" s="63">
        <f t="shared" ref="C48:P48" si="35">C47/B47-1</f>
        <v>0.29882612514539564</v>
      </c>
      <c r="D48" s="63">
        <f t="shared" si="35"/>
        <v>0.30380741974923819</v>
      </c>
      <c r="E48" s="63">
        <f t="shared" si="35"/>
        <v>0.31536904252123477</v>
      </c>
      <c r="F48" s="63">
        <f t="shared" si="35"/>
        <v>0.28694997192163862</v>
      </c>
      <c r="G48" s="63">
        <f t="shared" si="35"/>
        <v>0.29685389095439696</v>
      </c>
      <c r="H48" s="63">
        <f t="shared" si="35"/>
        <v>0.34479074871237159</v>
      </c>
      <c r="I48" s="63">
        <f t="shared" si="35"/>
        <v>0.26966979091530985</v>
      </c>
      <c r="J48" s="63">
        <f t="shared" si="35"/>
        <v>0.22761303023954205</v>
      </c>
      <c r="K48" s="63">
        <f t="shared" si="35"/>
        <v>0.21347879317994001</v>
      </c>
      <c r="L48" s="63">
        <f t="shared" si="35"/>
        <v>0.19795947895126242</v>
      </c>
      <c r="M48" s="63">
        <f t="shared" si="35"/>
        <v>0.20206718762973419</v>
      </c>
      <c r="N48" s="63">
        <f t="shared" si="35"/>
        <v>0.18279306602935486</v>
      </c>
      <c r="O48" s="63">
        <f t="shared" si="35"/>
        <v>0.17564478157002172</v>
      </c>
      <c r="P48" s="63">
        <f t="shared" si="35"/>
        <v>0.16213072497237424</v>
      </c>
      <c r="R48" s="109"/>
      <c r="S48" s="109"/>
    </row>
    <row r="49" spans="1:19" x14ac:dyDescent="0.2">
      <c r="A49" s="68" t="s">
        <v>10</v>
      </c>
      <c r="B49" s="43">
        <v>27.924000891193117</v>
      </c>
      <c r="C49" s="43">
        <v>34.487763785034211</v>
      </c>
      <c r="D49" s="43">
        <v>42.661006701242421</v>
      </c>
      <c r="E49" s="43">
        <v>52.667326570953513</v>
      </c>
      <c r="F49" s="43">
        <v>64.061976865264853</v>
      </c>
      <c r="G49" s="43">
        <v>79.826324202172074</v>
      </c>
      <c r="H49" s="43">
        <v>101.93774426288041</v>
      </c>
      <c r="I49" s="43">
        <v>124.13710967601151</v>
      </c>
      <c r="J49" s="43">
        <v>148.37253873439192</v>
      </c>
      <c r="K49" s="43">
        <v>167.24963076155291</v>
      </c>
      <c r="L49" s="43">
        <v>190.27277976567333</v>
      </c>
      <c r="M49" s="43">
        <v>217.0624680483555</v>
      </c>
      <c r="N49" s="43">
        <v>243.46996339180149</v>
      </c>
      <c r="O49" s="43">
        <v>271.20993795165793</v>
      </c>
      <c r="P49" s="43">
        <v>298.35483753041194</v>
      </c>
      <c r="R49" s="57">
        <f>(J49/D49)^(1/6)-1</f>
        <v>0.23089329137385972</v>
      </c>
      <c r="S49" s="57">
        <f>(P49/J49)^(1/6)-1</f>
        <v>0.12347460312148151</v>
      </c>
    </row>
    <row r="50" spans="1:19" x14ac:dyDescent="0.2">
      <c r="A50" s="62" t="s">
        <v>4</v>
      </c>
      <c r="B50" s="63"/>
      <c r="C50" s="63">
        <f t="shared" ref="C50:P50" si="36">C49/B49-1</f>
        <v>0.23505811074197558</v>
      </c>
      <c r="D50" s="63">
        <f t="shared" si="36"/>
        <v>0.23698964557843971</v>
      </c>
      <c r="E50" s="63">
        <f t="shared" si="36"/>
        <v>0.23455423684175924</v>
      </c>
      <c r="F50" s="63">
        <f t="shared" si="36"/>
        <v>0.21635140866625235</v>
      </c>
      <c r="G50" s="63">
        <f t="shared" si="36"/>
        <v>0.24607962645396975</v>
      </c>
      <c r="H50" s="63">
        <f t="shared" si="36"/>
        <v>0.27699409037935752</v>
      </c>
      <c r="I50" s="63">
        <f t="shared" si="36"/>
        <v>0.21777375567466595</v>
      </c>
      <c r="J50" s="63">
        <f t="shared" si="36"/>
        <v>0.19523113693909155</v>
      </c>
      <c r="K50" s="63">
        <f t="shared" si="36"/>
        <v>0.12722766751975367</v>
      </c>
      <c r="L50" s="63">
        <f t="shared" si="36"/>
        <v>0.13765739810178967</v>
      </c>
      <c r="M50" s="63">
        <f t="shared" si="36"/>
        <v>0.14079622064529929</v>
      </c>
      <c r="N50" s="63">
        <f t="shared" si="36"/>
        <v>0.12165850494965857</v>
      </c>
      <c r="O50" s="63">
        <f t="shared" si="36"/>
        <v>0.11393592118472617</v>
      </c>
      <c r="P50" s="63">
        <f t="shared" si="36"/>
        <v>0.10008814493955787</v>
      </c>
      <c r="R50" s="109"/>
      <c r="S50" s="109"/>
    </row>
    <row r="51" spans="1:19" x14ac:dyDescent="0.2">
      <c r="A51" s="68" t="s">
        <v>11</v>
      </c>
      <c r="B51" s="43">
        <v>4.9118265911074319</v>
      </c>
      <c r="C51" s="43">
        <v>6.8705705675287394</v>
      </c>
      <c r="D51" s="43">
        <v>9.5171321342166699</v>
      </c>
      <c r="E51" s="43">
        <v>13.058034393985764</v>
      </c>
      <c r="F51" s="43">
        <v>17.527661599536902</v>
      </c>
      <c r="G51" s="43">
        <v>24.704153922218662</v>
      </c>
      <c r="H51" s="43">
        <v>34.904091080481749</v>
      </c>
      <c r="I51" s="43">
        <v>44.929134139528671</v>
      </c>
      <c r="J51" s="43">
        <v>57.588751660071388</v>
      </c>
      <c r="K51" s="43">
        <v>72.339964784109057</v>
      </c>
      <c r="L51" s="43">
        <v>89.447051315778808</v>
      </c>
      <c r="M51" s="43">
        <v>110.7426188629275</v>
      </c>
      <c r="N51" s="43">
        <v>134.65221436749772</v>
      </c>
      <c r="O51" s="43">
        <v>162.45449509286269</v>
      </c>
      <c r="P51" s="43">
        <v>193.44267490226875</v>
      </c>
      <c r="R51" s="57">
        <f>(J51/D51)^(1/6)-1</f>
        <v>0.34991138738656291</v>
      </c>
      <c r="S51" s="57">
        <f>(P51/J51)^(1/6)-1</f>
        <v>0.22377742469068496</v>
      </c>
    </row>
    <row r="52" spans="1:19" x14ac:dyDescent="0.2">
      <c r="A52" s="62" t="s">
        <v>4</v>
      </c>
      <c r="B52" s="63"/>
      <c r="C52" s="63">
        <f t="shared" ref="C52:P52" si="37">C51/B51-1</f>
        <v>0.39878117439396088</v>
      </c>
      <c r="D52" s="63">
        <f t="shared" si="37"/>
        <v>0.38520258844235511</v>
      </c>
      <c r="E52" s="63">
        <f t="shared" si="37"/>
        <v>0.37205559509241137</v>
      </c>
      <c r="F52" s="63">
        <f t="shared" si="37"/>
        <v>0.34228943428191205</v>
      </c>
      <c r="G52" s="63">
        <f t="shared" si="37"/>
        <v>0.40943809200831272</v>
      </c>
      <c r="H52" s="63">
        <f t="shared" si="37"/>
        <v>0.41288348471183101</v>
      </c>
      <c r="I52" s="63">
        <f t="shared" si="37"/>
        <v>0.28721684904876077</v>
      </c>
      <c r="J52" s="63">
        <f t="shared" si="37"/>
        <v>0.28176856204768885</v>
      </c>
      <c r="K52" s="63">
        <f t="shared" si="37"/>
        <v>0.25614747149077877</v>
      </c>
      <c r="L52" s="63">
        <f t="shared" si="37"/>
        <v>0.23648182001088935</v>
      </c>
      <c r="M52" s="63">
        <f t="shared" si="37"/>
        <v>0.23808015170861285</v>
      </c>
      <c r="N52" s="63">
        <f t="shared" si="37"/>
        <v>0.21590238473739265</v>
      </c>
      <c r="O52" s="63">
        <f t="shared" si="37"/>
        <v>0.20647473831723229</v>
      </c>
      <c r="P52" s="63">
        <f t="shared" si="37"/>
        <v>0.19074990686895132</v>
      </c>
      <c r="R52" s="109"/>
      <c r="S52" s="109"/>
    </row>
    <row r="53" spans="1:19" x14ac:dyDescent="0.2">
      <c r="A53" s="68" t="s">
        <v>22</v>
      </c>
      <c r="B53" s="43">
        <v>2.0469064093214868</v>
      </c>
      <c r="C53" s="43">
        <v>2.7040850400826062</v>
      </c>
      <c r="D53" s="43">
        <v>3.5817172622104221</v>
      </c>
      <c r="E53" s="43">
        <v>4.7429792048242696</v>
      </c>
      <c r="F53" s="43">
        <v>6.1554702849144389</v>
      </c>
      <c r="G53" s="43">
        <v>8.2870000623099909</v>
      </c>
      <c r="H53" s="43">
        <v>11.19284264675564</v>
      </c>
      <c r="I53" s="43">
        <v>14.297881669311471</v>
      </c>
      <c r="J53" s="43">
        <v>17.956776538229466</v>
      </c>
      <c r="K53" s="43">
        <v>21.907574653607849</v>
      </c>
      <c r="L53" s="43">
        <v>26.525382173533149</v>
      </c>
      <c r="M53" s="43">
        <v>32.210104420054776</v>
      </c>
      <c r="N53" s="43">
        <v>38.467608523518429</v>
      </c>
      <c r="O53" s="43">
        <v>45.64283890579086</v>
      </c>
      <c r="P53" s="43">
        <v>53.511755913614877</v>
      </c>
      <c r="R53" s="57">
        <f>(J53/D53)^(1/6)-1</f>
        <v>0.30824629362548173</v>
      </c>
      <c r="S53" s="57">
        <f>(P53/J53)^(1/6)-1</f>
        <v>0.19960095816061441</v>
      </c>
    </row>
    <row r="54" spans="1:19" x14ac:dyDescent="0.2">
      <c r="A54" s="62" t="s">
        <v>4</v>
      </c>
      <c r="C54" s="63">
        <f t="shared" ref="C54:P54" si="38">C53/B53-1</f>
        <v>0.32105944256579977</v>
      </c>
      <c r="D54" s="63">
        <f t="shared" si="38"/>
        <v>0.3245579222245929</v>
      </c>
      <c r="E54" s="63">
        <f t="shared" si="38"/>
        <v>0.32421932207378812</v>
      </c>
      <c r="F54" s="63">
        <f t="shared" si="38"/>
        <v>0.29780672001544284</v>
      </c>
      <c r="G54" s="63">
        <f t="shared" si="38"/>
        <v>0.34628219757951118</v>
      </c>
      <c r="H54" s="63">
        <f t="shared" si="38"/>
        <v>0.35065072554562637</v>
      </c>
      <c r="I54" s="63">
        <f t="shared" si="38"/>
        <v>0.27741290756516235</v>
      </c>
      <c r="J54" s="63">
        <f t="shared" si="38"/>
        <v>0.25590468249372456</v>
      </c>
      <c r="K54" s="63">
        <f t="shared" si="38"/>
        <v>0.22001711203384677</v>
      </c>
      <c r="L54" s="63">
        <f t="shared" si="38"/>
        <v>0.21078588538164889</v>
      </c>
      <c r="M54" s="63">
        <f t="shared" si="38"/>
        <v>0.21431254823516954</v>
      </c>
      <c r="N54" s="63">
        <f t="shared" si="38"/>
        <v>0.19427146282604357</v>
      </c>
      <c r="O54" s="63">
        <f t="shared" si="38"/>
        <v>0.18652655201806012</v>
      </c>
      <c r="P54" s="63">
        <f t="shared" si="38"/>
        <v>0.17240200645857851</v>
      </c>
      <c r="R54" s="109"/>
      <c r="S54" s="109"/>
    </row>
    <row r="55" spans="1:19" x14ac:dyDescent="0.2">
      <c r="A55" s="77" t="s">
        <v>23</v>
      </c>
      <c r="B55" s="56">
        <f t="shared" ref="B55:P55" si="39">B53+B51+B49+B47</f>
        <v>38.895511340960006</v>
      </c>
      <c r="C55" s="56">
        <f t="shared" si="39"/>
        <v>49.274319578240011</v>
      </c>
      <c r="D55" s="56">
        <f t="shared" si="39"/>
        <v>62.555170230639995</v>
      </c>
      <c r="E55" s="56">
        <f t="shared" si="39"/>
        <v>79.406686014479945</v>
      </c>
      <c r="F55" s="56">
        <f t="shared" si="39"/>
        <v>99.248312683599863</v>
      </c>
      <c r="G55" s="56">
        <f t="shared" si="39"/>
        <v>127.73545296679968</v>
      </c>
      <c r="H55" s="56">
        <f t="shared" si="39"/>
        <v>168.09623246391936</v>
      </c>
      <c r="I55" s="56">
        <f t="shared" si="39"/>
        <v>208.83567515903937</v>
      </c>
      <c r="J55" s="56">
        <f t="shared" si="39"/>
        <v>255.1872732131194</v>
      </c>
      <c r="K55" s="56">
        <f t="shared" si="39"/>
        <v>299.44168890013651</v>
      </c>
      <c r="L55" s="56">
        <f t="shared" si="39"/>
        <v>351.70120910693197</v>
      </c>
      <c r="M55" s="56">
        <f t="shared" si="39"/>
        <v>414.65635242599615</v>
      </c>
      <c r="N55" s="56">
        <f t="shared" si="39"/>
        <v>481.21897274537253</v>
      </c>
      <c r="O55" s="56">
        <f t="shared" si="39"/>
        <v>555.28823775213004</v>
      </c>
      <c r="P55" s="56">
        <f t="shared" si="39"/>
        <v>633.60908321766419</v>
      </c>
      <c r="R55" s="57">
        <f>(J55/D55)^(1/6)-1</f>
        <v>0.26405498834834384</v>
      </c>
      <c r="S55" s="57">
        <f>(P55/J55)^(1/6)-1</f>
        <v>0.16366256652981259</v>
      </c>
    </row>
    <row r="56" spans="1:19" x14ac:dyDescent="0.2">
      <c r="A56" s="74" t="s">
        <v>4</v>
      </c>
      <c r="B56" s="66"/>
      <c r="C56" s="59">
        <f t="shared" ref="C56:P56" si="40">C55/B55-1</f>
        <v>0.26683820007658077</v>
      </c>
      <c r="D56" s="59">
        <f t="shared" si="40"/>
        <v>0.26952884922768017</v>
      </c>
      <c r="E56" s="59">
        <f t="shared" si="40"/>
        <v>0.26938645873248612</v>
      </c>
      <c r="F56" s="59">
        <f t="shared" si="40"/>
        <v>0.24987350140140285</v>
      </c>
      <c r="G56" s="59">
        <f t="shared" si="40"/>
        <v>0.28702896314233395</v>
      </c>
      <c r="H56" s="59">
        <f t="shared" si="40"/>
        <v>0.31597163167856013</v>
      </c>
      <c r="I56" s="59">
        <f t="shared" si="40"/>
        <v>0.24235785715104852</v>
      </c>
      <c r="J56" s="59">
        <f t="shared" si="40"/>
        <v>0.22195248976871818</v>
      </c>
      <c r="K56" s="59">
        <f t="shared" si="40"/>
        <v>0.17341936817537951</v>
      </c>
      <c r="L56" s="59">
        <f t="shared" si="40"/>
        <v>0.1745231948121424</v>
      </c>
      <c r="M56" s="59">
        <f t="shared" si="40"/>
        <v>0.17900178244745013</v>
      </c>
      <c r="N56" s="59">
        <f t="shared" si="40"/>
        <v>0.1605247813760573</v>
      </c>
      <c r="O56" s="59">
        <f t="shared" si="40"/>
        <v>0.15392008462216178</v>
      </c>
      <c r="P56" s="59">
        <f t="shared" si="40"/>
        <v>0.14104538893635832</v>
      </c>
      <c r="R56" s="109"/>
      <c r="S56" s="109"/>
    </row>
    <row r="57" spans="1:19" ht="17.100000000000001" customHeight="1" x14ac:dyDescent="0.2">
      <c r="R57" s="109"/>
      <c r="S57" s="109"/>
    </row>
    <row r="58" spans="1:19" x14ac:dyDescent="0.2">
      <c r="A58" s="67" t="s">
        <v>24</v>
      </c>
      <c r="R58" s="109"/>
      <c r="S58" s="109"/>
    </row>
    <row r="59" spans="1:19" x14ac:dyDescent="0.2">
      <c r="A59" s="68" t="s">
        <v>82</v>
      </c>
      <c r="B59" s="112">
        <f t="shared" ref="B59:P59" si="41">(B47*1000000)/(B34*1000)</f>
        <v>135.99302913086106</v>
      </c>
      <c r="C59" s="112">
        <f t="shared" si="41"/>
        <v>139.83600947997002</v>
      </c>
      <c r="D59" s="112">
        <f t="shared" si="41"/>
        <v>142.07312836142822</v>
      </c>
      <c r="E59" s="112">
        <f t="shared" si="41"/>
        <v>142.30438513724073</v>
      </c>
      <c r="F59" s="112">
        <f t="shared" si="41"/>
        <v>146.08505879960092</v>
      </c>
      <c r="G59" s="112">
        <f t="shared" si="41"/>
        <v>140.6263951035082</v>
      </c>
      <c r="H59" s="112">
        <f t="shared" si="41"/>
        <v>153.89093321592603</v>
      </c>
      <c r="I59" s="112">
        <f t="shared" si="41"/>
        <v>180.35353476880528</v>
      </c>
      <c r="J59" s="112">
        <f t="shared" si="41"/>
        <v>188.96124468333218</v>
      </c>
      <c r="K59" s="112">
        <f t="shared" si="41"/>
        <v>195.46040033962663</v>
      </c>
      <c r="L59" s="112">
        <f t="shared" si="41"/>
        <v>198.91251778282708</v>
      </c>
      <c r="M59" s="112">
        <f t="shared" si="41"/>
        <v>203.21548847884986</v>
      </c>
      <c r="N59" s="112">
        <f t="shared" si="41"/>
        <v>208.55481209979015</v>
      </c>
      <c r="O59" s="112">
        <f t="shared" si="41"/>
        <v>215.28314007520578</v>
      </c>
      <c r="P59" s="112">
        <f t="shared" si="41"/>
        <v>222.5201168175924</v>
      </c>
      <c r="R59" s="57">
        <f>(J59/D59)^(1/6)-1</f>
        <v>4.8681161112187787E-2</v>
      </c>
      <c r="S59" s="57">
        <f>(P59/J59)^(1/6)-1</f>
        <v>2.7620492811379682E-2</v>
      </c>
    </row>
    <row r="60" spans="1:19" x14ac:dyDescent="0.2">
      <c r="A60" s="62" t="s">
        <v>4</v>
      </c>
      <c r="C60" s="63">
        <f t="shared" ref="C60:P60" si="42">C59/B59-1</f>
        <v>2.8258656886089417E-2</v>
      </c>
      <c r="D60" s="63">
        <f t="shared" si="42"/>
        <v>1.5998160200492828E-2</v>
      </c>
      <c r="E60" s="63">
        <f t="shared" si="42"/>
        <v>1.6277305812835152E-3</v>
      </c>
      <c r="F60" s="63">
        <f t="shared" si="42"/>
        <v>2.656751342352548E-2</v>
      </c>
      <c r="G60" s="63">
        <f t="shared" si="42"/>
        <v>-3.7366338083765882E-2</v>
      </c>
      <c r="H60" s="63">
        <f t="shared" si="42"/>
        <v>9.4324668584830462E-2</v>
      </c>
      <c r="I60" s="63">
        <f t="shared" si="42"/>
        <v>0.17195685931509219</v>
      </c>
      <c r="J60" s="63">
        <f t="shared" si="42"/>
        <v>4.7726871145392868E-2</v>
      </c>
      <c r="K60" s="63">
        <f t="shared" si="42"/>
        <v>3.4394119636468101E-2</v>
      </c>
      <c r="L60" s="63">
        <f t="shared" si="42"/>
        <v>1.766146716778505E-2</v>
      </c>
      <c r="M60" s="63">
        <f t="shared" si="42"/>
        <v>2.1632478156657697E-2</v>
      </c>
      <c r="N60" s="63">
        <f t="shared" si="42"/>
        <v>2.6274196228384339E-2</v>
      </c>
      <c r="O60" s="63">
        <f t="shared" si="42"/>
        <v>3.2261676955198881E-2</v>
      </c>
      <c r="P60" s="63">
        <f t="shared" si="42"/>
        <v>3.3616086888450747E-2</v>
      </c>
      <c r="R60" s="109"/>
      <c r="S60" s="109"/>
    </row>
    <row r="61" spans="1:19" x14ac:dyDescent="0.2">
      <c r="A61" s="68" t="s">
        <v>10</v>
      </c>
      <c r="B61" s="112">
        <f t="shared" ref="B61:P61" si="43">(B49*1000000)/(B36*1000)</f>
        <v>7401.1359554515211</v>
      </c>
      <c r="C61" s="112">
        <f t="shared" si="43"/>
        <v>7385.4549875538014</v>
      </c>
      <c r="D61" s="112">
        <f t="shared" si="43"/>
        <v>7518.845360929713</v>
      </c>
      <c r="E61" s="112">
        <f t="shared" si="43"/>
        <v>7621.848596564143</v>
      </c>
      <c r="F61" s="112">
        <f t="shared" si="43"/>
        <v>8214.3475593590956</v>
      </c>
      <c r="G61" s="112">
        <f t="shared" si="43"/>
        <v>8235.6307425933392</v>
      </c>
      <c r="H61" s="112">
        <f t="shared" si="43"/>
        <v>8799.370488106666</v>
      </c>
      <c r="I61" s="112">
        <f t="shared" si="43"/>
        <v>9258.8656961879133</v>
      </c>
      <c r="J61" s="112">
        <f t="shared" si="43"/>
        <v>9709.5000104118117</v>
      </c>
      <c r="K61" s="112">
        <f t="shared" si="43"/>
        <v>9700.1688663660407</v>
      </c>
      <c r="L61" s="112">
        <f t="shared" si="43"/>
        <v>9861.310406960949</v>
      </c>
      <c r="M61" s="112">
        <f t="shared" si="43"/>
        <v>10166.273645501418</v>
      </c>
      <c r="N61" s="112">
        <f t="shared" si="43"/>
        <v>10470.970127086995</v>
      </c>
      <c r="O61" s="112">
        <f t="shared" si="43"/>
        <v>10831.078324243777</v>
      </c>
      <c r="P61" s="112">
        <f t="shared" si="43"/>
        <v>11181.706720707189</v>
      </c>
      <c r="R61" s="57">
        <f>(J61/D61)^(1/6)-1</f>
        <v>4.3536439619676903E-2</v>
      </c>
      <c r="S61" s="57">
        <f>(P61/J61)^(1/6)-1</f>
        <v>2.3808046325896504E-2</v>
      </c>
    </row>
    <row r="62" spans="1:19" x14ac:dyDescent="0.2">
      <c r="A62" s="62" t="s">
        <v>4</v>
      </c>
      <c r="C62" s="63">
        <f t="shared" ref="C62:P62" si="44">C61/B61-1</f>
        <v>-2.1187244758245072E-3</v>
      </c>
      <c r="D62" s="63">
        <f t="shared" si="44"/>
        <v>1.8061226234633576E-2</v>
      </c>
      <c r="E62" s="63">
        <f t="shared" si="44"/>
        <v>1.369934221146063E-2</v>
      </c>
      <c r="F62" s="63">
        <f t="shared" si="44"/>
        <v>7.7736910578628526E-2</v>
      </c>
      <c r="G62" s="63">
        <f t="shared" si="44"/>
        <v>2.5909767124467908E-3</v>
      </c>
      <c r="H62" s="63">
        <f t="shared" si="44"/>
        <v>6.8451313947061276E-2</v>
      </c>
      <c r="I62" s="63">
        <f t="shared" si="44"/>
        <v>5.2219100071113855E-2</v>
      </c>
      <c r="J62" s="63">
        <f t="shared" si="44"/>
        <v>4.8670574669792854E-2</v>
      </c>
      <c r="K62" s="63">
        <f t="shared" si="44"/>
        <v>-9.6103239464084833E-4</v>
      </c>
      <c r="L62" s="63">
        <f t="shared" si="44"/>
        <v>1.6612240757338137E-2</v>
      </c>
      <c r="M62" s="63">
        <f t="shared" si="44"/>
        <v>3.0925224534581242E-2</v>
      </c>
      <c r="N62" s="63">
        <f t="shared" si="44"/>
        <v>2.9971304355003836E-2</v>
      </c>
      <c r="O62" s="63">
        <f t="shared" si="44"/>
        <v>3.4391101568061133E-2</v>
      </c>
      <c r="P62" s="63">
        <f t="shared" si="44"/>
        <v>3.237243660943534E-2</v>
      </c>
      <c r="R62" s="109"/>
      <c r="S62" s="109"/>
    </row>
    <row r="63" spans="1:19" x14ac:dyDescent="0.2">
      <c r="A63" s="68" t="s">
        <v>11</v>
      </c>
      <c r="B63" s="112">
        <f t="shared" ref="B63:P63" si="45">(B51*1000000)/(B38*1000)</f>
        <v>18895.014570302686</v>
      </c>
      <c r="C63" s="112">
        <f t="shared" si="45"/>
        <v>19814.101820757885</v>
      </c>
      <c r="D63" s="112">
        <f t="shared" si="45"/>
        <v>22297.374142229542</v>
      </c>
      <c r="E63" s="112">
        <f t="shared" si="45"/>
        <v>25211.146127798136</v>
      </c>
      <c r="F63" s="112">
        <f t="shared" si="45"/>
        <v>30327.455287803234</v>
      </c>
      <c r="G63" s="112">
        <f t="shared" si="45"/>
        <v>36120.467718751097</v>
      </c>
      <c r="H63" s="112">
        <f t="shared" si="45"/>
        <v>45746.427171260992</v>
      </c>
      <c r="I63" s="112">
        <f t="shared" si="45"/>
        <v>53922.976957292165</v>
      </c>
      <c r="J63" s="112">
        <f t="shared" si="45"/>
        <v>65393.326085341512</v>
      </c>
      <c r="K63" s="112">
        <f t="shared" si="45"/>
        <v>78135.571507968125</v>
      </c>
      <c r="L63" s="112">
        <f t="shared" si="45"/>
        <v>92704.514665667171</v>
      </c>
      <c r="M63" s="112">
        <f t="shared" si="45"/>
        <v>110749.95674575292</v>
      </c>
      <c r="N63" s="112">
        <f t="shared" si="45"/>
        <v>131252.8198284643</v>
      </c>
      <c r="O63" s="112">
        <f t="shared" si="45"/>
        <v>155126.62558077305</v>
      </c>
      <c r="P63" s="112">
        <f t="shared" si="45"/>
        <v>181630.63340125172</v>
      </c>
      <c r="R63" s="57">
        <f>(J63/D63)^(1/6)-1</f>
        <v>0.19640977042573127</v>
      </c>
      <c r="S63" s="57">
        <f>(P63/J63)^(1/6)-1</f>
        <v>0.18561206928807894</v>
      </c>
    </row>
    <row r="64" spans="1:19" x14ac:dyDescent="0.2">
      <c r="A64" s="62" t="s">
        <v>4</v>
      </c>
      <c r="C64" s="63">
        <f t="shared" ref="C64:P64" si="46">C63/B63-1</f>
        <v>4.8641785749121924E-2</v>
      </c>
      <c r="D64" s="63">
        <f t="shared" si="46"/>
        <v>0.12532853338172023</v>
      </c>
      <c r="E64" s="63">
        <f t="shared" si="46"/>
        <v>0.13067780838148702</v>
      </c>
      <c r="F64" s="63">
        <f t="shared" si="46"/>
        <v>0.20293838027315192</v>
      </c>
      <c r="G64" s="63">
        <f t="shared" si="46"/>
        <v>0.19101544709152152</v>
      </c>
      <c r="H64" s="63">
        <f t="shared" si="46"/>
        <v>0.26649598026973509</v>
      </c>
      <c r="I64" s="63">
        <f t="shared" si="46"/>
        <v>0.17873635804213972</v>
      </c>
      <c r="J64" s="63">
        <f t="shared" si="46"/>
        <v>0.2127172825998469</v>
      </c>
      <c r="K64" s="63">
        <f t="shared" si="46"/>
        <v>0.19485544145586586</v>
      </c>
      <c r="L64" s="63">
        <f t="shared" si="46"/>
        <v>0.18645724190055146</v>
      </c>
      <c r="M64" s="63">
        <f t="shared" si="46"/>
        <v>0.19465548301682456</v>
      </c>
      <c r="N64" s="63">
        <f t="shared" si="46"/>
        <v>0.18512750420101298</v>
      </c>
      <c r="O64" s="63">
        <f t="shared" si="46"/>
        <v>0.18189175503817512</v>
      </c>
      <c r="P64" s="63">
        <f t="shared" si="46"/>
        <v>0.17085402148890472</v>
      </c>
      <c r="R64" s="109"/>
      <c r="S64" s="109"/>
    </row>
    <row r="65" spans="1:19" x14ac:dyDescent="0.2">
      <c r="A65" s="77" t="s">
        <v>23</v>
      </c>
      <c r="B65" s="56">
        <f>(B55*1000000)/(B40*1000)</f>
        <v>1159.6713073725364</v>
      </c>
      <c r="C65" s="56">
        <f t="shared" ref="C65:P65" si="47">(C55*1000000)/(C40*1000)</f>
        <v>1165.2093129431062</v>
      </c>
      <c r="D65" s="56">
        <f t="shared" si="47"/>
        <v>1159.9241342789107</v>
      </c>
      <c r="E65" s="56">
        <f t="shared" si="47"/>
        <v>1130.5140519067795</v>
      </c>
      <c r="F65" s="56">
        <f t="shared" si="47"/>
        <v>1139.214784915685</v>
      </c>
      <c r="G65" s="56">
        <f t="shared" si="47"/>
        <v>1096.8270811492844</v>
      </c>
      <c r="H65" s="56">
        <f t="shared" si="47"/>
        <v>1177.8883864967065</v>
      </c>
      <c r="I65" s="56">
        <f t="shared" si="47"/>
        <v>1343.2382339426135</v>
      </c>
      <c r="J65" s="56">
        <f t="shared" si="47"/>
        <v>1404.8968189705718</v>
      </c>
      <c r="K65" s="56">
        <f t="shared" si="47"/>
        <v>1410.4868619267565</v>
      </c>
      <c r="L65" s="56">
        <f t="shared" si="47"/>
        <v>1413.6906974562698</v>
      </c>
      <c r="M65" s="56">
        <f t="shared" si="47"/>
        <v>1423.7909040898751</v>
      </c>
      <c r="N65" s="56">
        <f t="shared" si="47"/>
        <v>1440.0490838869441</v>
      </c>
      <c r="O65" s="56">
        <f t="shared" si="47"/>
        <v>1465.0544070830617</v>
      </c>
      <c r="P65" s="56">
        <f t="shared" si="47"/>
        <v>1492.3735751673321</v>
      </c>
      <c r="R65" s="57">
        <f>(J65/D65)^(1/6)-1</f>
        <v>3.2450266536635297E-2</v>
      </c>
      <c r="S65" s="57">
        <f>(P65/J65)^(1/6)-1</f>
        <v>1.0118178460104765E-2</v>
      </c>
    </row>
    <row r="66" spans="1:19" x14ac:dyDescent="0.2">
      <c r="A66" s="74" t="s">
        <v>4</v>
      </c>
      <c r="B66" s="66"/>
      <c r="C66" s="59">
        <f t="shared" ref="C66:P66" si="48">C65/B65-1</f>
        <v>4.7754958972963113E-3</v>
      </c>
      <c r="D66" s="59">
        <f t="shared" si="48"/>
        <v>-4.5358191060506092E-3</v>
      </c>
      <c r="E66" s="59">
        <f t="shared" si="48"/>
        <v>-2.5355177552551345E-2</v>
      </c>
      <c r="F66" s="59">
        <f t="shared" si="48"/>
        <v>7.6962625933134632E-3</v>
      </c>
      <c r="G66" s="59">
        <f t="shared" si="48"/>
        <v>-3.7207824483719065E-2</v>
      </c>
      <c r="H66" s="59">
        <f t="shared" si="48"/>
        <v>7.3905273438803043E-2</v>
      </c>
      <c r="I66" s="59">
        <f t="shared" si="48"/>
        <v>0.14037819656045092</v>
      </c>
      <c r="J66" s="59">
        <f t="shared" si="48"/>
        <v>4.5902940721826102E-2</v>
      </c>
      <c r="K66" s="59">
        <f t="shared" si="48"/>
        <v>3.9789704700738948E-3</v>
      </c>
      <c r="L66" s="59">
        <f t="shared" si="48"/>
        <v>2.2714394695861895E-3</v>
      </c>
      <c r="M66" s="59">
        <f t="shared" si="48"/>
        <v>7.1445661004765348E-3</v>
      </c>
      <c r="N66" s="59">
        <f t="shared" si="48"/>
        <v>1.141893781619685E-2</v>
      </c>
      <c r="O66" s="59">
        <f t="shared" si="48"/>
        <v>1.736421589785242E-2</v>
      </c>
      <c r="P66" s="59">
        <f t="shared" si="48"/>
        <v>1.8647203784508681E-2</v>
      </c>
      <c r="R66" s="109"/>
      <c r="S66" s="109"/>
    </row>
    <row r="67" spans="1:19" ht="17.100000000000001" customHeight="1" x14ac:dyDescent="0.2">
      <c r="R67" s="109"/>
      <c r="S67" s="109"/>
    </row>
    <row r="68" spans="1:19" x14ac:dyDescent="0.2">
      <c r="A68" s="67" t="s">
        <v>25</v>
      </c>
      <c r="R68" s="109"/>
      <c r="S68" s="109"/>
    </row>
    <row r="69" spans="1:19" x14ac:dyDescent="0.2">
      <c r="A69" s="68" t="s">
        <v>26</v>
      </c>
      <c r="B69" s="46">
        <v>25.400862591200003</v>
      </c>
      <c r="C69" s="46">
        <v>32.013107159200025</v>
      </c>
      <c r="D69" s="46">
        <v>40.024871055200002</v>
      </c>
      <c r="E69" s="46">
        <v>50.504782040799967</v>
      </c>
      <c r="F69" s="46">
        <v>62.97394596719991</v>
      </c>
      <c r="G69" s="46">
        <v>80.055079970399817</v>
      </c>
      <c r="H69" s="46">
        <v>103.8167755191996</v>
      </c>
      <c r="I69" s="46">
        <v>128.27986009599962</v>
      </c>
      <c r="J69" s="46">
        <v>155.31548388799962</v>
      </c>
      <c r="K69" s="46">
        <v>180.97264165668926</v>
      </c>
      <c r="L69" s="46">
        <v>211.11641504799013</v>
      </c>
      <c r="M69" s="46">
        <v>247.25035907499648</v>
      </c>
      <c r="N69" s="46">
        <v>285.20156493914021</v>
      </c>
      <c r="O69" s="46">
        <v>327.2452998146623</v>
      </c>
      <c r="P69" s="46">
        <v>371.31575708344667</v>
      </c>
      <c r="R69" s="57">
        <f>(J69/D69)^(1/6)-1</f>
        <v>0.25356676304042081</v>
      </c>
      <c r="S69" s="57">
        <f>(P69/J69)^(1/6)-1</f>
        <v>0.15634680348289032</v>
      </c>
    </row>
    <row r="70" spans="1:19" x14ac:dyDescent="0.2">
      <c r="A70" s="62" t="s">
        <v>4</v>
      </c>
      <c r="B70" s="63"/>
      <c r="C70" s="63">
        <f t="shared" ref="C70:P70" si="49">C69/B69-1</f>
        <v>0.26031574889471676</v>
      </c>
      <c r="D70" s="63">
        <f t="shared" si="49"/>
        <v>0.25026511347860625</v>
      </c>
      <c r="E70" s="63">
        <f t="shared" si="49"/>
        <v>0.26183497183905158</v>
      </c>
      <c r="F70" s="63">
        <f t="shared" si="49"/>
        <v>0.2468907581132973</v>
      </c>
      <c r="G70" s="63">
        <f t="shared" si="49"/>
        <v>0.27124128464328168</v>
      </c>
      <c r="H70" s="63">
        <f t="shared" si="49"/>
        <v>0.29681683607818021</v>
      </c>
      <c r="I70" s="63">
        <f t="shared" si="49"/>
        <v>0.23563710637762858</v>
      </c>
      <c r="J70" s="63">
        <f t="shared" si="49"/>
        <v>0.210755014635716</v>
      </c>
      <c r="K70" s="63">
        <f t="shared" si="49"/>
        <v>0.16519381794020882</v>
      </c>
      <c r="L70" s="63">
        <f t="shared" si="49"/>
        <v>0.16656536101453701</v>
      </c>
      <c r="M70" s="63">
        <f t="shared" si="49"/>
        <v>0.17115648737589884</v>
      </c>
      <c r="N70" s="63">
        <f t="shared" si="49"/>
        <v>0.15349302628366379</v>
      </c>
      <c r="O70" s="63">
        <f t="shared" si="49"/>
        <v>0.1474176163251204</v>
      </c>
      <c r="P70" s="63">
        <f t="shared" si="49"/>
        <v>0.13467101679915339</v>
      </c>
      <c r="R70" s="109"/>
      <c r="S70" s="109"/>
    </row>
    <row r="71" spans="1:19" x14ac:dyDescent="0.2">
      <c r="A71" s="68" t="s">
        <v>27</v>
      </c>
      <c r="B71" s="46">
        <v>11.82329109416</v>
      </c>
      <c r="C71" s="46">
        <v>15.101598530319986</v>
      </c>
      <c r="D71" s="46">
        <v>19.679385720800003</v>
      </c>
      <c r="E71" s="46">
        <v>25.20702585279999</v>
      </c>
      <c r="F71" s="46">
        <v>31.59557936239997</v>
      </c>
      <c r="G71" s="46">
        <v>41.458105913599894</v>
      </c>
      <c r="H71" s="46">
        <v>55.875907210399788</v>
      </c>
      <c r="I71" s="46">
        <v>69.900641735999784</v>
      </c>
      <c r="J71" s="46">
        <v>86.556372107999806</v>
      </c>
      <c r="K71" s="46">
        <v>102.48138927676882</v>
      </c>
      <c r="L71" s="46">
        <v>121.34424817774445</v>
      </c>
      <c r="M71" s="46">
        <v>144.20624958881089</v>
      </c>
      <c r="N71" s="46">
        <v>168.56748889182686</v>
      </c>
      <c r="O71" s="46">
        <v>195.76477189692935</v>
      </c>
      <c r="P71" s="46">
        <v>224.71686823991649</v>
      </c>
      <c r="R71" s="57">
        <f>(J71/D71)^(1/6)-1</f>
        <v>0.28001360156379795</v>
      </c>
      <c r="S71" s="57">
        <f>(P71/J71)^(1/6)-1</f>
        <v>0.17234680647818901</v>
      </c>
    </row>
    <row r="72" spans="1:19" x14ac:dyDescent="0.2">
      <c r="A72" s="62" t="s">
        <v>4</v>
      </c>
      <c r="B72" s="63"/>
      <c r="C72" s="63">
        <f t="shared" ref="C72:P72" si="50">C71/B71-1</f>
        <v>0.27727537197991126</v>
      </c>
      <c r="D72" s="63">
        <f t="shared" si="50"/>
        <v>0.30313262409201513</v>
      </c>
      <c r="E72" s="63">
        <f t="shared" si="50"/>
        <v>0.28088479032948599</v>
      </c>
      <c r="F72" s="63">
        <f t="shared" si="50"/>
        <v>0.25344336721463478</v>
      </c>
      <c r="G72" s="63">
        <f t="shared" si="50"/>
        <v>0.31214893824471956</v>
      </c>
      <c r="H72" s="63">
        <f t="shared" si="50"/>
        <v>0.34776796911192909</v>
      </c>
      <c r="I72" s="63">
        <f t="shared" si="50"/>
        <v>0.25099788488068908</v>
      </c>
      <c r="J72" s="63">
        <f t="shared" si="50"/>
        <v>0.23827721689459236</v>
      </c>
      <c r="K72" s="63">
        <f t="shared" si="50"/>
        <v>0.18398434200660296</v>
      </c>
      <c r="L72" s="63">
        <f t="shared" si="50"/>
        <v>0.18406131136681991</v>
      </c>
      <c r="M72" s="63">
        <f t="shared" si="50"/>
        <v>0.18840614000573219</v>
      </c>
      <c r="N72" s="63">
        <f t="shared" si="50"/>
        <v>0.16893331164550429</v>
      </c>
      <c r="O72" s="63">
        <f t="shared" si="50"/>
        <v>0.16134358519486236</v>
      </c>
      <c r="P72" s="63">
        <f t="shared" si="50"/>
        <v>0.14789226918840392</v>
      </c>
      <c r="R72" s="109"/>
      <c r="S72" s="109"/>
    </row>
    <row r="73" spans="1:19" x14ac:dyDescent="0.2">
      <c r="A73" s="68" t="s">
        <v>28</v>
      </c>
      <c r="B73" s="46">
        <v>1.6713576556</v>
      </c>
      <c r="C73" s="46">
        <v>2.1596138887199978</v>
      </c>
      <c r="D73" s="46">
        <v>2.8509134546399935</v>
      </c>
      <c r="E73" s="46">
        <v>3.6948781208799875</v>
      </c>
      <c r="F73" s="46">
        <v>4.6787873539999811</v>
      </c>
      <c r="G73" s="46">
        <v>6.2222670827999806</v>
      </c>
      <c r="H73" s="46">
        <v>8.4035497343199825</v>
      </c>
      <c r="I73" s="46">
        <v>10.655173327039968</v>
      </c>
      <c r="J73" s="46">
        <v>13.31541721711997</v>
      </c>
      <c r="K73" s="46">
        <v>15.987657966678407</v>
      </c>
      <c r="L73" s="46">
        <v>19.240545881197264</v>
      </c>
      <c r="M73" s="46">
        <v>23.199743762188923</v>
      </c>
      <c r="N73" s="46">
        <v>27.449918914405025</v>
      </c>
      <c r="O73" s="46">
        <v>32.278166040538885</v>
      </c>
      <c r="P73" s="46">
        <v>37.576457894301328</v>
      </c>
      <c r="R73" s="57">
        <f>(J73/D73)^(1/6)-1</f>
        <v>0.29289063860729891</v>
      </c>
      <c r="S73" s="57">
        <f>(P73/J73)^(1/6)-1</f>
        <v>0.1887581572423831</v>
      </c>
    </row>
    <row r="74" spans="1:19" x14ac:dyDescent="0.2">
      <c r="A74" s="62" t="s">
        <v>4</v>
      </c>
      <c r="B74" s="63"/>
      <c r="C74" s="63">
        <f t="shared" ref="C74:P74" si="51">C73/B73-1</f>
        <v>0.29213150846801783</v>
      </c>
      <c r="D74" s="63">
        <f t="shared" si="51"/>
        <v>0.32010331547262294</v>
      </c>
      <c r="E74" s="63">
        <f t="shared" si="51"/>
        <v>0.29603307138854129</v>
      </c>
      <c r="F74" s="63">
        <f t="shared" si="51"/>
        <v>0.26629003743313229</v>
      </c>
      <c r="G74" s="63">
        <f t="shared" si="51"/>
        <v>0.32988883914128952</v>
      </c>
      <c r="H74" s="63">
        <f t="shared" si="51"/>
        <v>0.3505607558296</v>
      </c>
      <c r="I74" s="63">
        <f t="shared" si="51"/>
        <v>0.26793720081460171</v>
      </c>
      <c r="J74" s="63">
        <f t="shared" si="51"/>
        <v>0.24966688090648104</v>
      </c>
      <c r="K74" s="63">
        <f t="shared" si="51"/>
        <v>0.20068772205820706</v>
      </c>
      <c r="L74" s="63">
        <f t="shared" si="51"/>
        <v>0.2034624409215251</v>
      </c>
      <c r="M74" s="63">
        <f t="shared" si="51"/>
        <v>0.20577367739138674</v>
      </c>
      <c r="N74" s="63">
        <f t="shared" si="51"/>
        <v>0.18319922822350576</v>
      </c>
      <c r="O74" s="63">
        <f t="shared" si="51"/>
        <v>0.17589294675840073</v>
      </c>
      <c r="P74" s="63">
        <f t="shared" si="51"/>
        <v>0.16414476110904808</v>
      </c>
      <c r="R74" s="109"/>
      <c r="S74" s="109"/>
    </row>
    <row r="75" spans="1:19" x14ac:dyDescent="0.2">
      <c r="A75" s="77" t="s">
        <v>23</v>
      </c>
      <c r="B75" s="56">
        <f t="shared" ref="B75:P75" si="52">B69+B71+B73</f>
        <v>38.895511340959999</v>
      </c>
      <c r="C75" s="56">
        <f t="shared" si="52"/>
        <v>49.274319578240004</v>
      </c>
      <c r="D75" s="56">
        <f t="shared" si="52"/>
        <v>62.555170230640002</v>
      </c>
      <c r="E75" s="56">
        <f t="shared" si="52"/>
        <v>79.406686014479945</v>
      </c>
      <c r="F75" s="56">
        <f t="shared" si="52"/>
        <v>99.248312683599863</v>
      </c>
      <c r="G75" s="56">
        <f t="shared" si="52"/>
        <v>127.7354529667997</v>
      </c>
      <c r="H75" s="56">
        <f t="shared" si="52"/>
        <v>168.09623246391936</v>
      </c>
      <c r="I75" s="56">
        <f t="shared" si="52"/>
        <v>208.83567515903937</v>
      </c>
      <c r="J75" s="56">
        <f t="shared" si="52"/>
        <v>255.1872732131194</v>
      </c>
      <c r="K75" s="56">
        <f t="shared" si="52"/>
        <v>299.44168890013646</v>
      </c>
      <c r="L75" s="56">
        <f t="shared" si="52"/>
        <v>351.70120910693186</v>
      </c>
      <c r="M75" s="56">
        <f t="shared" si="52"/>
        <v>414.65635242599632</v>
      </c>
      <c r="N75" s="56">
        <f t="shared" si="52"/>
        <v>481.21897274537213</v>
      </c>
      <c r="O75" s="56">
        <f t="shared" si="52"/>
        <v>555.2882377521305</v>
      </c>
      <c r="P75" s="56">
        <f t="shared" si="52"/>
        <v>633.60908321766453</v>
      </c>
      <c r="R75" s="57">
        <f>(J75/D75)^(1/6)-1</f>
        <v>0.26405498834834384</v>
      </c>
      <c r="S75" s="57">
        <f>(P75/J75)^(1/6)-1</f>
        <v>0.16366256652981281</v>
      </c>
    </row>
    <row r="76" spans="1:19" x14ac:dyDescent="0.2">
      <c r="A76" s="74" t="s">
        <v>4</v>
      </c>
      <c r="B76" s="66"/>
      <c r="C76" s="59">
        <f t="shared" ref="C76:P76" si="53">C75/B75-1</f>
        <v>0.26683820007658099</v>
      </c>
      <c r="D76" s="59">
        <f t="shared" si="53"/>
        <v>0.26952884922768061</v>
      </c>
      <c r="E76" s="59">
        <f t="shared" si="53"/>
        <v>0.26938645873248612</v>
      </c>
      <c r="F76" s="59">
        <f t="shared" si="53"/>
        <v>0.24987350140140285</v>
      </c>
      <c r="G76" s="59">
        <f t="shared" si="53"/>
        <v>0.28702896314233417</v>
      </c>
      <c r="H76" s="59">
        <f t="shared" si="53"/>
        <v>0.31597163167856013</v>
      </c>
      <c r="I76" s="59">
        <f t="shared" si="53"/>
        <v>0.24235785715104852</v>
      </c>
      <c r="J76" s="59">
        <f t="shared" si="53"/>
        <v>0.22195248976871818</v>
      </c>
      <c r="K76" s="59">
        <f t="shared" si="53"/>
        <v>0.17341936817537928</v>
      </c>
      <c r="L76" s="59">
        <f t="shared" si="53"/>
        <v>0.17452319481214218</v>
      </c>
      <c r="M76" s="59">
        <f t="shared" si="53"/>
        <v>0.17900178244745102</v>
      </c>
      <c r="N76" s="59">
        <f t="shared" si="53"/>
        <v>0.16052478137605575</v>
      </c>
      <c r="O76" s="59">
        <f t="shared" si="53"/>
        <v>0.15392008462216378</v>
      </c>
      <c r="P76" s="59">
        <f t="shared" si="53"/>
        <v>0.14104538893635787</v>
      </c>
      <c r="R76" s="109"/>
      <c r="S76" s="109"/>
    </row>
    <row r="77" spans="1:19" ht="17.100000000000001" customHeight="1" x14ac:dyDescent="0.2">
      <c r="J77" s="108"/>
      <c r="R77" s="109"/>
      <c r="S77" s="109"/>
    </row>
    <row r="78" spans="1:19" x14ac:dyDescent="0.2">
      <c r="A78" s="67" t="s">
        <v>29</v>
      </c>
      <c r="R78" s="109"/>
      <c r="S78" s="109"/>
    </row>
    <row r="79" spans="1:19" x14ac:dyDescent="0.2">
      <c r="A79" s="68" t="s">
        <v>30</v>
      </c>
      <c r="B79" s="46">
        <v>18.550080896350959</v>
      </c>
      <c r="C79" s="46">
        <v>23.084289445353921</v>
      </c>
      <c r="D79" s="46">
        <v>28.373490709447339</v>
      </c>
      <c r="E79" s="46">
        <v>35.330442893463236</v>
      </c>
      <c r="F79" s="46">
        <v>43.393535397887248</v>
      </c>
      <c r="G79" s="46">
        <v>54.104283511396872</v>
      </c>
      <c r="H79" s="46">
        <v>69.092954012888981</v>
      </c>
      <c r="I79" s="46">
        <v>84.664448364782928</v>
      </c>
      <c r="J79" s="46">
        <v>101.61743852499851</v>
      </c>
      <c r="K79" s="46">
        <v>117.09617898032361</v>
      </c>
      <c r="L79" s="46">
        <v>135.20049161540061</v>
      </c>
      <c r="M79" s="46">
        <v>156.84883538507398</v>
      </c>
      <c r="N79" s="46">
        <v>179.37288262781109</v>
      </c>
      <c r="O79" s="46">
        <v>204.23080790686464</v>
      </c>
      <c r="P79" s="46">
        <v>230.15784417127355</v>
      </c>
      <c r="R79" s="57">
        <f>(J79/D79)^(1/6)-1</f>
        <v>0.23692275494700388</v>
      </c>
      <c r="S79" s="57">
        <f>(P79/J79)^(1/6)-1</f>
        <v>0.14597793653224778</v>
      </c>
    </row>
    <row r="80" spans="1:19" x14ac:dyDescent="0.2">
      <c r="A80" s="62" t="s">
        <v>4</v>
      </c>
      <c r="B80" s="63"/>
      <c r="C80" s="63">
        <f t="shared" ref="C80:P80" si="54">C79/B79-1</f>
        <v>0.2444306617495613</v>
      </c>
      <c r="D80" s="63">
        <f t="shared" si="54"/>
        <v>0.22912558242757397</v>
      </c>
      <c r="E80" s="63">
        <f t="shared" si="54"/>
        <v>0.24519197356635036</v>
      </c>
      <c r="F80" s="63">
        <f t="shared" si="54"/>
        <v>0.2282194007229903</v>
      </c>
      <c r="G80" s="63">
        <f t="shared" si="54"/>
        <v>0.24682819722568894</v>
      </c>
      <c r="H80" s="63">
        <f t="shared" si="54"/>
        <v>0.27703297278365779</v>
      </c>
      <c r="I80" s="63">
        <f t="shared" si="54"/>
        <v>0.22537022152778641</v>
      </c>
      <c r="J80" s="63">
        <f t="shared" si="54"/>
        <v>0.20023741355016433</v>
      </c>
      <c r="K80" s="63">
        <f t="shared" si="54"/>
        <v>0.15232366294607247</v>
      </c>
      <c r="L80" s="63">
        <f t="shared" si="54"/>
        <v>0.15461061832016876</v>
      </c>
      <c r="M80" s="63">
        <f t="shared" si="54"/>
        <v>0.16012030363954266</v>
      </c>
      <c r="N80" s="63">
        <f t="shared" si="54"/>
        <v>0.143603535132659</v>
      </c>
      <c r="O80" s="63">
        <f t="shared" si="54"/>
        <v>0.13858240395585542</v>
      </c>
      <c r="P80" s="63">
        <f t="shared" si="54"/>
        <v>0.12694968271502116</v>
      </c>
      <c r="R80" s="109"/>
      <c r="S80" s="109"/>
    </row>
    <row r="81" spans="1:19" x14ac:dyDescent="0.2">
      <c r="A81" s="68" t="s">
        <v>31</v>
      </c>
      <c r="B81" s="46">
        <v>6.8507816948490436</v>
      </c>
      <c r="C81" s="46">
        <v>8.9288177138461045</v>
      </c>
      <c r="D81" s="46">
        <v>11.651380345752663</v>
      </c>
      <c r="E81" s="46">
        <v>15.174339147336731</v>
      </c>
      <c r="F81" s="46">
        <v>19.580410569312662</v>
      </c>
      <c r="G81" s="46">
        <v>25.950796459002945</v>
      </c>
      <c r="H81" s="46">
        <v>34.723821506310614</v>
      </c>
      <c r="I81" s="46">
        <v>43.615411731216696</v>
      </c>
      <c r="J81" s="46">
        <v>53.698045363001114</v>
      </c>
      <c r="K81" s="46">
        <v>63.876462676365648</v>
      </c>
      <c r="L81" s="46">
        <v>75.915923432589523</v>
      </c>
      <c r="M81" s="46">
        <v>90.401523689922499</v>
      </c>
      <c r="N81" s="46">
        <v>105.82868231132912</v>
      </c>
      <c r="O81" s="46">
        <v>123.01449190779766</v>
      </c>
      <c r="P81" s="46">
        <v>141.15791291217312</v>
      </c>
      <c r="R81" s="57">
        <f>(J81/D81)^(1/6)-1</f>
        <v>0.29002120644231777</v>
      </c>
      <c r="S81" s="57">
        <f>(P81/J81)^(1/6)-1</f>
        <v>0.17478337468617733</v>
      </c>
    </row>
    <row r="82" spans="1:19" x14ac:dyDescent="0.2">
      <c r="A82" s="62" t="s">
        <v>4</v>
      </c>
      <c r="B82" s="63"/>
      <c r="C82" s="63">
        <f t="shared" ref="C82:P82" si="55">C81/B81-1</f>
        <v>0.3033283078571154</v>
      </c>
      <c r="D82" s="63">
        <f t="shared" si="55"/>
        <v>0.30491860391377723</v>
      </c>
      <c r="E82" s="63">
        <f t="shared" si="55"/>
        <v>0.30236407164137513</v>
      </c>
      <c r="F82" s="63">
        <f t="shared" si="55"/>
        <v>0.29036331527816461</v>
      </c>
      <c r="G82" s="63">
        <f t="shared" si="55"/>
        <v>0.32534485766474441</v>
      </c>
      <c r="H82" s="63">
        <f t="shared" si="55"/>
        <v>0.33806380706531658</v>
      </c>
      <c r="I82" s="63">
        <f t="shared" si="55"/>
        <v>0.25606600423545389</v>
      </c>
      <c r="J82" s="63">
        <f t="shared" si="55"/>
        <v>0.23117135048315984</v>
      </c>
      <c r="K82" s="63">
        <f t="shared" si="55"/>
        <v>0.18954912128659407</v>
      </c>
      <c r="L82" s="63">
        <f t="shared" si="55"/>
        <v>0.18848039249171644</v>
      </c>
      <c r="M82" s="63">
        <f t="shared" si="55"/>
        <v>0.19081109209184088</v>
      </c>
      <c r="N82" s="63">
        <f t="shared" si="55"/>
        <v>0.170651533201164</v>
      </c>
      <c r="O82" s="63">
        <f t="shared" si="55"/>
        <v>0.16239273910555707</v>
      </c>
      <c r="P82" s="63">
        <f t="shared" si="55"/>
        <v>0.14749011049831751</v>
      </c>
      <c r="R82" s="109"/>
      <c r="S82" s="109"/>
    </row>
    <row r="83" spans="1:19" x14ac:dyDescent="0.2">
      <c r="A83" s="77" t="s">
        <v>23</v>
      </c>
      <c r="B83" s="56">
        <f t="shared" ref="B83:P83" si="56">B79+B81</f>
        <v>25.400862591200003</v>
      </c>
      <c r="C83" s="56">
        <f t="shared" si="56"/>
        <v>32.013107159200025</v>
      </c>
      <c r="D83" s="56">
        <f t="shared" si="56"/>
        <v>40.024871055200002</v>
      </c>
      <c r="E83" s="56">
        <f t="shared" si="56"/>
        <v>50.504782040799967</v>
      </c>
      <c r="F83" s="56">
        <f t="shared" si="56"/>
        <v>62.97394596719991</v>
      </c>
      <c r="G83" s="56">
        <f t="shared" si="56"/>
        <v>80.055079970399817</v>
      </c>
      <c r="H83" s="56">
        <f t="shared" si="56"/>
        <v>103.8167755191996</v>
      </c>
      <c r="I83" s="56">
        <f t="shared" si="56"/>
        <v>128.27986009599962</v>
      </c>
      <c r="J83" s="56">
        <f t="shared" si="56"/>
        <v>155.31548388799962</v>
      </c>
      <c r="K83" s="56">
        <f t="shared" si="56"/>
        <v>180.97264165668926</v>
      </c>
      <c r="L83" s="56">
        <f t="shared" si="56"/>
        <v>211.11641504799013</v>
      </c>
      <c r="M83" s="56">
        <f t="shared" si="56"/>
        <v>247.25035907499648</v>
      </c>
      <c r="N83" s="56">
        <f t="shared" si="56"/>
        <v>285.20156493914021</v>
      </c>
      <c r="O83" s="56">
        <f t="shared" si="56"/>
        <v>327.2452998146623</v>
      </c>
      <c r="P83" s="56">
        <f t="shared" si="56"/>
        <v>371.31575708344667</v>
      </c>
      <c r="R83" s="57">
        <f>(J83/D83)^(1/6)-1</f>
        <v>0.25356676304042081</v>
      </c>
      <c r="S83" s="57">
        <f>(P83/J83)^(1/6)-1</f>
        <v>0.15634680348289032</v>
      </c>
    </row>
    <row r="84" spans="1:19" x14ac:dyDescent="0.2">
      <c r="A84" s="74" t="s">
        <v>4</v>
      </c>
      <c r="B84" s="66"/>
      <c r="C84" s="59">
        <f t="shared" ref="C84:P84" si="57">C83/B83-1</f>
        <v>0.26031574889471676</v>
      </c>
      <c r="D84" s="59">
        <f t="shared" si="57"/>
        <v>0.25026511347860625</v>
      </c>
      <c r="E84" s="59">
        <f t="shared" si="57"/>
        <v>0.26183497183905158</v>
      </c>
      <c r="F84" s="59">
        <f t="shared" si="57"/>
        <v>0.2468907581132973</v>
      </c>
      <c r="G84" s="59">
        <f t="shared" si="57"/>
        <v>0.27124128464328168</v>
      </c>
      <c r="H84" s="59">
        <f t="shared" si="57"/>
        <v>0.29681683607818021</v>
      </c>
      <c r="I84" s="59">
        <f t="shared" si="57"/>
        <v>0.23563710637762858</v>
      </c>
      <c r="J84" s="59">
        <f t="shared" si="57"/>
        <v>0.210755014635716</v>
      </c>
      <c r="K84" s="59">
        <f t="shared" si="57"/>
        <v>0.16519381794020882</v>
      </c>
      <c r="L84" s="59">
        <f t="shared" si="57"/>
        <v>0.16656536101453701</v>
      </c>
      <c r="M84" s="59">
        <f t="shared" si="57"/>
        <v>0.17115648737589884</v>
      </c>
      <c r="N84" s="59">
        <f t="shared" si="57"/>
        <v>0.15349302628366379</v>
      </c>
      <c r="O84" s="59">
        <f t="shared" si="57"/>
        <v>0.1474176163251204</v>
      </c>
      <c r="P84" s="59">
        <f t="shared" si="57"/>
        <v>0.13467101679915339</v>
      </c>
      <c r="R84" s="109"/>
      <c r="S84" s="109"/>
    </row>
    <row r="85" spans="1:19" ht="17.100000000000001" customHeight="1" x14ac:dyDescent="0.2">
      <c r="G85" s="108"/>
      <c r="H85" s="108"/>
      <c r="I85" s="108"/>
      <c r="J85" s="108"/>
      <c r="K85" s="108"/>
      <c r="L85" s="108"/>
      <c r="M85" s="108"/>
      <c r="N85" s="108"/>
      <c r="O85" s="108"/>
      <c r="P85" s="108"/>
      <c r="R85" s="109"/>
      <c r="S85" s="109"/>
    </row>
    <row r="86" spans="1:19" ht="17.100000000000001" customHeight="1" x14ac:dyDescent="0.2">
      <c r="A86" s="67" t="s">
        <v>47</v>
      </c>
      <c r="R86" s="109"/>
      <c r="S86" s="109"/>
    </row>
    <row r="87" spans="1:19" ht="17.100000000000001" customHeight="1" x14ac:dyDescent="0.2">
      <c r="A87" s="68" t="s">
        <v>48</v>
      </c>
      <c r="B87" s="46">
        <v>4.1381518829559996</v>
      </c>
      <c r="C87" s="46">
        <v>5.4441262701803552</v>
      </c>
      <c r="D87" s="46">
        <v>7.3072511089188534</v>
      </c>
      <c r="E87" s="46">
        <v>9.6405392086684021</v>
      </c>
      <c r="F87" s="46">
        <v>12.446386025302374</v>
      </c>
      <c r="G87" s="46">
        <v>16.821457574326956</v>
      </c>
      <c r="H87" s="46">
        <v>23.124850146702183</v>
      </c>
      <c r="I87" s="46">
        <v>28.929138621707324</v>
      </c>
      <c r="J87" s="46">
        <v>35.643181793347381</v>
      </c>
      <c r="K87" s="46">
        <v>41.778959451191938</v>
      </c>
      <c r="L87" s="46">
        <v>48.479472525013144</v>
      </c>
      <c r="M87" s="46">
        <v>55.884903728575871</v>
      </c>
      <c r="N87" s="46">
        <v>62.712696562977008</v>
      </c>
      <c r="O87" s="46">
        <v>69.189438470500974</v>
      </c>
      <c r="P87" s="46">
        <v>74.656700237988318</v>
      </c>
      <c r="R87" s="57">
        <f>(J87/D87)^(1/6)-1</f>
        <v>0.3022781052281569</v>
      </c>
      <c r="S87" s="57">
        <f>(P87/J87)^(1/6)-1</f>
        <v>0.13113746594507236</v>
      </c>
    </row>
    <row r="88" spans="1:19" ht="17.100000000000001" customHeight="1" x14ac:dyDescent="0.2">
      <c r="A88" s="62" t="s">
        <v>4</v>
      </c>
      <c r="B88" s="63"/>
      <c r="C88" s="63">
        <f t="shared" ref="C88:P88" si="58">C87/B87-1</f>
        <v>0.31559363313930877</v>
      </c>
      <c r="D88" s="63">
        <f t="shared" si="58"/>
        <v>0.34222660281477557</v>
      </c>
      <c r="E88" s="63">
        <f t="shared" si="58"/>
        <v>0.31931133403937051</v>
      </c>
      <c r="F88" s="63">
        <f t="shared" si="58"/>
        <v>0.29104666823107395</v>
      </c>
      <c r="G88" s="63">
        <f t="shared" si="58"/>
        <v>0.35151340639206108</v>
      </c>
      <c r="H88" s="63">
        <f t="shared" si="58"/>
        <v>0.37472332849416778</v>
      </c>
      <c r="I88" s="63">
        <f t="shared" si="58"/>
        <v>0.25099788488068908</v>
      </c>
      <c r="J88" s="63">
        <f t="shared" si="58"/>
        <v>0.23208583081011946</v>
      </c>
      <c r="K88" s="63">
        <f t="shared" si="58"/>
        <v>0.17214449858653658</v>
      </c>
      <c r="L88" s="63">
        <f t="shared" si="58"/>
        <v>0.16038008513948387</v>
      </c>
      <c r="M88" s="63">
        <f t="shared" si="58"/>
        <v>0.15275395580556017</v>
      </c>
      <c r="N88" s="63">
        <f t="shared" si="58"/>
        <v>0.12217597917968415</v>
      </c>
      <c r="O88" s="63">
        <f t="shared" si="58"/>
        <v>0.10327640593511922</v>
      </c>
      <c r="P88" s="63">
        <f t="shared" si="58"/>
        <v>7.9018733037099498E-2</v>
      </c>
      <c r="R88" s="109"/>
      <c r="S88" s="109"/>
    </row>
    <row r="89" spans="1:19" ht="17.100000000000001" customHeight="1" x14ac:dyDescent="0.2">
      <c r="A89" s="68" t="s">
        <v>49</v>
      </c>
      <c r="B89" s="46">
        <v>7.6851392112040005</v>
      </c>
      <c r="C89" s="46">
        <v>9.657472260139631</v>
      </c>
      <c r="D89" s="46">
        <v>12.372134611881149</v>
      </c>
      <c r="E89" s="46">
        <v>15.566486644131588</v>
      </c>
      <c r="F89" s="46">
        <v>19.149193337097596</v>
      </c>
      <c r="G89" s="46">
        <v>24.636648339272938</v>
      </c>
      <c r="H89" s="46">
        <v>32.751057063697608</v>
      </c>
      <c r="I89" s="46">
        <v>40.97150311429246</v>
      </c>
      <c r="J89" s="46">
        <v>50.913190314652418</v>
      </c>
      <c r="K89" s="46">
        <v>60.702429825576878</v>
      </c>
      <c r="L89" s="46">
        <v>72.864775652731311</v>
      </c>
      <c r="M89" s="46">
        <v>88.321345860235013</v>
      </c>
      <c r="N89" s="46">
        <v>105.85479232884985</v>
      </c>
      <c r="O89" s="46">
        <v>126.57533342642837</v>
      </c>
      <c r="P89" s="46">
        <v>150.06016800192816</v>
      </c>
      <c r="R89" s="57">
        <f>(J89/D89)^(1/6)-1</f>
        <v>0.26589479012201167</v>
      </c>
      <c r="S89" s="57">
        <f>(P89/J89)^(1/6)-1</f>
        <v>0.19739981338533297</v>
      </c>
    </row>
    <row r="90" spans="1:19" ht="17.100000000000001" customHeight="1" x14ac:dyDescent="0.2">
      <c r="A90" s="62" t="s">
        <v>4</v>
      </c>
      <c r="B90" s="63"/>
      <c r="C90" s="63">
        <f t="shared" ref="C90:P90" si="59">C89/B89-1</f>
        <v>0.25664246212485109</v>
      </c>
      <c r="D90" s="63">
        <f t="shared" si="59"/>
        <v>0.28109450160639327</v>
      </c>
      <c r="E90" s="63">
        <f t="shared" si="59"/>
        <v>0.25818923997018706</v>
      </c>
      <c r="F90" s="63">
        <f t="shared" si="59"/>
        <v>0.23015512587207043</v>
      </c>
      <c r="G90" s="63">
        <f t="shared" si="59"/>
        <v>0.28656324606345351</v>
      </c>
      <c r="H90" s="63">
        <f t="shared" si="59"/>
        <v>0.32936333760504288</v>
      </c>
      <c r="I90" s="63">
        <f t="shared" si="59"/>
        <v>0.25099788488068908</v>
      </c>
      <c r="J90" s="63">
        <f t="shared" si="59"/>
        <v>0.24264882771391205</v>
      </c>
      <c r="K90" s="63">
        <f t="shared" si="59"/>
        <v>0.19227315063984896</v>
      </c>
      <c r="L90" s="63">
        <f t="shared" si="59"/>
        <v>0.200360115107449</v>
      </c>
      <c r="M90" s="63">
        <f t="shared" si="59"/>
        <v>0.21212677962763093</v>
      </c>
      <c r="N90" s="63">
        <f t="shared" si="59"/>
        <v>0.19851878725173422</v>
      </c>
      <c r="O90" s="63">
        <f t="shared" si="59"/>
        <v>0.19574495062262098</v>
      </c>
      <c r="P90" s="63">
        <f t="shared" si="59"/>
        <v>0.1855403729917906</v>
      </c>
      <c r="R90" s="109"/>
      <c r="S90" s="109"/>
    </row>
    <row r="91" spans="1:19" ht="17.100000000000001" customHeight="1" x14ac:dyDescent="0.2">
      <c r="A91" s="77" t="s">
        <v>23</v>
      </c>
      <c r="B91" s="56">
        <f t="shared" ref="B91:P91" si="60">B89+B87</f>
        <v>11.82329109416</v>
      </c>
      <c r="C91" s="56">
        <f t="shared" si="60"/>
        <v>15.101598530319986</v>
      </c>
      <c r="D91" s="56">
        <f t="shared" si="60"/>
        <v>19.679385720800003</v>
      </c>
      <c r="E91" s="56">
        <f t="shared" si="60"/>
        <v>25.20702585279999</v>
      </c>
      <c r="F91" s="56">
        <f t="shared" si="60"/>
        <v>31.59557936239997</v>
      </c>
      <c r="G91" s="56">
        <f t="shared" si="60"/>
        <v>41.458105913599894</v>
      </c>
      <c r="H91" s="56">
        <f t="shared" si="60"/>
        <v>55.875907210399788</v>
      </c>
      <c r="I91" s="56">
        <f t="shared" si="60"/>
        <v>69.900641735999784</v>
      </c>
      <c r="J91" s="56">
        <f t="shared" si="60"/>
        <v>86.556372107999806</v>
      </c>
      <c r="K91" s="56">
        <f t="shared" si="60"/>
        <v>102.48138927676882</v>
      </c>
      <c r="L91" s="56">
        <f t="shared" si="60"/>
        <v>121.34424817774445</v>
      </c>
      <c r="M91" s="56">
        <f t="shared" si="60"/>
        <v>144.20624958881089</v>
      </c>
      <c r="N91" s="56">
        <f t="shared" si="60"/>
        <v>168.56748889182686</v>
      </c>
      <c r="O91" s="56">
        <f t="shared" si="60"/>
        <v>195.76477189692935</v>
      </c>
      <c r="P91" s="56">
        <f t="shared" si="60"/>
        <v>224.71686823991649</v>
      </c>
      <c r="R91" s="57">
        <f>(J91/D91)^(1/6)-1</f>
        <v>0.28001360156379795</v>
      </c>
      <c r="S91" s="57">
        <f>(P91/J91)^(1/6)-1</f>
        <v>0.17234680647818901</v>
      </c>
    </row>
    <row r="92" spans="1:19" ht="17.100000000000001" customHeight="1" x14ac:dyDescent="0.2">
      <c r="A92" s="74" t="s">
        <v>4</v>
      </c>
      <c r="B92" s="66"/>
      <c r="C92" s="59">
        <f t="shared" ref="C92:P92" si="61">C91/B91-1</f>
        <v>0.27727537197991126</v>
      </c>
      <c r="D92" s="59">
        <f t="shared" si="61"/>
        <v>0.30313262409201513</v>
      </c>
      <c r="E92" s="59">
        <f t="shared" si="61"/>
        <v>0.28088479032948599</v>
      </c>
      <c r="F92" s="59">
        <f t="shared" si="61"/>
        <v>0.25344336721463478</v>
      </c>
      <c r="G92" s="59">
        <f t="shared" si="61"/>
        <v>0.31214893824471956</v>
      </c>
      <c r="H92" s="59">
        <f t="shared" si="61"/>
        <v>0.34776796911192909</v>
      </c>
      <c r="I92" s="59">
        <f t="shared" si="61"/>
        <v>0.25099788488068908</v>
      </c>
      <c r="J92" s="59">
        <f t="shared" si="61"/>
        <v>0.23827721689459236</v>
      </c>
      <c r="K92" s="59">
        <f t="shared" si="61"/>
        <v>0.18398434200660296</v>
      </c>
      <c r="L92" s="59">
        <f t="shared" si="61"/>
        <v>0.18406131136681991</v>
      </c>
      <c r="M92" s="59">
        <f t="shared" si="61"/>
        <v>0.18840614000573219</v>
      </c>
      <c r="N92" s="59">
        <f t="shared" si="61"/>
        <v>0.16893331164550429</v>
      </c>
      <c r="O92" s="59">
        <f t="shared" si="61"/>
        <v>0.16134358519486236</v>
      </c>
      <c r="P92" s="59">
        <f t="shared" si="61"/>
        <v>0.14789226918840392</v>
      </c>
      <c r="R92" s="109"/>
      <c r="S92" s="109"/>
    </row>
    <row r="93" spans="1:19" ht="17.100000000000001" customHeight="1" x14ac:dyDescent="0.2">
      <c r="R93" s="109"/>
      <c r="S93" s="109"/>
    </row>
    <row r="94" spans="1:19" ht="17.100000000000001" customHeight="1" x14ac:dyDescent="0.2">
      <c r="A94" s="67" t="s">
        <v>50</v>
      </c>
      <c r="R94" s="109"/>
      <c r="S94" s="109"/>
    </row>
    <row r="95" spans="1:19" ht="17.100000000000001" customHeight="1" x14ac:dyDescent="0.2">
      <c r="A95" s="68" t="s">
        <v>48</v>
      </c>
      <c r="B95" s="46">
        <v>0.66854306224000004</v>
      </c>
      <c r="C95" s="46">
        <v>0.89839937770751921</v>
      </c>
      <c r="D95" s="46">
        <v>1.2334191970154469</v>
      </c>
      <c r="E95" s="46">
        <v>1.6624941530262189</v>
      </c>
      <c r="F95" s="46">
        <v>2.1683557767659725</v>
      </c>
      <c r="G95" s="46">
        <v>2.9413455897447811</v>
      </c>
      <c r="H95" s="46">
        <v>3.972465922841772</v>
      </c>
      <c r="I95" s="46">
        <v>5.0116531359266929</v>
      </c>
      <c r="J95" s="46">
        <v>6.2002679731331076</v>
      </c>
      <c r="K95" s="46">
        <v>7.2956939162354146</v>
      </c>
      <c r="L95" s="46">
        <v>8.5166908003895223</v>
      </c>
      <c r="M95" s="46">
        <v>9.8584335221674237</v>
      </c>
      <c r="N95" s="46">
        <v>10.964621478825959</v>
      </c>
      <c r="O95" s="46">
        <v>11.990695586569212</v>
      </c>
      <c r="P95" s="46">
        <v>12.842193013225298</v>
      </c>
      <c r="R95" s="57">
        <f>(J95/D95)^(1/6)-1</f>
        <v>0.3088301558915667</v>
      </c>
      <c r="S95" s="57">
        <f>(P95/J95)^(1/6)-1</f>
        <v>0.12902819816303346</v>
      </c>
    </row>
    <row r="96" spans="1:19" ht="17.100000000000001" customHeight="1" x14ac:dyDescent="0.2">
      <c r="A96" s="62" t="s">
        <v>4</v>
      </c>
      <c r="B96" s="63"/>
      <c r="C96" s="63">
        <f t="shared" ref="C96:P96" si="62">C95/B95-1</f>
        <v>0.34381676880673862</v>
      </c>
      <c r="D96" s="63">
        <f t="shared" si="62"/>
        <v>0.37290744809152798</v>
      </c>
      <c r="E96" s="63">
        <f t="shared" si="62"/>
        <v>0.34787439424408317</v>
      </c>
      <c r="F96" s="63">
        <f t="shared" si="62"/>
        <v>0.3042787385561263</v>
      </c>
      <c r="G96" s="63">
        <f t="shared" si="62"/>
        <v>0.35648661592411557</v>
      </c>
      <c r="H96" s="63">
        <f t="shared" si="62"/>
        <v>0.3505607558296</v>
      </c>
      <c r="I96" s="63">
        <f t="shared" si="62"/>
        <v>0.26159751481052873</v>
      </c>
      <c r="J96" s="63">
        <f t="shared" si="62"/>
        <v>0.23717021209741618</v>
      </c>
      <c r="K96" s="63">
        <f t="shared" si="62"/>
        <v>0.17667396761704302</v>
      </c>
      <c r="L96" s="63">
        <f t="shared" si="62"/>
        <v>0.16735856769387936</v>
      </c>
      <c r="M96" s="63">
        <f t="shared" si="62"/>
        <v>0.15754273029573107</v>
      </c>
      <c r="N96" s="63">
        <f t="shared" si="62"/>
        <v>0.11220727453009549</v>
      </c>
      <c r="O96" s="63">
        <f t="shared" si="62"/>
        <v>9.3580440485312444E-2</v>
      </c>
      <c r="P96" s="63">
        <f t="shared" si="62"/>
        <v>7.1013180220324212E-2</v>
      </c>
      <c r="R96" s="109"/>
      <c r="S96" s="109"/>
    </row>
    <row r="97" spans="1:19" ht="17.100000000000001" customHeight="1" x14ac:dyDescent="0.2">
      <c r="A97" s="68" t="s">
        <v>49</v>
      </c>
      <c r="B97" s="46">
        <v>1.0028145933599999</v>
      </c>
      <c r="C97" s="46">
        <v>1.2612145110124786</v>
      </c>
      <c r="D97" s="46">
        <v>1.6174942576245463</v>
      </c>
      <c r="E97" s="46">
        <v>2.0323839678537685</v>
      </c>
      <c r="F97" s="46">
        <v>2.5104315772340082</v>
      </c>
      <c r="G97" s="46">
        <v>3.2809214930551995</v>
      </c>
      <c r="H97" s="46">
        <v>4.4310838114782101</v>
      </c>
      <c r="I97" s="46">
        <v>5.643520191113276</v>
      </c>
      <c r="J97" s="46">
        <v>7.1151492439868624</v>
      </c>
      <c r="K97" s="46">
        <v>8.6919640504429925</v>
      </c>
      <c r="L97" s="46">
        <v>10.72385508080774</v>
      </c>
      <c r="M97" s="46">
        <v>13.341310240021501</v>
      </c>
      <c r="N97" s="46">
        <v>16.485297435579067</v>
      </c>
      <c r="O97" s="46">
        <v>20.287470453969672</v>
      </c>
      <c r="P97" s="46">
        <v>24.734264881076029</v>
      </c>
      <c r="R97" s="57">
        <f>(J97/D97)^(1/6)-1</f>
        <v>0.28004000968455656</v>
      </c>
      <c r="S97" s="57">
        <f>(P97/J97)^(1/6)-1</f>
        <v>0.23079530868562759</v>
      </c>
    </row>
    <row r="98" spans="1:19" ht="17.100000000000001" customHeight="1" x14ac:dyDescent="0.2">
      <c r="A98" s="62" t="s">
        <v>4</v>
      </c>
      <c r="B98" s="63"/>
      <c r="C98" s="63">
        <f t="shared" ref="C98:P98" si="63">C97/B97-1</f>
        <v>0.25767466824220397</v>
      </c>
      <c r="D98" s="63">
        <f t="shared" si="63"/>
        <v>0.2824894127851838</v>
      </c>
      <c r="E98" s="63">
        <f t="shared" si="63"/>
        <v>0.25650150427027141</v>
      </c>
      <c r="F98" s="63">
        <f t="shared" si="63"/>
        <v>0.23521520388938422</v>
      </c>
      <c r="G98" s="63">
        <f t="shared" si="63"/>
        <v>0.30691532197428639</v>
      </c>
      <c r="H98" s="63">
        <f t="shared" si="63"/>
        <v>0.3505607558296</v>
      </c>
      <c r="I98" s="63">
        <f t="shared" si="63"/>
        <v>0.27362072829549966</v>
      </c>
      <c r="J98" s="63">
        <f t="shared" si="63"/>
        <v>0.2607643816338121</v>
      </c>
      <c r="K98" s="63">
        <f t="shared" si="63"/>
        <v>0.22161373604197054</v>
      </c>
      <c r="L98" s="63">
        <f t="shared" si="63"/>
        <v>0.23376661690877443</v>
      </c>
      <c r="M98" s="63">
        <f t="shared" si="63"/>
        <v>0.24407781898304148</v>
      </c>
      <c r="N98" s="63">
        <f t="shared" si="63"/>
        <v>0.23565805299438858</v>
      </c>
      <c r="O98" s="63">
        <f t="shared" si="63"/>
        <v>0.23064024372315184</v>
      </c>
      <c r="P98" s="63">
        <f t="shared" si="63"/>
        <v>0.21918920040799117</v>
      </c>
      <c r="R98" s="109"/>
      <c r="S98" s="109"/>
    </row>
    <row r="99" spans="1:19" ht="17.100000000000001" customHeight="1" x14ac:dyDescent="0.2">
      <c r="A99" s="77" t="s">
        <v>23</v>
      </c>
      <c r="B99" s="56">
        <f t="shared" ref="B99:P99" si="64">B97+B95</f>
        <v>1.6713576556</v>
      </c>
      <c r="C99" s="56">
        <f t="shared" si="64"/>
        <v>2.1596138887199978</v>
      </c>
      <c r="D99" s="56">
        <f t="shared" si="64"/>
        <v>2.8509134546399935</v>
      </c>
      <c r="E99" s="56">
        <f t="shared" si="64"/>
        <v>3.6948781208799875</v>
      </c>
      <c r="F99" s="56">
        <f t="shared" si="64"/>
        <v>4.6787873539999811</v>
      </c>
      <c r="G99" s="56">
        <f t="shared" si="64"/>
        <v>6.2222670827999806</v>
      </c>
      <c r="H99" s="56">
        <f t="shared" si="64"/>
        <v>8.4035497343199825</v>
      </c>
      <c r="I99" s="56">
        <f t="shared" si="64"/>
        <v>10.655173327039968</v>
      </c>
      <c r="J99" s="56">
        <f t="shared" si="64"/>
        <v>13.31541721711997</v>
      </c>
      <c r="K99" s="56">
        <f t="shared" si="64"/>
        <v>15.987657966678407</v>
      </c>
      <c r="L99" s="56">
        <f t="shared" si="64"/>
        <v>19.240545881197264</v>
      </c>
      <c r="M99" s="56">
        <f t="shared" si="64"/>
        <v>23.199743762188923</v>
      </c>
      <c r="N99" s="56">
        <f t="shared" si="64"/>
        <v>27.449918914405025</v>
      </c>
      <c r="O99" s="56">
        <f t="shared" si="64"/>
        <v>32.278166040538885</v>
      </c>
      <c r="P99" s="56">
        <f t="shared" si="64"/>
        <v>37.576457894301328</v>
      </c>
      <c r="R99" s="57">
        <f>(J99/D99)^(1/6)-1</f>
        <v>0.29289063860729891</v>
      </c>
      <c r="S99" s="57">
        <f>(P99/J99)^(1/6)-1</f>
        <v>0.1887581572423831</v>
      </c>
    </row>
    <row r="100" spans="1:19" ht="17.100000000000001" customHeight="1" x14ac:dyDescent="0.2">
      <c r="A100" s="74" t="s">
        <v>4</v>
      </c>
      <c r="B100" s="66"/>
      <c r="C100" s="59">
        <f t="shared" ref="C100:P100" si="65">C99/B99-1</f>
        <v>0.29213150846801783</v>
      </c>
      <c r="D100" s="59">
        <f t="shared" si="65"/>
        <v>0.32010331547262294</v>
      </c>
      <c r="E100" s="59">
        <f t="shared" si="65"/>
        <v>0.29603307138854129</v>
      </c>
      <c r="F100" s="59">
        <f t="shared" si="65"/>
        <v>0.26629003743313229</v>
      </c>
      <c r="G100" s="59">
        <f t="shared" si="65"/>
        <v>0.32988883914128952</v>
      </c>
      <c r="H100" s="59">
        <f t="shared" si="65"/>
        <v>0.3505607558296</v>
      </c>
      <c r="I100" s="59">
        <f t="shared" si="65"/>
        <v>0.26793720081460171</v>
      </c>
      <c r="J100" s="59">
        <f t="shared" si="65"/>
        <v>0.24966688090648104</v>
      </c>
      <c r="K100" s="59">
        <f t="shared" si="65"/>
        <v>0.20068772205820706</v>
      </c>
      <c r="L100" s="59">
        <f t="shared" si="65"/>
        <v>0.2034624409215251</v>
      </c>
      <c r="M100" s="59">
        <f t="shared" si="65"/>
        <v>0.20577367739138674</v>
      </c>
      <c r="N100" s="59">
        <f t="shared" si="65"/>
        <v>0.18319922822350576</v>
      </c>
      <c r="O100" s="59">
        <f t="shared" si="65"/>
        <v>0.17589294675840073</v>
      </c>
      <c r="P100" s="59">
        <f t="shared" si="65"/>
        <v>0.16414476110904808</v>
      </c>
      <c r="R100" s="109"/>
      <c r="S100" s="109"/>
    </row>
    <row r="101" spans="1:19" ht="17.100000000000001" customHeight="1" x14ac:dyDescent="0.2">
      <c r="R101" s="109"/>
      <c r="S101" s="109"/>
    </row>
    <row r="102" spans="1:19" x14ac:dyDescent="0.2">
      <c r="A102" s="67" t="s">
        <v>32</v>
      </c>
      <c r="R102" s="109"/>
      <c r="S102" s="109"/>
    </row>
    <row r="103" spans="1:19" x14ac:dyDescent="0.2">
      <c r="A103" s="68" t="s">
        <v>82</v>
      </c>
      <c r="B103" s="43">
        <v>7.9288840244448274E-4</v>
      </c>
      <c r="C103" s="43">
        <v>1.1094120179309021E-3</v>
      </c>
      <c r="D103" s="43">
        <v>1.5606089174043404E-3</v>
      </c>
      <c r="E103" s="43">
        <v>2.2224057917462222E-3</v>
      </c>
      <c r="F103" s="43">
        <v>3.068382330999671E-3</v>
      </c>
      <c r="G103" s="43">
        <v>4.2858840758696233E-3</v>
      </c>
      <c r="H103" s="43">
        <v>6.1881988388870776E-3</v>
      </c>
      <c r="I103" s="43">
        <v>8.1076693851274105E-3</v>
      </c>
      <c r="J103" s="43">
        <v>1.0289651912183968E-2</v>
      </c>
      <c r="K103" s="43">
        <v>1.2966005263240184E-2</v>
      </c>
      <c r="L103" s="43">
        <v>1.5850123644134202E-2</v>
      </c>
      <c r="M103" s="43">
        <v>1.9349368391520044E-2</v>
      </c>
      <c r="N103" s="43">
        <v>2.3137909853694842E-2</v>
      </c>
      <c r="O103" s="43">
        <v>2.7426864584041574E-2</v>
      </c>
      <c r="P103" s="43">
        <v>3.2114751371236046E-2</v>
      </c>
      <c r="R103" s="57">
        <f>(J103/D103)^(1/6)-1</f>
        <v>0.36936040631079736</v>
      </c>
      <c r="S103" s="57">
        <f>(P103/J103)^(1/6)-1</f>
        <v>0.2088821922283397</v>
      </c>
    </row>
    <row r="104" spans="1:19" x14ac:dyDescent="0.2">
      <c r="A104" s="62" t="s">
        <v>4</v>
      </c>
      <c r="B104" s="75"/>
      <c r="C104" s="63">
        <f t="shared" ref="C104:P104" si="66">C103/B103-1</f>
        <v>0.39920323529840274</v>
      </c>
      <c r="D104" s="63">
        <f t="shared" si="66"/>
        <v>0.40669912726827917</v>
      </c>
      <c r="E104" s="63">
        <f t="shared" si="66"/>
        <v>0.42406324029123543</v>
      </c>
      <c r="F104" s="63">
        <f t="shared" si="66"/>
        <v>0.38065799792068367</v>
      </c>
      <c r="G104" s="63">
        <f t="shared" si="66"/>
        <v>0.39678945239959496</v>
      </c>
      <c r="H104" s="63">
        <f t="shared" si="66"/>
        <v>0.44385586015446932</v>
      </c>
      <c r="I104" s="63">
        <f t="shared" si="66"/>
        <v>0.31018242888031411</v>
      </c>
      <c r="J104" s="63">
        <f t="shared" si="66"/>
        <v>0.26912574050677907</v>
      </c>
      <c r="K104" s="63">
        <f t="shared" si="66"/>
        <v>0.26010144695829296</v>
      </c>
      <c r="L104" s="63">
        <f t="shared" si="66"/>
        <v>0.22243692813165494</v>
      </c>
      <c r="M104" s="63">
        <f t="shared" si="66"/>
        <v>0.22077081705800072</v>
      </c>
      <c r="N104" s="63">
        <f t="shared" si="66"/>
        <v>0.19579664749342118</v>
      </c>
      <c r="O104" s="63">
        <f t="shared" si="66"/>
        <v>0.18536483016255856</v>
      </c>
      <c r="P104" s="63">
        <f t="shared" si="66"/>
        <v>0.17092317544463809</v>
      </c>
      <c r="R104" s="109"/>
      <c r="S104" s="109"/>
    </row>
    <row r="105" spans="1:19" x14ac:dyDescent="0.2">
      <c r="A105" s="68" t="s">
        <v>10</v>
      </c>
      <c r="B105" s="43">
        <v>1.8384612396105551</v>
      </c>
      <c r="C105" s="43">
        <v>2.319268971472459</v>
      </c>
      <c r="D105" s="43">
        <v>2.9311021499188787</v>
      </c>
      <c r="E105" s="43">
        <v>3.6958489731980007</v>
      </c>
      <c r="F105" s="43">
        <v>4.5800934177513755</v>
      </c>
      <c r="G105" s="43">
        <v>5.8383440030876592</v>
      </c>
      <c r="H105" s="43">
        <v>7.6806920366088161</v>
      </c>
      <c r="I105" s="43">
        <v>9.5141340248612121</v>
      </c>
      <c r="J105" s="43">
        <v>11.557622057089</v>
      </c>
      <c r="K105" s="43">
        <v>13.165678511039872</v>
      </c>
      <c r="L105" s="43">
        <v>15.03201757306139</v>
      </c>
      <c r="M105" s="43">
        <v>17.187269630838134</v>
      </c>
      <c r="N105" s="43">
        <v>19.297351204604038</v>
      </c>
      <c r="O105" s="43">
        <v>21.525319338536903</v>
      </c>
      <c r="P105" s="43">
        <v>23.765533856218223</v>
      </c>
      <c r="R105" s="57">
        <f>(J105/D105)^(1/6)-1</f>
        <v>0.25691600322666508</v>
      </c>
      <c r="S105" s="57">
        <f>(P105/J105)^(1/6)-1</f>
        <v>0.12766434166840179</v>
      </c>
    </row>
    <row r="106" spans="1:19" x14ac:dyDescent="0.2">
      <c r="A106" s="62" t="s">
        <v>4</v>
      </c>
      <c r="B106" s="75"/>
      <c r="C106" s="63">
        <f t="shared" ref="C106:P106" si="67">C105/B105-1</f>
        <v>0.26152726068010801</v>
      </c>
      <c r="D106" s="63">
        <f t="shared" si="67"/>
        <v>0.26380432195321379</v>
      </c>
      <c r="E106" s="63">
        <f t="shared" si="67"/>
        <v>0.26090759863155477</v>
      </c>
      <c r="F106" s="63">
        <f t="shared" si="67"/>
        <v>0.23925340320068389</v>
      </c>
      <c r="G106" s="63">
        <f t="shared" si="67"/>
        <v>0.27472159857255263</v>
      </c>
      <c r="H106" s="63">
        <f t="shared" si="67"/>
        <v>0.31556003424032819</v>
      </c>
      <c r="I106" s="63">
        <f t="shared" si="67"/>
        <v>0.23870791583799766</v>
      </c>
      <c r="J106" s="63">
        <f t="shared" si="67"/>
        <v>0.21478444878829617</v>
      </c>
      <c r="K106" s="63">
        <f t="shared" si="67"/>
        <v>0.13913385002623024</v>
      </c>
      <c r="L106" s="63">
        <f t="shared" si="67"/>
        <v>0.14175790943524325</v>
      </c>
      <c r="M106" s="63">
        <f t="shared" si="67"/>
        <v>0.14337743069427566</v>
      </c>
      <c r="N106" s="63">
        <f t="shared" si="67"/>
        <v>0.12277002799676251</v>
      </c>
      <c r="O106" s="63">
        <f t="shared" si="67"/>
        <v>0.11545460878596159</v>
      </c>
      <c r="P106" s="63">
        <f t="shared" si="67"/>
        <v>0.10407346262550687</v>
      </c>
      <c r="R106" s="109"/>
      <c r="S106" s="109"/>
    </row>
    <row r="107" spans="1:19" x14ac:dyDescent="0.2">
      <c r="A107" s="68" t="s">
        <v>11</v>
      </c>
      <c r="B107" s="43">
        <v>10.019341428536919</v>
      </c>
      <c r="C107" s="43">
        <v>12.919035485135193</v>
      </c>
      <c r="D107" s="43">
        <v>16.546241631378404</v>
      </c>
      <c r="E107" s="43">
        <v>21.053812254981665</v>
      </c>
      <c r="F107" s="43">
        <v>26.396934223209577</v>
      </c>
      <c r="G107" s="43">
        <v>34.204490533813853</v>
      </c>
      <c r="H107" s="43">
        <v>45.09414297138516</v>
      </c>
      <c r="I107" s="43">
        <v>56.172283765411365</v>
      </c>
      <c r="J107" s="43">
        <v>68.730171518243935</v>
      </c>
      <c r="K107" s="43">
        <v>79.811497962312529</v>
      </c>
      <c r="L107" s="43">
        <v>92.166583356172282</v>
      </c>
      <c r="M107" s="43">
        <v>106.60212795126463</v>
      </c>
      <c r="N107" s="43">
        <v>121.09606048202745</v>
      </c>
      <c r="O107" s="43">
        <v>136.68714231920779</v>
      </c>
      <c r="P107" s="43">
        <v>152.73751825113743</v>
      </c>
      <c r="R107" s="57">
        <f>(J107/D107)^(1/6)-1</f>
        <v>0.26786985922292095</v>
      </c>
      <c r="S107" s="57">
        <f>(P107/J107)^(1/6)-1</f>
        <v>0.14235139664535157</v>
      </c>
    </row>
    <row r="108" spans="1:19" x14ac:dyDescent="0.2">
      <c r="A108" s="62" t="s">
        <v>4</v>
      </c>
      <c r="B108" s="75"/>
      <c r="C108" s="63">
        <f t="shared" ref="C108:P108" si="68">C107/B107-1</f>
        <v>0.28940964606110886</v>
      </c>
      <c r="D108" s="63">
        <f t="shared" si="68"/>
        <v>0.28076446963991386</v>
      </c>
      <c r="E108" s="63">
        <f t="shared" si="68"/>
        <v>0.27242262768936443</v>
      </c>
      <c r="F108" s="63">
        <f t="shared" si="68"/>
        <v>0.25378406074480142</v>
      </c>
      <c r="G108" s="63">
        <f t="shared" si="68"/>
        <v>0.2957751170868721</v>
      </c>
      <c r="H108" s="63">
        <f t="shared" si="68"/>
        <v>0.31836908743914849</v>
      </c>
      <c r="I108" s="63">
        <f t="shared" si="68"/>
        <v>0.245666955042386</v>
      </c>
      <c r="J108" s="63">
        <f t="shared" si="68"/>
        <v>0.22356021352589561</v>
      </c>
      <c r="K108" s="63">
        <f t="shared" si="68"/>
        <v>0.16122943096580422</v>
      </c>
      <c r="L108" s="63">
        <f t="shared" si="68"/>
        <v>0.15480332670480501</v>
      </c>
      <c r="M108" s="63">
        <f t="shared" si="68"/>
        <v>0.156624495228461</v>
      </c>
      <c r="N108" s="63">
        <f t="shared" si="68"/>
        <v>0.1359628818797034</v>
      </c>
      <c r="O108" s="63">
        <f t="shared" si="68"/>
        <v>0.12874970312923018</v>
      </c>
      <c r="P108" s="63">
        <f t="shared" si="68"/>
        <v>0.11742418240368879</v>
      </c>
      <c r="R108" s="109"/>
      <c r="S108" s="109"/>
    </row>
    <row r="109" spans="1:19" x14ac:dyDescent="0.2">
      <c r="A109" s="68" t="s">
        <v>22</v>
      </c>
      <c r="B109" s="43">
        <v>1.4851079242500775</v>
      </c>
      <c r="C109" s="43">
        <v>1.9669311795744011</v>
      </c>
      <c r="D109" s="43">
        <v>2.5887159572852658</v>
      </c>
      <c r="E109" s="43">
        <v>3.3836356800285525</v>
      </c>
      <c r="F109" s="43">
        <v>4.3442024736080214</v>
      </c>
      <c r="G109" s="43">
        <v>5.7943137532225659</v>
      </c>
      <c r="H109" s="43">
        <v>7.7388055044669972</v>
      </c>
      <c r="I109" s="43">
        <v>9.6910883648420878</v>
      </c>
      <c r="J109" s="43">
        <v>12.000986237454573</v>
      </c>
      <c r="K109" s="43">
        <v>14.411860226739996</v>
      </c>
      <c r="L109" s="43">
        <v>16.962717441136963</v>
      </c>
      <c r="M109" s="43">
        <v>19.990334480277522</v>
      </c>
      <c r="N109" s="43">
        <v>23.130552865583425</v>
      </c>
      <c r="O109" s="43">
        <v>26.586396543125662</v>
      </c>
      <c r="P109" s="43">
        <v>30.243467390342254</v>
      </c>
      <c r="R109" s="57">
        <f>(J109/D109)^(1/6)-1</f>
        <v>0.29128495047116143</v>
      </c>
      <c r="S109" s="57">
        <f>(P109/J109)^(1/6)-1</f>
        <v>0.1665475357221442</v>
      </c>
    </row>
    <row r="110" spans="1:19" x14ac:dyDescent="0.2">
      <c r="A110" s="62" t="s">
        <v>4</v>
      </c>
      <c r="B110" s="63"/>
      <c r="C110" s="63">
        <f t="shared" ref="C110:P110" si="69">C109/B109-1</f>
        <v>0.3244365257613353</v>
      </c>
      <c r="D110" s="63">
        <f t="shared" si="69"/>
        <v>0.31611923394564556</v>
      </c>
      <c r="E110" s="63">
        <f t="shared" si="69"/>
        <v>0.3070710482956589</v>
      </c>
      <c r="F110" s="63">
        <f t="shared" si="69"/>
        <v>0.28388599849832619</v>
      </c>
      <c r="G110" s="63">
        <f t="shared" si="69"/>
        <v>0.33380379676690652</v>
      </c>
      <c r="H110" s="63">
        <f t="shared" si="69"/>
        <v>0.33558620296717323</v>
      </c>
      <c r="I110" s="63">
        <f t="shared" si="69"/>
        <v>0.25227186020480707</v>
      </c>
      <c r="J110" s="63">
        <f t="shared" si="69"/>
        <v>0.2383527820252338</v>
      </c>
      <c r="K110" s="63">
        <f t="shared" si="69"/>
        <v>0.20088965536525549</v>
      </c>
      <c r="L110" s="63">
        <f t="shared" si="69"/>
        <v>0.17699708256010327</v>
      </c>
      <c r="M110" s="63">
        <f t="shared" si="69"/>
        <v>0.17848655733651286</v>
      </c>
      <c r="N110" s="63">
        <f t="shared" si="69"/>
        <v>0.15708683556065783</v>
      </c>
      <c r="O110" s="63">
        <f t="shared" si="69"/>
        <v>0.14940601280154797</v>
      </c>
      <c r="P110" s="63">
        <f t="shared" si="69"/>
        <v>0.13755421278263391</v>
      </c>
      <c r="R110" s="109"/>
      <c r="S110" s="109"/>
    </row>
    <row r="111" spans="1:19" x14ac:dyDescent="0.2">
      <c r="A111" s="77" t="s">
        <v>23</v>
      </c>
      <c r="B111" s="56">
        <f t="shared" ref="B111:P111" si="70">B109+B107+B105+B103</f>
        <v>13.343703480799995</v>
      </c>
      <c r="C111" s="56">
        <f t="shared" si="70"/>
        <v>17.206345048199985</v>
      </c>
      <c r="D111" s="56">
        <f t="shared" si="70"/>
        <v>22.067620347499954</v>
      </c>
      <c r="E111" s="56">
        <f t="shared" si="70"/>
        <v>28.135519313999964</v>
      </c>
      <c r="F111" s="56">
        <f t="shared" si="70"/>
        <v>35.324298496899978</v>
      </c>
      <c r="G111" s="56">
        <f t="shared" si="70"/>
        <v>45.841434174199946</v>
      </c>
      <c r="H111" s="56">
        <f t="shared" si="70"/>
        <v>60.519828711299859</v>
      </c>
      <c r="I111" s="56">
        <f t="shared" si="70"/>
        <v>75.385613824499785</v>
      </c>
      <c r="J111" s="56">
        <f t="shared" si="70"/>
        <v>92.299069464699699</v>
      </c>
      <c r="K111" s="56">
        <f t="shared" si="70"/>
        <v>107.40200270535564</v>
      </c>
      <c r="L111" s="56">
        <f t="shared" si="70"/>
        <v>124.17716849401477</v>
      </c>
      <c r="M111" s="56">
        <f t="shared" si="70"/>
        <v>143.79908143077182</v>
      </c>
      <c r="N111" s="56">
        <f t="shared" si="70"/>
        <v>163.54710246206861</v>
      </c>
      <c r="O111" s="56">
        <f t="shared" si="70"/>
        <v>184.82628506545441</v>
      </c>
      <c r="P111" s="56">
        <f t="shared" si="70"/>
        <v>206.77863424906914</v>
      </c>
      <c r="R111" s="57">
        <f>(J111/D111)^(1/6)-1</f>
        <v>0.26932734606017017</v>
      </c>
      <c r="S111" s="57">
        <f>(P111/J111)^(1/6)-1</f>
        <v>0.14389121148262318</v>
      </c>
    </row>
    <row r="112" spans="1:19" x14ac:dyDescent="0.2">
      <c r="A112" s="74" t="s">
        <v>4</v>
      </c>
      <c r="B112" s="66"/>
      <c r="C112" s="59">
        <f t="shared" ref="C112:P112" si="71">C111/B111-1</f>
        <v>0.28947297674576422</v>
      </c>
      <c r="D112" s="59">
        <f t="shared" si="71"/>
        <v>0.28252806076375436</v>
      </c>
      <c r="E112" s="59">
        <f t="shared" si="71"/>
        <v>0.2749684320714465</v>
      </c>
      <c r="F112" s="59">
        <f t="shared" si="71"/>
        <v>0.25550547344341878</v>
      </c>
      <c r="G112" s="59">
        <f t="shared" si="71"/>
        <v>0.29773091398327245</v>
      </c>
      <c r="H112" s="59">
        <f t="shared" si="71"/>
        <v>0.32019928698829991</v>
      </c>
      <c r="I112" s="59">
        <f t="shared" si="71"/>
        <v>0.24563495022622694</v>
      </c>
      <c r="J112" s="59">
        <f t="shared" si="71"/>
        <v>0.22435919510551439</v>
      </c>
      <c r="K112" s="59">
        <f t="shared" si="71"/>
        <v>0.16363039549853897</v>
      </c>
      <c r="L112" s="59">
        <f t="shared" si="71"/>
        <v>0.15619043747889649</v>
      </c>
      <c r="M112" s="59">
        <f t="shared" si="71"/>
        <v>0.15801546431381874</v>
      </c>
      <c r="N112" s="59">
        <f t="shared" si="71"/>
        <v>0.1373306479763845</v>
      </c>
      <c r="O112" s="59">
        <f t="shared" si="71"/>
        <v>0.13011042252076011</v>
      </c>
      <c r="P112" s="59">
        <f t="shared" si="71"/>
        <v>0.11877287462570885</v>
      </c>
      <c r="R112" s="109"/>
      <c r="S112" s="109"/>
    </row>
    <row r="113" spans="1:19" ht="17.100000000000001" customHeight="1" x14ac:dyDescent="0.2">
      <c r="R113" s="109"/>
      <c r="S113" s="109"/>
    </row>
    <row r="114" spans="1:19" x14ac:dyDescent="0.2">
      <c r="A114" s="67" t="s">
        <v>33</v>
      </c>
      <c r="R114" s="109"/>
      <c r="S114" s="109"/>
    </row>
    <row r="115" spans="1:19" x14ac:dyDescent="0.2">
      <c r="A115" s="68" t="s">
        <v>82</v>
      </c>
      <c r="B115" s="112">
        <f t="shared" ref="B115:P115" si="72">(B103*1000000)/(B34*1000)</f>
        <v>2.6870988230095819E-2</v>
      </c>
      <c r="C115" s="112">
        <f t="shared" si="72"/>
        <v>2.9765679297805644E-2</v>
      </c>
      <c r="D115" s="112">
        <f t="shared" si="72"/>
        <v>3.262845347628604E-2</v>
      </c>
      <c r="E115" s="112">
        <f t="shared" si="72"/>
        <v>3.5382171960467848E-2</v>
      </c>
      <c r="F115" s="112">
        <f t="shared" si="72"/>
        <v>3.8966953539213561E-2</v>
      </c>
      <c r="G115" s="112">
        <f t="shared" si="72"/>
        <v>4.0401491241633385E-2</v>
      </c>
      <c r="H115" s="112">
        <f t="shared" si="72"/>
        <v>4.7469287361837476E-2</v>
      </c>
      <c r="I115" s="112">
        <f t="shared" si="72"/>
        <v>5.7407062037782564E-2</v>
      </c>
      <c r="J115" s="112">
        <f t="shared" si="72"/>
        <v>6.2180837442669661E-2</v>
      </c>
      <c r="K115" s="112">
        <f t="shared" si="72"/>
        <v>6.6790689836862954E-2</v>
      </c>
      <c r="L115" s="112">
        <f t="shared" si="72"/>
        <v>6.935912286451057E-2</v>
      </c>
      <c r="M115" s="112">
        <f t="shared" si="72"/>
        <v>7.1962075304881398E-2</v>
      </c>
      <c r="N115" s="112">
        <f t="shared" si="72"/>
        <v>7.4664756065203439E-2</v>
      </c>
      <c r="O115" s="112">
        <f t="shared" si="72"/>
        <v>7.7710798589619934E-2</v>
      </c>
      <c r="P115" s="112">
        <f t="shared" si="72"/>
        <v>8.0930840422549333E-2</v>
      </c>
      <c r="R115" s="57">
        <f>(J115/D115)^(1/6)-1</f>
        <v>0.11346528023191271</v>
      </c>
      <c r="S115" s="57">
        <f>(P115/J115)^(1/6)-1</f>
        <v>4.4903652469741484E-2</v>
      </c>
    </row>
    <row r="116" spans="1:19" x14ac:dyDescent="0.2">
      <c r="A116" s="62" t="s">
        <v>4</v>
      </c>
      <c r="B116" s="75"/>
      <c r="C116" s="13">
        <f>C115/B115-1</f>
        <v>0.10772551582110168</v>
      </c>
      <c r="D116" s="13">
        <f t="shared" ref="D116:P116" si="73">D115/C115-1</f>
        <v>9.6177014804141869E-2</v>
      </c>
      <c r="E116" s="13">
        <f t="shared" si="73"/>
        <v>8.4396230614582457E-2</v>
      </c>
      <c r="F116" s="13">
        <f t="shared" si="73"/>
        <v>0.10131604082278933</v>
      </c>
      <c r="G116" s="13">
        <f t="shared" si="73"/>
        <v>3.6814212354994824E-2</v>
      </c>
      <c r="H116" s="13">
        <f t="shared" si="73"/>
        <v>0.17493899118557255</v>
      </c>
      <c r="I116" s="13">
        <f t="shared" si="73"/>
        <v>0.20935167195988869</v>
      </c>
      <c r="J116" s="13">
        <f t="shared" si="73"/>
        <v>8.3156587977716523E-2</v>
      </c>
      <c r="K116" s="13">
        <f t="shared" si="73"/>
        <v>7.413622240844786E-2</v>
      </c>
      <c r="L116" s="13">
        <f t="shared" si="73"/>
        <v>3.8454955831733972E-2</v>
      </c>
      <c r="M116" s="13">
        <f t="shared" si="73"/>
        <v>3.7528623962785224E-2</v>
      </c>
      <c r="N116" s="13">
        <f t="shared" si="73"/>
        <v>3.7557015259379378E-2</v>
      </c>
      <c r="O116" s="13">
        <f t="shared" si="73"/>
        <v>4.0796256292010558E-2</v>
      </c>
      <c r="P116" s="13">
        <f t="shared" si="73"/>
        <v>4.143622110916656E-2</v>
      </c>
      <c r="R116" s="109"/>
      <c r="S116" s="109"/>
    </row>
    <row r="117" spans="1:19" x14ac:dyDescent="0.2">
      <c r="A117" s="68" t="s">
        <v>10</v>
      </c>
      <c r="B117" s="112">
        <f t="shared" ref="B117:P117" si="74">(B105*1000000)/(B36*1000)</f>
        <v>487.27621934280336</v>
      </c>
      <c r="C117" s="112">
        <f t="shared" si="74"/>
        <v>496.66475042006135</v>
      </c>
      <c r="D117" s="112">
        <f t="shared" si="74"/>
        <v>516.59596213154623</v>
      </c>
      <c r="E117" s="112">
        <f t="shared" si="74"/>
        <v>534.85155111362292</v>
      </c>
      <c r="F117" s="112">
        <f t="shared" si="74"/>
        <v>587.28251965858419</v>
      </c>
      <c r="G117" s="112">
        <f t="shared" si="74"/>
        <v>602.33821158905209</v>
      </c>
      <c r="H117" s="112">
        <f t="shared" si="74"/>
        <v>663.00520306669148</v>
      </c>
      <c r="I117" s="112">
        <f t="shared" si="74"/>
        <v>709.61930225079516</v>
      </c>
      <c r="J117" s="112">
        <f t="shared" si="74"/>
        <v>756.33087120339042</v>
      </c>
      <c r="K117" s="112">
        <f t="shared" si="74"/>
        <v>763.58497304814989</v>
      </c>
      <c r="L117" s="112">
        <f t="shared" si="74"/>
        <v>779.06777581851964</v>
      </c>
      <c r="M117" s="112">
        <f t="shared" si="74"/>
        <v>804.97788427979867</v>
      </c>
      <c r="N117" s="112">
        <f t="shared" si="74"/>
        <v>829.92573367314708</v>
      </c>
      <c r="O117" s="112">
        <f t="shared" si="74"/>
        <v>859.6381883012308</v>
      </c>
      <c r="P117" s="112">
        <f t="shared" si="74"/>
        <v>890.6818198118948</v>
      </c>
      <c r="R117" s="57">
        <f>(J117/D117)^(1/6)-1</f>
        <v>6.5598179874850171E-2</v>
      </c>
      <c r="S117" s="57">
        <f>(P117/J117)^(1/6)-1</f>
        <v>2.762610151327749E-2</v>
      </c>
    </row>
    <row r="118" spans="1:19" x14ac:dyDescent="0.2">
      <c r="A118" s="62" t="s">
        <v>4</v>
      </c>
      <c r="B118" s="75"/>
      <c r="C118" s="13">
        <f>C117/B117-1</f>
        <v>1.9267369727011152E-2</v>
      </c>
      <c r="D118" s="13">
        <f t="shared" ref="D118:P118" si="75">D117/C117-1</f>
        <v>4.0130111296659887E-2</v>
      </c>
      <c r="E118" s="13">
        <f t="shared" si="75"/>
        <v>3.5338233978352562E-2</v>
      </c>
      <c r="F118" s="13">
        <f t="shared" si="75"/>
        <v>9.8029010920495541E-2</v>
      </c>
      <c r="G118" s="13">
        <f t="shared" si="75"/>
        <v>2.5636199659442527E-2</v>
      </c>
      <c r="H118" s="13">
        <f t="shared" si="75"/>
        <v>0.10071914799758663</v>
      </c>
      <c r="I118" s="13">
        <f t="shared" si="75"/>
        <v>7.0307290151710555E-2</v>
      </c>
      <c r="J118" s="13">
        <f t="shared" si="75"/>
        <v>6.5826237821369649E-2</v>
      </c>
      <c r="K118" s="13">
        <f t="shared" si="75"/>
        <v>9.5911751337316442E-3</v>
      </c>
      <c r="L118" s="13">
        <f t="shared" si="75"/>
        <v>2.027646341515088E-2</v>
      </c>
      <c r="M118" s="13">
        <f t="shared" si="75"/>
        <v>3.3257836179986899E-2</v>
      </c>
      <c r="N118" s="13">
        <f t="shared" si="75"/>
        <v>3.0991968699449313E-2</v>
      </c>
      <c r="O118" s="13">
        <f t="shared" si="75"/>
        <v>3.580134152074077E-2</v>
      </c>
      <c r="P118" s="13">
        <f t="shared" si="75"/>
        <v>3.6112438852921036E-2</v>
      </c>
      <c r="R118" s="109"/>
      <c r="S118" s="109"/>
    </row>
    <row r="119" spans="1:19" x14ac:dyDescent="0.2">
      <c r="A119" s="68" t="s">
        <v>11</v>
      </c>
      <c r="B119" s="112">
        <f t="shared" ref="B119:P119" si="76">(B107*1000000)/(B38*1000)</f>
        <v>38542.81065617971</v>
      </c>
      <c r="C119" s="112">
        <f t="shared" si="76"/>
        <v>37257.325576167619</v>
      </c>
      <c r="D119" s="112">
        <f t="shared" si="76"/>
        <v>38765.642327918053</v>
      </c>
      <c r="E119" s="112">
        <f t="shared" si="76"/>
        <v>40648.593907214708</v>
      </c>
      <c r="F119" s="112">
        <f t="shared" si="76"/>
        <v>45673.624963789967</v>
      </c>
      <c r="G119" s="112">
        <f t="shared" si="76"/>
        <v>50011.111493754535</v>
      </c>
      <c r="H119" s="112">
        <f t="shared" si="76"/>
        <v>59101.837733986053</v>
      </c>
      <c r="I119" s="112">
        <f t="shared" si="76"/>
        <v>67416.762444479406</v>
      </c>
      <c r="J119" s="112">
        <f t="shared" si="76"/>
        <v>78044.659563443754</v>
      </c>
      <c r="K119" s="112">
        <f t="shared" si="76"/>
        <v>86205.695908248672</v>
      </c>
      <c r="L119" s="112">
        <f t="shared" si="76"/>
        <v>95523.086035139859</v>
      </c>
      <c r="M119" s="112">
        <f t="shared" si="76"/>
        <v>106609.19148228709</v>
      </c>
      <c r="N119" s="112">
        <f t="shared" si="76"/>
        <v>118038.90105368294</v>
      </c>
      <c r="O119" s="112">
        <f t="shared" si="76"/>
        <v>130521.5662769873</v>
      </c>
      <c r="P119" s="112">
        <f t="shared" si="76"/>
        <v>143411.02447071247</v>
      </c>
      <c r="R119" s="57">
        <f>(J119/D119)^(1/6)-1</f>
        <v>0.12369737849186646</v>
      </c>
      <c r="S119" s="57">
        <f>(P119/J119)^(1/6)-1</f>
        <v>0.10672543544684943</v>
      </c>
    </row>
    <row r="120" spans="1:19" x14ac:dyDescent="0.2">
      <c r="A120" s="62" t="s">
        <v>4</v>
      </c>
      <c r="B120" s="75"/>
      <c r="C120" s="13">
        <f>C119/B119-1</f>
        <v>-3.335213644586621E-2</v>
      </c>
      <c r="D120" s="13">
        <f t="shared" ref="D120:P120" si="77">D119/C119-1</f>
        <v>4.0483763351904622E-2</v>
      </c>
      <c r="E120" s="13">
        <f t="shared" si="77"/>
        <v>4.8572691337571472E-2</v>
      </c>
      <c r="F120" s="13">
        <f t="shared" si="77"/>
        <v>0.12362127624993602</v>
      </c>
      <c r="G120" s="13">
        <f t="shared" si="77"/>
        <v>9.4966986601201953E-2</v>
      </c>
      <c r="H120" s="13">
        <f t="shared" si="77"/>
        <v>0.18177412916261182</v>
      </c>
      <c r="I120" s="13">
        <f t="shared" si="77"/>
        <v>0.14068809074801281</v>
      </c>
      <c r="J120" s="13">
        <f t="shared" si="77"/>
        <v>0.15764472712134281</v>
      </c>
      <c r="K120" s="13">
        <f t="shared" si="77"/>
        <v>0.10456879933175545</v>
      </c>
      <c r="L120" s="13">
        <f t="shared" si="77"/>
        <v>0.10808323079727788</v>
      </c>
      <c r="M120" s="13">
        <f t="shared" si="77"/>
        <v>0.11605681838073156</v>
      </c>
      <c r="N120" s="13">
        <f t="shared" si="77"/>
        <v>0.10721129587869438</v>
      </c>
      <c r="O120" s="13">
        <f t="shared" si="77"/>
        <v>0.10575043576208287</v>
      </c>
      <c r="P120" s="13">
        <f t="shared" si="77"/>
        <v>9.875347470449225E-2</v>
      </c>
      <c r="R120" s="109"/>
      <c r="S120" s="109"/>
    </row>
    <row r="121" spans="1:19" x14ac:dyDescent="0.2">
      <c r="A121" s="77" t="s">
        <v>23</v>
      </c>
      <c r="B121" s="56">
        <f t="shared" ref="B121:P121" si="78">(B111*1000000)/(B40*1000)</f>
        <v>397.84308078950852</v>
      </c>
      <c r="C121" s="56">
        <f t="shared" si="78"/>
        <v>406.885242931471</v>
      </c>
      <c r="D121" s="56">
        <f t="shared" si="78"/>
        <v>409.18704773393893</v>
      </c>
      <c r="E121" s="56">
        <f t="shared" si="78"/>
        <v>400.56576515951548</v>
      </c>
      <c r="F121" s="56">
        <f t="shared" si="78"/>
        <v>405.46747875435756</v>
      </c>
      <c r="G121" s="56">
        <f t="shared" si="78"/>
        <v>393.62702580350435</v>
      </c>
      <c r="H121" s="56">
        <f t="shared" si="78"/>
        <v>424.07615177877938</v>
      </c>
      <c r="I121" s="56">
        <f t="shared" si="78"/>
        <v>484.88285682599729</v>
      </c>
      <c r="J121" s="56">
        <f t="shared" si="78"/>
        <v>508.13924790287689</v>
      </c>
      <c r="K121" s="56">
        <f t="shared" si="78"/>
        <v>505.90522086938785</v>
      </c>
      <c r="L121" s="56">
        <f t="shared" si="78"/>
        <v>499.13990452922911</v>
      </c>
      <c r="M121" s="56">
        <f t="shared" si="78"/>
        <v>493.75783817071073</v>
      </c>
      <c r="N121" s="56">
        <f t="shared" si="78"/>
        <v>489.41514863647041</v>
      </c>
      <c r="O121" s="56">
        <f t="shared" si="78"/>
        <v>487.63965283342719</v>
      </c>
      <c r="P121" s="56">
        <f t="shared" si="78"/>
        <v>487.03684627654081</v>
      </c>
      <c r="R121" s="109"/>
      <c r="S121" s="109"/>
    </row>
    <row r="122" spans="1:19" x14ac:dyDescent="0.2">
      <c r="A122" s="74" t="s">
        <v>4</v>
      </c>
      <c r="B122" s="66"/>
      <c r="C122" s="59">
        <f t="shared" ref="C122:P122" si="79">C121/B121-1</f>
        <v>2.2727961295741395E-2</v>
      </c>
      <c r="D122" s="59">
        <f t="shared" si="79"/>
        <v>5.6571351319703034E-3</v>
      </c>
      <c r="E122" s="59">
        <f t="shared" si="79"/>
        <v>-2.1069294891340684E-2</v>
      </c>
      <c r="F122" s="59">
        <f t="shared" si="79"/>
        <v>1.2236975850620002E-2</v>
      </c>
      <c r="G122" s="59">
        <f t="shared" si="79"/>
        <v>-2.920197937262059E-2</v>
      </c>
      <c r="H122" s="59">
        <f t="shared" si="79"/>
        <v>7.7355272832498434E-2</v>
      </c>
      <c r="I122" s="59">
        <f t="shared" si="79"/>
        <v>0.14338628756218741</v>
      </c>
      <c r="J122" s="59">
        <f t="shared" si="79"/>
        <v>4.7962906399937388E-2</v>
      </c>
      <c r="K122" s="59">
        <f t="shared" si="79"/>
        <v>-4.396485889859969E-3</v>
      </c>
      <c r="L122" s="59">
        <f t="shared" si="79"/>
        <v>-1.3372695242268251E-2</v>
      </c>
      <c r="M122" s="59">
        <f t="shared" si="79"/>
        <v>-1.078268098719648E-2</v>
      </c>
      <c r="N122" s="59">
        <f t="shared" si="79"/>
        <v>-8.7951809541479964E-3</v>
      </c>
      <c r="O122" s="59">
        <f t="shared" si="79"/>
        <v>-3.6277908601517472E-3</v>
      </c>
      <c r="P122" s="59">
        <f t="shared" si="79"/>
        <v>-1.2361721475760978E-3</v>
      </c>
      <c r="R122" s="109"/>
      <c r="S122" s="109"/>
    </row>
    <row r="123" spans="1:19" x14ac:dyDescent="0.2">
      <c r="R123" s="109"/>
      <c r="S123" s="109"/>
    </row>
    <row r="124" spans="1:19" x14ac:dyDescent="0.2">
      <c r="A124" s="67" t="s">
        <v>51</v>
      </c>
      <c r="R124" s="109"/>
      <c r="S124" s="109"/>
    </row>
    <row r="125" spans="1:19" x14ac:dyDescent="0.2">
      <c r="A125" s="68" t="s">
        <v>52</v>
      </c>
      <c r="B125" s="46">
        <v>5.7176860515583581</v>
      </c>
      <c r="C125" s="46">
        <v>7.6534563375788345</v>
      </c>
      <c r="D125" s="46">
        <v>10.189421863920872</v>
      </c>
      <c r="E125" s="46">
        <v>13.485716751412811</v>
      </c>
      <c r="F125" s="46">
        <v>17.575905244977285</v>
      </c>
      <c r="G125" s="46">
        <v>23.677040192074188</v>
      </c>
      <c r="H125" s="46">
        <v>32.448301129725586</v>
      </c>
      <c r="I125" s="46">
        <v>41.957326505764762</v>
      </c>
      <c r="J125" s="46">
        <v>53.326332113697546</v>
      </c>
      <c r="K125" s="46">
        <v>64.414231332542855</v>
      </c>
      <c r="L125" s="46">
        <v>77.310104489998253</v>
      </c>
      <c r="M125" s="46">
        <v>92.934224184610599</v>
      </c>
      <c r="N125" s="46">
        <v>109.7204243621531</v>
      </c>
      <c r="O125" s="46">
        <v>128.71626149144063</v>
      </c>
      <c r="P125" s="46">
        <v>149.48595969269911</v>
      </c>
      <c r="R125" s="57">
        <f>(J125/D125)^(1/6)-1</f>
        <v>0.31764583917871714</v>
      </c>
      <c r="S125" s="57">
        <f>(P125/J125)^(1/6)-1</f>
        <v>0.18743482519420351</v>
      </c>
    </row>
    <row r="126" spans="1:19" x14ac:dyDescent="0.2">
      <c r="A126" s="62" t="s">
        <v>4</v>
      </c>
      <c r="B126" s="75"/>
      <c r="C126" s="63">
        <f t="shared" ref="C126:P126" si="80">C125/B125-1</f>
        <v>0.33855833785992528</v>
      </c>
      <c r="D126" s="63">
        <f t="shared" si="80"/>
        <v>0.33134905518312374</v>
      </c>
      <c r="E126" s="63">
        <f t="shared" si="80"/>
        <v>0.32350166000718805</v>
      </c>
      <c r="F126" s="63">
        <f t="shared" si="80"/>
        <v>0.30329782012780093</v>
      </c>
      <c r="G126" s="63">
        <f t="shared" si="80"/>
        <v>0.34713062354728152</v>
      </c>
      <c r="H126" s="63">
        <f t="shared" si="80"/>
        <v>0.3704542825664312</v>
      </c>
      <c r="I126" s="63">
        <f t="shared" si="80"/>
        <v>0.2930515634092179</v>
      </c>
      <c r="J126" s="63">
        <f t="shared" si="80"/>
        <v>0.27096592072830794</v>
      </c>
      <c r="K126" s="63">
        <f t="shared" si="80"/>
        <v>0.20792540531767112</v>
      </c>
      <c r="L126" s="63">
        <f t="shared" si="80"/>
        <v>0.20020223622446998</v>
      </c>
      <c r="M126" s="63">
        <f t="shared" si="80"/>
        <v>0.20209673493111979</v>
      </c>
      <c r="N126" s="63">
        <f t="shared" si="80"/>
        <v>0.18062452583880506</v>
      </c>
      <c r="O126" s="63">
        <f t="shared" si="80"/>
        <v>0.17312945369759203</v>
      </c>
      <c r="P126" s="63">
        <f t="shared" si="80"/>
        <v>0.16136032821804425</v>
      </c>
      <c r="R126" s="109"/>
      <c r="S126" s="109"/>
    </row>
    <row r="127" spans="1:19" x14ac:dyDescent="0.2">
      <c r="A127" s="68" t="s">
        <v>53</v>
      </c>
      <c r="B127" s="46">
        <v>7.6260174292416387</v>
      </c>
      <c r="C127" s="46">
        <v>9.5528887106211577</v>
      </c>
      <c r="D127" s="46">
        <v>11.878198483579085</v>
      </c>
      <c r="E127" s="46">
        <v>14.64980256258715</v>
      </c>
      <c r="F127" s="46">
        <v>17.748393251922693</v>
      </c>
      <c r="G127" s="46">
        <v>22.164393982125773</v>
      </c>
      <c r="H127" s="46">
        <v>28.071527581574287</v>
      </c>
      <c r="I127" s="46">
        <v>33.428287318735038</v>
      </c>
      <c r="J127" s="46">
        <v>38.972737351002138</v>
      </c>
      <c r="K127" s="46">
        <v>42.987771372812773</v>
      </c>
      <c r="L127" s="46">
        <v>46.867064004016427</v>
      </c>
      <c r="M127" s="46">
        <v>50.864857246161165</v>
      </c>
      <c r="N127" s="46">
        <v>53.826678099915426</v>
      </c>
      <c r="O127" s="46">
        <v>56.110023574013695</v>
      </c>
      <c r="P127" s="46">
        <v>57.292674556370002</v>
      </c>
      <c r="R127" s="57">
        <f>(J127/D127)^(1/6)-1</f>
        <v>0.21899443258975126</v>
      </c>
      <c r="S127" s="57">
        <f>(P127/J127)^(1/6)-1</f>
        <v>6.6325260981576539E-2</v>
      </c>
    </row>
    <row r="128" spans="1:19" x14ac:dyDescent="0.2">
      <c r="A128" s="62" t="s">
        <v>4</v>
      </c>
      <c r="B128" s="63"/>
      <c r="C128" s="63">
        <f t="shared" ref="C128:P128" si="81">C127/B127-1</f>
        <v>0.2526707156465462</v>
      </c>
      <c r="D128" s="63">
        <f t="shared" si="81"/>
        <v>0.24341430570342415</v>
      </c>
      <c r="E128" s="63">
        <f t="shared" si="81"/>
        <v>0.23333539028158556</v>
      </c>
      <c r="F128" s="63">
        <f t="shared" si="81"/>
        <v>0.21151074740411602</v>
      </c>
      <c r="G128" s="63">
        <f t="shared" si="81"/>
        <v>0.24881129618449793</v>
      </c>
      <c r="H128" s="63">
        <f t="shared" si="81"/>
        <v>0.26651455502064514</v>
      </c>
      <c r="I128" s="63">
        <f t="shared" si="81"/>
        <v>0.1908253735602492</v>
      </c>
      <c r="J128" s="63">
        <f t="shared" si="81"/>
        <v>0.16586102600475394</v>
      </c>
      <c r="K128" s="63">
        <f t="shared" si="81"/>
        <v>0.10302160676192251</v>
      </c>
      <c r="L128" s="63">
        <f t="shared" si="81"/>
        <v>9.024177126002586E-2</v>
      </c>
      <c r="M128" s="63">
        <f t="shared" si="81"/>
        <v>8.5300697346907262E-2</v>
      </c>
      <c r="N128" s="63">
        <f t="shared" si="81"/>
        <v>5.8229217855080062E-2</v>
      </c>
      <c r="O128" s="63">
        <f t="shared" si="81"/>
        <v>4.2420330488532443E-2</v>
      </c>
      <c r="P128" s="63">
        <f t="shared" si="81"/>
        <v>2.1077356718560258E-2</v>
      </c>
      <c r="R128" s="109"/>
      <c r="S128" s="109"/>
    </row>
    <row r="129" spans="1:19" x14ac:dyDescent="0.2">
      <c r="A129" s="77" t="s">
        <v>23</v>
      </c>
      <c r="B129" s="56">
        <f t="shared" ref="B129:P129" si="82">B125+B127</f>
        <v>13.343703480799997</v>
      </c>
      <c r="C129" s="56">
        <f t="shared" si="82"/>
        <v>17.206345048199992</v>
      </c>
      <c r="D129" s="56">
        <f t="shared" si="82"/>
        <v>22.067620347499957</v>
      </c>
      <c r="E129" s="56">
        <f t="shared" si="82"/>
        <v>28.135519313999961</v>
      </c>
      <c r="F129" s="56">
        <f t="shared" si="82"/>
        <v>35.324298496899978</v>
      </c>
      <c r="G129" s="56">
        <f t="shared" si="82"/>
        <v>45.841434174199961</v>
      </c>
      <c r="H129" s="56">
        <f t="shared" si="82"/>
        <v>60.519828711299873</v>
      </c>
      <c r="I129" s="56">
        <f t="shared" si="82"/>
        <v>75.385613824499799</v>
      </c>
      <c r="J129" s="56">
        <f t="shared" si="82"/>
        <v>92.299069464699684</v>
      </c>
      <c r="K129" s="56">
        <f t="shared" si="82"/>
        <v>107.40200270535563</v>
      </c>
      <c r="L129" s="56">
        <f t="shared" si="82"/>
        <v>124.17716849401468</v>
      </c>
      <c r="M129" s="56">
        <f t="shared" si="82"/>
        <v>143.79908143077176</v>
      </c>
      <c r="N129" s="56">
        <f t="shared" si="82"/>
        <v>163.54710246206852</v>
      </c>
      <c r="O129" s="56">
        <f t="shared" si="82"/>
        <v>184.82628506545433</v>
      </c>
      <c r="P129" s="56">
        <f t="shared" si="82"/>
        <v>206.77863424906911</v>
      </c>
      <c r="R129" s="57">
        <f>(J129/D129)^(1/6)-1</f>
        <v>0.26932734606017017</v>
      </c>
      <c r="S129" s="57">
        <f>(P129/J129)^(1/6)-1</f>
        <v>0.14389121148262318</v>
      </c>
    </row>
    <row r="130" spans="1:19" x14ac:dyDescent="0.2">
      <c r="A130" s="74" t="s">
        <v>4</v>
      </c>
      <c r="B130" s="66"/>
      <c r="C130" s="59">
        <f t="shared" ref="C130:P130" si="83">C129/B129-1</f>
        <v>0.28947297674576467</v>
      </c>
      <c r="D130" s="59">
        <f t="shared" si="83"/>
        <v>0.28252806076375392</v>
      </c>
      <c r="E130" s="59">
        <f t="shared" si="83"/>
        <v>0.27496843207144606</v>
      </c>
      <c r="F130" s="59">
        <f t="shared" si="83"/>
        <v>0.25550547344341901</v>
      </c>
      <c r="G130" s="59">
        <f t="shared" si="83"/>
        <v>0.29773091398327289</v>
      </c>
      <c r="H130" s="59">
        <f t="shared" si="83"/>
        <v>0.32019928698829991</v>
      </c>
      <c r="I130" s="59">
        <f t="shared" si="83"/>
        <v>0.24563495022622694</v>
      </c>
      <c r="J130" s="59">
        <f t="shared" si="83"/>
        <v>0.22435919510551394</v>
      </c>
      <c r="K130" s="59">
        <f t="shared" si="83"/>
        <v>0.16363039549853919</v>
      </c>
      <c r="L130" s="59">
        <f t="shared" si="83"/>
        <v>0.15619043747889583</v>
      </c>
      <c r="M130" s="59">
        <f t="shared" si="83"/>
        <v>0.15801546431381919</v>
      </c>
      <c r="N130" s="59">
        <f t="shared" si="83"/>
        <v>0.1373306479763845</v>
      </c>
      <c r="O130" s="59">
        <f t="shared" si="83"/>
        <v>0.13011042252076033</v>
      </c>
      <c r="P130" s="59">
        <f t="shared" si="83"/>
        <v>0.11877287462570907</v>
      </c>
      <c r="R130" s="109"/>
      <c r="S130" s="109"/>
    </row>
    <row r="131" spans="1:19" x14ac:dyDescent="0.2">
      <c r="R131" s="109"/>
      <c r="S131" s="109"/>
    </row>
    <row r="132" spans="1:19" x14ac:dyDescent="0.2">
      <c r="A132" s="67" t="s">
        <v>34</v>
      </c>
      <c r="R132" s="109"/>
      <c r="S132" s="109"/>
    </row>
    <row r="133" spans="1:19" x14ac:dyDescent="0.2">
      <c r="A133" s="79" t="s">
        <v>35</v>
      </c>
      <c r="B133" s="45">
        <v>35995.464580921216</v>
      </c>
      <c r="C133" s="45">
        <v>37122.227259528627</v>
      </c>
      <c r="D133" s="45">
        <v>38031.157797737818</v>
      </c>
      <c r="E133" s="45">
        <v>38867.477622480947</v>
      </c>
      <c r="F133" s="45">
        <v>39558.576020291919</v>
      </c>
      <c r="G133" s="45">
        <v>40104.452991170772</v>
      </c>
      <c r="H133" s="45">
        <v>40650.329962049618</v>
      </c>
      <c r="I133" s="45">
        <v>41683.7360090578</v>
      </c>
      <c r="J133" s="45">
        <v>43031</v>
      </c>
      <c r="K133" s="45">
        <v>43629.714276501523</v>
      </c>
      <c r="L133" s="45">
        <v>44365.419821514719</v>
      </c>
      <c r="M133" s="45">
        <v>45147.332603264666</v>
      </c>
      <c r="N133" s="45">
        <v>45861.315469249595</v>
      </c>
      <c r="O133" s="45">
        <v>46570.127415855764</v>
      </c>
      <c r="P133" s="45">
        <v>47272.376497212099</v>
      </c>
      <c r="R133" s="57">
        <f>(J133/D133)^(1/6)-1</f>
        <v>2.0799186546435866E-2</v>
      </c>
      <c r="S133" s="57">
        <f>(P133/J133)^(1/6)-1</f>
        <v>1.5790935042516274E-2</v>
      </c>
    </row>
    <row r="134" spans="1:19" x14ac:dyDescent="0.2">
      <c r="A134" s="80" t="s">
        <v>36</v>
      </c>
      <c r="B134" s="75"/>
      <c r="C134" s="63">
        <f t="shared" ref="C134:P134" si="84">C133/B133-1</f>
        <v>3.1302906955801069E-2</v>
      </c>
      <c r="D134" s="63">
        <f t="shared" si="84"/>
        <v>2.4484806147397453E-2</v>
      </c>
      <c r="E134" s="63">
        <f t="shared" si="84"/>
        <v>2.1990385598854356E-2</v>
      </c>
      <c r="F134" s="63">
        <f t="shared" si="84"/>
        <v>1.7780891379769903E-2</v>
      </c>
      <c r="G134" s="63">
        <f t="shared" si="84"/>
        <v>1.3799206791438534E-2</v>
      </c>
      <c r="H134" s="63">
        <f t="shared" si="84"/>
        <v>1.3611380536695528E-2</v>
      </c>
      <c r="I134" s="63">
        <f t="shared" si="84"/>
        <v>2.542183662403108E-2</v>
      </c>
      <c r="J134" s="63">
        <f t="shared" si="84"/>
        <v>3.2321094986530019E-2</v>
      </c>
      <c r="K134" s="63">
        <f t="shared" si="84"/>
        <v>1.3913557121645326E-2</v>
      </c>
      <c r="L134" s="63">
        <f t="shared" si="84"/>
        <v>1.6862488265467324E-2</v>
      </c>
      <c r="M134" s="63">
        <f t="shared" si="84"/>
        <v>1.7624374679550803E-2</v>
      </c>
      <c r="N134" s="63">
        <f t="shared" si="84"/>
        <v>1.5814508295741492E-2</v>
      </c>
      <c r="O134" s="63">
        <f t="shared" si="84"/>
        <v>1.5455552012707319E-2</v>
      </c>
      <c r="P134" s="63">
        <f t="shared" si="84"/>
        <v>1.507938930648578E-2</v>
      </c>
      <c r="R134" s="109"/>
      <c r="S134" s="109"/>
    </row>
    <row r="135" spans="1:19" x14ac:dyDescent="0.2">
      <c r="A135" s="79" t="s">
        <v>37</v>
      </c>
      <c r="B135" s="45">
        <v>20700.657195762702</v>
      </c>
      <c r="C135" s="45">
        <v>20959.854607760135</v>
      </c>
      <c r="D135" s="45">
        <v>21219.052016865473</v>
      </c>
      <c r="E135" s="45">
        <v>21413.450071809446</v>
      </c>
      <c r="F135" s="45">
        <v>21607.848129645514</v>
      </c>
      <c r="G135" s="45">
        <v>21737.446836212326</v>
      </c>
      <c r="H135" s="45">
        <v>21867.045539887044</v>
      </c>
      <c r="I135" s="45">
        <v>22135.5</v>
      </c>
      <c r="J135" s="45">
        <v>22635.5</v>
      </c>
      <c r="K135" s="45">
        <v>22825.987282031005</v>
      </c>
      <c r="L135" s="45">
        <v>23070.829514573725</v>
      </c>
      <c r="M135" s="45">
        <v>23328.361232718042</v>
      </c>
      <c r="N135" s="45">
        <v>23573.477046724664</v>
      </c>
      <c r="O135" s="45">
        <v>23800.070096041738</v>
      </c>
      <c r="P135" s="45">
        <v>24012.926732284635</v>
      </c>
      <c r="R135" s="57">
        <f>(J135/D135)^(1/6)-1</f>
        <v>1.082820727111411E-2</v>
      </c>
      <c r="S135" s="57">
        <f>(P135/J135)^(1/6)-1</f>
        <v>9.8940975830523747E-3</v>
      </c>
    </row>
    <row r="136" spans="1:19" x14ac:dyDescent="0.2">
      <c r="A136" s="80" t="s">
        <v>36</v>
      </c>
      <c r="B136" s="75"/>
      <c r="C136" s="63">
        <f t="shared" ref="C136:P136" si="85">C135/B135-1</f>
        <v>1.2521216575215321E-2</v>
      </c>
      <c r="D136" s="63">
        <f t="shared" si="85"/>
        <v>1.2366374383597778E-2</v>
      </c>
      <c r="E136" s="63">
        <f t="shared" si="85"/>
        <v>9.1614863279216863E-3</v>
      </c>
      <c r="F136" s="63">
        <f t="shared" si="85"/>
        <v>9.0783155999691889E-3</v>
      </c>
      <c r="G136" s="63">
        <f t="shared" si="85"/>
        <v>5.9977608963757145E-3</v>
      </c>
      <c r="H136" s="63">
        <f t="shared" si="85"/>
        <v>5.962002099474617E-3</v>
      </c>
      <c r="I136" s="63">
        <f t="shared" si="85"/>
        <v>1.2276668085922982E-2</v>
      </c>
      <c r="J136" s="63">
        <f t="shared" si="85"/>
        <v>2.2588150256375616E-2</v>
      </c>
      <c r="K136" s="63">
        <f t="shared" si="85"/>
        <v>8.4154218829275429E-3</v>
      </c>
      <c r="L136" s="63">
        <f t="shared" si="85"/>
        <v>1.0726468455340976E-2</v>
      </c>
      <c r="M136" s="63">
        <f t="shared" si="85"/>
        <v>1.1162655334158389E-2</v>
      </c>
      <c r="N136" s="63">
        <f t="shared" si="85"/>
        <v>1.0507202437471053E-2</v>
      </c>
      <c r="O136" s="63">
        <f t="shared" si="85"/>
        <v>9.6122031072440883E-3</v>
      </c>
      <c r="P136" s="63">
        <f t="shared" si="85"/>
        <v>8.9435298040696498E-3</v>
      </c>
      <c r="R136" s="109"/>
      <c r="S136" s="109"/>
    </row>
    <row r="137" spans="1:19" x14ac:dyDescent="0.2">
      <c r="A137" s="79" t="s">
        <v>38</v>
      </c>
      <c r="B137" s="43">
        <v>88.931310315975423</v>
      </c>
      <c r="C137" s="43">
        <v>107.34497457887147</v>
      </c>
      <c r="D137" s="43">
        <v>130.04902153706934</v>
      </c>
      <c r="E137" s="43">
        <v>157.19842133066322</v>
      </c>
      <c r="F137" s="43">
        <v>187.08104360084172</v>
      </c>
      <c r="G137" s="43">
        <v>226.94161007291225</v>
      </c>
      <c r="H137" s="43">
        <v>282.89614263878678</v>
      </c>
      <c r="I137" s="43">
        <v>341.48022258948663</v>
      </c>
      <c r="J137" s="43">
        <v>406.57654330344997</v>
      </c>
      <c r="K137" s="43">
        <v>468.13905210785327</v>
      </c>
      <c r="L137" s="43">
        <v>539.75761478527056</v>
      </c>
      <c r="M137" s="43">
        <v>625.22338285277419</v>
      </c>
      <c r="N137" s="43">
        <v>714.24947141359462</v>
      </c>
      <c r="O137" s="43">
        <v>812.10752758790011</v>
      </c>
      <c r="P137" s="43">
        <v>914.75812872300821</v>
      </c>
      <c r="R137" s="57">
        <f>(J137/D137)^(1/6)-1</f>
        <v>0.20922153161203005</v>
      </c>
      <c r="S137" s="57">
        <f>(P137/J137)^(1/6)-1</f>
        <v>0.14470608921214678</v>
      </c>
    </row>
    <row r="138" spans="1:19" x14ac:dyDescent="0.2">
      <c r="A138" s="80" t="s">
        <v>36</v>
      </c>
      <c r="B138" s="75"/>
      <c r="C138" s="63">
        <f t="shared" ref="C138:P138" si="86">C137/B137-1</f>
        <v>0.20705490785497016</v>
      </c>
      <c r="D138" s="63">
        <f t="shared" si="86"/>
        <v>0.21150544818021366</v>
      </c>
      <c r="E138" s="63">
        <f t="shared" si="86"/>
        <v>0.20876281476562419</v>
      </c>
      <c r="F138" s="63">
        <f t="shared" si="86"/>
        <v>0.19009492600005884</v>
      </c>
      <c r="G138" s="63">
        <f t="shared" si="86"/>
        <v>0.21306576927760523</v>
      </c>
      <c r="H138" s="63">
        <f t="shared" si="86"/>
        <v>0.2465591591947256</v>
      </c>
      <c r="I138" s="63">
        <f t="shared" si="86"/>
        <v>0.20708688144080623</v>
      </c>
      <c r="J138" s="63">
        <f t="shared" si="86"/>
        <v>0.19062984151858031</v>
      </c>
      <c r="K138" s="63">
        <f t="shared" si="86"/>
        <v>0.1514167745738737</v>
      </c>
      <c r="L138" s="63">
        <f t="shared" si="86"/>
        <v>0.15298566174931572</v>
      </c>
      <c r="M138" s="63">
        <f t="shared" si="86"/>
        <v>0.15834101405221324</v>
      </c>
      <c r="N138" s="63">
        <f t="shared" si="86"/>
        <v>0.14239084941866942</v>
      </c>
      <c r="O138" s="63">
        <f t="shared" si="86"/>
        <v>0.13700823044451327</v>
      </c>
      <c r="P138" s="63">
        <f t="shared" si="86"/>
        <v>0.12640025815300371</v>
      </c>
      <c r="R138" s="109"/>
      <c r="S138" s="109"/>
    </row>
    <row r="139" spans="1:19" x14ac:dyDescent="0.2">
      <c r="A139" s="79" t="s">
        <v>60</v>
      </c>
      <c r="B139" s="46">
        <v>36.69209549421543</v>
      </c>
      <c r="C139" s="46">
        <v>40.864309952431476</v>
      </c>
      <c r="D139" s="46">
        <v>45.426230958929381</v>
      </c>
      <c r="E139" s="46">
        <v>49.656216002183299</v>
      </c>
      <c r="F139" s="46">
        <v>52.508432420341869</v>
      </c>
      <c r="G139" s="46">
        <v>53.364722931912617</v>
      </c>
      <c r="H139" s="46">
        <v>54.280081463567562</v>
      </c>
      <c r="I139" s="46">
        <v>57.258933605947426</v>
      </c>
      <c r="J139" s="46">
        <v>59.090200625630892</v>
      </c>
      <c r="K139" s="81">
        <v>61.295360502361177</v>
      </c>
      <c r="L139" s="81">
        <v>63.879237184323998</v>
      </c>
      <c r="M139" s="81">
        <v>66.767948996006155</v>
      </c>
      <c r="N139" s="81">
        <v>69.483396206153984</v>
      </c>
      <c r="O139" s="81">
        <v>71.993004770315181</v>
      </c>
      <c r="P139" s="81">
        <v>74.370411256274608</v>
      </c>
      <c r="R139" s="57">
        <f>(J139/D139)^(1/6)-1</f>
        <v>4.4803919877751008E-2</v>
      </c>
      <c r="S139" s="57">
        <f>(P139/J139)^(1/6)-1</f>
        <v>3.9076333156763843E-2</v>
      </c>
    </row>
    <row r="140" spans="1:19" x14ac:dyDescent="0.2">
      <c r="A140" s="80" t="s">
        <v>36</v>
      </c>
      <c r="B140" s="75"/>
      <c r="C140" s="63">
        <f t="shared" ref="C140:P140" si="87">C139/B139-1</f>
        <v>0.11370880845095921</v>
      </c>
      <c r="D140" s="63">
        <f t="shared" si="87"/>
        <v>0.11163582627011825</v>
      </c>
      <c r="E140" s="63">
        <f t="shared" si="87"/>
        <v>9.3117675712042214E-2</v>
      </c>
      <c r="F140" s="63">
        <f t="shared" si="87"/>
        <v>5.7439262348004227E-2</v>
      </c>
      <c r="G140" s="63">
        <f t="shared" si="87"/>
        <v>1.6307676159820428E-2</v>
      </c>
      <c r="H140" s="63">
        <f t="shared" si="87"/>
        <v>1.7152877057430516E-2</v>
      </c>
      <c r="I140" s="63">
        <f t="shared" si="87"/>
        <v>5.4879286509163627E-2</v>
      </c>
      <c r="J140" s="63">
        <f t="shared" si="87"/>
        <v>3.1982206170414251E-2</v>
      </c>
      <c r="K140" s="63">
        <f t="shared" si="87"/>
        <v>3.7318537648927563E-2</v>
      </c>
      <c r="L140" s="63">
        <f t="shared" si="87"/>
        <v>4.2154522965295094E-2</v>
      </c>
      <c r="M140" s="63">
        <f t="shared" si="87"/>
        <v>4.5221451272919211E-2</v>
      </c>
      <c r="N140" s="63">
        <f t="shared" si="87"/>
        <v>4.0669920987242758E-2</v>
      </c>
      <c r="O140" s="63">
        <f t="shared" si="87"/>
        <v>3.6118104485211244E-2</v>
      </c>
      <c r="P140" s="63">
        <f t="shared" si="87"/>
        <v>3.3022742883759948E-2</v>
      </c>
      <c r="R140" s="109"/>
      <c r="S140" s="109"/>
    </row>
    <row r="141" spans="1:19" x14ac:dyDescent="0.2">
      <c r="A141" s="79" t="s">
        <v>39</v>
      </c>
      <c r="B141" s="46">
        <v>41.052516108630577</v>
      </c>
      <c r="C141" s="46">
        <v>41.598842374059622</v>
      </c>
      <c r="D141" s="46">
        <v>42.145168633392821</v>
      </c>
      <c r="E141" s="46">
        <v>42.554913323919529</v>
      </c>
      <c r="F141" s="46">
        <v>42.964658020542089</v>
      </c>
      <c r="G141" s="46">
        <v>43.237821154454025</v>
      </c>
      <c r="H141" s="46">
        <v>43.510984282270108</v>
      </c>
      <c r="I141" s="46">
        <v>44.076822195160752</v>
      </c>
      <c r="J141" s="46">
        <v>45.095399999999998</v>
      </c>
      <c r="K141" s="46">
        <v>46.374249785357456</v>
      </c>
      <c r="L141" s="46">
        <v>47.807363844121944</v>
      </c>
      <c r="M141" s="46">
        <v>49.297963974536358</v>
      </c>
      <c r="N141" s="46">
        <v>50.811163002923671</v>
      </c>
      <c r="O141" s="46">
        <v>52.327362954320741</v>
      </c>
      <c r="P141" s="46">
        <v>53.846909607519585</v>
      </c>
      <c r="R141" s="57">
        <f>(J141/D141)^(1/6)-1</f>
        <v>1.1340520143606536E-2</v>
      </c>
      <c r="S141" s="57">
        <f>(P141/J141)^(1/6)-1</f>
        <v>3.0002052081516517E-2</v>
      </c>
    </row>
    <row r="142" spans="1:19" x14ac:dyDescent="0.2">
      <c r="A142" s="80" t="s">
        <v>36</v>
      </c>
      <c r="B142" s="75"/>
      <c r="C142" s="63">
        <f t="shared" ref="C142:P142" si="88">C141/B141-1</f>
        <v>1.3307984923101701E-2</v>
      </c>
      <c r="D142" s="63">
        <f t="shared" si="88"/>
        <v>1.3133208237397387E-2</v>
      </c>
      <c r="E142" s="63">
        <f t="shared" si="88"/>
        <v>9.7222221149699806E-3</v>
      </c>
      <c r="F142" s="63">
        <f t="shared" si="88"/>
        <v>9.6286107670733312E-3</v>
      </c>
      <c r="G142" s="63">
        <f t="shared" si="88"/>
        <v>6.3578565848547708E-3</v>
      </c>
      <c r="H142" s="63">
        <f t="shared" si="88"/>
        <v>6.3176894793168792E-3</v>
      </c>
      <c r="I142" s="63">
        <f t="shared" si="88"/>
        <v>1.3004484321013532E-2</v>
      </c>
      <c r="J142" s="63">
        <f t="shared" si="88"/>
        <v>2.3109147940140629E-2</v>
      </c>
      <c r="K142" s="63">
        <f t="shared" si="88"/>
        <v>2.8358763540349052E-2</v>
      </c>
      <c r="L142" s="63">
        <f t="shared" si="88"/>
        <v>3.0903228955673434E-2</v>
      </c>
      <c r="M142" s="63">
        <f t="shared" si="88"/>
        <v>3.1179299809849015E-2</v>
      </c>
      <c r="N142" s="63">
        <f t="shared" si="88"/>
        <v>3.0694959921040876E-2</v>
      </c>
      <c r="O142" s="63">
        <f t="shared" si="88"/>
        <v>2.9839898592949554E-2</v>
      </c>
      <c r="P142" s="63">
        <f t="shared" si="88"/>
        <v>2.9039236212329955E-2</v>
      </c>
      <c r="R142" s="109"/>
      <c r="S142" s="109"/>
    </row>
    <row r="143" spans="1:19" x14ac:dyDescent="0.2">
      <c r="R143" s="109"/>
      <c r="S143" s="109"/>
    </row>
    <row r="144" spans="1:19" x14ac:dyDescent="0.2">
      <c r="A144" s="67" t="s">
        <v>176</v>
      </c>
      <c r="R144" s="109"/>
      <c r="S144" s="109"/>
    </row>
    <row r="145" spans="1:19" x14ac:dyDescent="0.2">
      <c r="A145" s="76" t="s">
        <v>178</v>
      </c>
      <c r="B145" s="56">
        <f>B147+B153+B159+B165+B171</f>
        <v>88.931310315975423</v>
      </c>
      <c r="C145" s="56">
        <f t="shared" ref="C145:P145" si="89">C147+C153+C159+C165+C171</f>
        <v>107.34497457887147</v>
      </c>
      <c r="D145" s="56">
        <f t="shared" si="89"/>
        <v>130.04902153706934</v>
      </c>
      <c r="E145" s="56">
        <f t="shared" si="89"/>
        <v>157.19842133066322</v>
      </c>
      <c r="F145" s="56">
        <f t="shared" si="89"/>
        <v>187.08104360084172</v>
      </c>
      <c r="G145" s="56">
        <f t="shared" si="89"/>
        <v>226.94161007291225</v>
      </c>
      <c r="H145" s="56">
        <f t="shared" si="89"/>
        <v>282.89614263878678</v>
      </c>
      <c r="I145" s="56">
        <f t="shared" si="89"/>
        <v>341.48022258948663</v>
      </c>
      <c r="J145" s="56">
        <f t="shared" si="89"/>
        <v>406.57654330344997</v>
      </c>
      <c r="K145" s="56">
        <f t="shared" si="89"/>
        <v>468.13905210785327</v>
      </c>
      <c r="L145" s="56">
        <f t="shared" si="89"/>
        <v>539.75761478527056</v>
      </c>
      <c r="M145" s="56">
        <f t="shared" si="89"/>
        <v>625.22338285277419</v>
      </c>
      <c r="N145" s="56">
        <f t="shared" si="89"/>
        <v>714.24947141359462</v>
      </c>
      <c r="O145" s="56">
        <f t="shared" si="89"/>
        <v>812.10752758790011</v>
      </c>
      <c r="P145" s="56">
        <f t="shared" si="89"/>
        <v>914.75812872300821</v>
      </c>
      <c r="R145" s="57">
        <f>(J145/D145)^(1/6)-1</f>
        <v>0.20922153161203005</v>
      </c>
      <c r="S145" s="57">
        <f>(P145/J145)^(1/6)-1</f>
        <v>0.14470608921214678</v>
      </c>
    </row>
    <row r="146" spans="1:19" x14ac:dyDescent="0.2">
      <c r="A146" s="58" t="s">
        <v>4</v>
      </c>
      <c r="B146" s="66"/>
      <c r="C146" s="59">
        <f t="shared" ref="C146:P146" si="90">C145/B145-1</f>
        <v>0.20705490785497016</v>
      </c>
      <c r="D146" s="59">
        <f t="shared" si="90"/>
        <v>0.21150544818021366</v>
      </c>
      <c r="E146" s="59">
        <f t="shared" si="90"/>
        <v>0.20876281476562419</v>
      </c>
      <c r="F146" s="59">
        <f t="shared" si="90"/>
        <v>0.19009492600005884</v>
      </c>
      <c r="G146" s="59">
        <f t="shared" si="90"/>
        <v>0.21306576927760523</v>
      </c>
      <c r="H146" s="59">
        <f t="shared" si="90"/>
        <v>0.2465591591947256</v>
      </c>
      <c r="I146" s="59">
        <f t="shared" si="90"/>
        <v>0.20708688144080623</v>
      </c>
      <c r="J146" s="59">
        <f t="shared" si="90"/>
        <v>0.19062984151858031</v>
      </c>
      <c r="K146" s="59">
        <f t="shared" si="90"/>
        <v>0.1514167745738737</v>
      </c>
      <c r="L146" s="59">
        <f t="shared" si="90"/>
        <v>0.15298566174931572</v>
      </c>
      <c r="M146" s="59">
        <f t="shared" si="90"/>
        <v>0.15834101405221324</v>
      </c>
      <c r="N146" s="59">
        <f t="shared" si="90"/>
        <v>0.14239084941866942</v>
      </c>
      <c r="O146" s="59">
        <f t="shared" si="90"/>
        <v>0.13700823044451327</v>
      </c>
      <c r="P146" s="59">
        <f t="shared" si="90"/>
        <v>0.12640025815300371</v>
      </c>
      <c r="R146" s="109"/>
      <c r="S146" s="109"/>
    </row>
    <row r="147" spans="1:19" x14ac:dyDescent="0.2">
      <c r="A147" s="68" t="s">
        <v>26</v>
      </c>
      <c r="B147" s="46">
        <f t="shared" ref="B147:P147" si="91">B149+B151</f>
        <v>25.400862591200003</v>
      </c>
      <c r="C147" s="46">
        <f t="shared" si="91"/>
        <v>32.013107159200025</v>
      </c>
      <c r="D147" s="46">
        <f t="shared" si="91"/>
        <v>40.024871055200002</v>
      </c>
      <c r="E147" s="46">
        <f t="shared" si="91"/>
        <v>50.504782040799967</v>
      </c>
      <c r="F147" s="46">
        <f t="shared" si="91"/>
        <v>62.97394596719991</v>
      </c>
      <c r="G147" s="46">
        <f t="shared" si="91"/>
        <v>80.055079970399817</v>
      </c>
      <c r="H147" s="46">
        <f t="shared" si="91"/>
        <v>103.8167755191996</v>
      </c>
      <c r="I147" s="46">
        <f t="shared" si="91"/>
        <v>128.27986009599962</v>
      </c>
      <c r="J147" s="46">
        <f t="shared" si="91"/>
        <v>155.31548388799962</v>
      </c>
      <c r="K147" s="46">
        <f t="shared" si="91"/>
        <v>180.97264165668926</v>
      </c>
      <c r="L147" s="46">
        <f t="shared" si="91"/>
        <v>211.11641504799013</v>
      </c>
      <c r="M147" s="46">
        <f t="shared" si="91"/>
        <v>247.25035907499648</v>
      </c>
      <c r="N147" s="46">
        <f t="shared" si="91"/>
        <v>285.20156493914021</v>
      </c>
      <c r="O147" s="46">
        <f t="shared" si="91"/>
        <v>327.2452998146623</v>
      </c>
      <c r="P147" s="46">
        <f t="shared" si="91"/>
        <v>371.31575708344667</v>
      </c>
      <c r="R147" s="57">
        <f>(J147/D147)^(1/6)-1</f>
        <v>0.25356676304042081</v>
      </c>
      <c r="S147" s="57">
        <f>(P147/J147)^(1/6)-1</f>
        <v>0.15634680348289032</v>
      </c>
    </row>
    <row r="148" spans="1:19" x14ac:dyDescent="0.2">
      <c r="A148" s="62" t="s">
        <v>4</v>
      </c>
      <c r="B148" s="75"/>
      <c r="C148" s="63">
        <f t="shared" ref="C148:P148" si="92">C147/B147-1</f>
        <v>0.26031574889471676</v>
      </c>
      <c r="D148" s="63">
        <f t="shared" si="92"/>
        <v>0.25026511347860625</v>
      </c>
      <c r="E148" s="63">
        <f t="shared" si="92"/>
        <v>0.26183497183905158</v>
      </c>
      <c r="F148" s="63">
        <f t="shared" si="92"/>
        <v>0.2468907581132973</v>
      </c>
      <c r="G148" s="63">
        <f t="shared" si="92"/>
        <v>0.27124128464328168</v>
      </c>
      <c r="H148" s="63">
        <f t="shared" si="92"/>
        <v>0.29681683607818021</v>
      </c>
      <c r="I148" s="63">
        <f t="shared" si="92"/>
        <v>0.23563710637762858</v>
      </c>
      <c r="J148" s="63">
        <f t="shared" si="92"/>
        <v>0.210755014635716</v>
      </c>
      <c r="K148" s="63">
        <f t="shared" si="92"/>
        <v>0.16519381794020882</v>
      </c>
      <c r="L148" s="63">
        <f t="shared" si="92"/>
        <v>0.16656536101453701</v>
      </c>
      <c r="M148" s="63">
        <f t="shared" si="92"/>
        <v>0.17115648737589884</v>
      </c>
      <c r="N148" s="63">
        <f t="shared" si="92"/>
        <v>0.15349302628366379</v>
      </c>
      <c r="O148" s="63">
        <f t="shared" si="92"/>
        <v>0.1474176163251204</v>
      </c>
      <c r="P148" s="63">
        <f t="shared" si="92"/>
        <v>0.13467101679915339</v>
      </c>
      <c r="R148" s="109"/>
      <c r="S148" s="109"/>
    </row>
    <row r="149" spans="1:19" x14ac:dyDescent="0.2">
      <c r="A149" s="82" t="s">
        <v>30</v>
      </c>
      <c r="B149" s="46">
        <f t="shared" ref="B149:P149" si="93">B79</f>
        <v>18.550080896350959</v>
      </c>
      <c r="C149" s="46">
        <f t="shared" si="93"/>
        <v>23.084289445353921</v>
      </c>
      <c r="D149" s="46">
        <f t="shared" si="93"/>
        <v>28.373490709447339</v>
      </c>
      <c r="E149" s="46">
        <f t="shared" si="93"/>
        <v>35.330442893463236</v>
      </c>
      <c r="F149" s="46">
        <f t="shared" si="93"/>
        <v>43.393535397887248</v>
      </c>
      <c r="G149" s="46">
        <f t="shared" si="93"/>
        <v>54.104283511396872</v>
      </c>
      <c r="H149" s="46">
        <f t="shared" si="93"/>
        <v>69.092954012888981</v>
      </c>
      <c r="I149" s="46">
        <f t="shared" si="93"/>
        <v>84.664448364782928</v>
      </c>
      <c r="J149" s="46">
        <f t="shared" si="93"/>
        <v>101.61743852499851</v>
      </c>
      <c r="K149" s="46">
        <f t="shared" si="93"/>
        <v>117.09617898032361</v>
      </c>
      <c r="L149" s="46">
        <f t="shared" si="93"/>
        <v>135.20049161540061</v>
      </c>
      <c r="M149" s="46">
        <f t="shared" si="93"/>
        <v>156.84883538507398</v>
      </c>
      <c r="N149" s="46">
        <f t="shared" si="93"/>
        <v>179.37288262781109</v>
      </c>
      <c r="O149" s="46">
        <f t="shared" si="93"/>
        <v>204.23080790686464</v>
      </c>
      <c r="P149" s="46">
        <f t="shared" si="93"/>
        <v>230.15784417127355</v>
      </c>
      <c r="R149" s="57">
        <f>(J149/D149)^(1/6)-1</f>
        <v>0.23692275494700388</v>
      </c>
      <c r="S149" s="57">
        <f>(P149/J149)^(1/6)-1</f>
        <v>0.14597793653224778</v>
      </c>
    </row>
    <row r="150" spans="1:19" x14ac:dyDescent="0.2">
      <c r="A150" s="83" t="s">
        <v>4</v>
      </c>
      <c r="B150" s="75"/>
      <c r="C150" s="63">
        <f t="shared" ref="C150:P150" si="94">C149/B149-1</f>
        <v>0.2444306617495613</v>
      </c>
      <c r="D150" s="63">
        <f t="shared" si="94"/>
        <v>0.22912558242757397</v>
      </c>
      <c r="E150" s="63">
        <f t="shared" si="94"/>
        <v>0.24519197356635036</v>
      </c>
      <c r="F150" s="63">
        <f t="shared" si="94"/>
        <v>0.2282194007229903</v>
      </c>
      <c r="G150" s="63">
        <f t="shared" si="94"/>
        <v>0.24682819722568894</v>
      </c>
      <c r="H150" s="63">
        <f t="shared" si="94"/>
        <v>0.27703297278365779</v>
      </c>
      <c r="I150" s="63">
        <f t="shared" si="94"/>
        <v>0.22537022152778641</v>
      </c>
      <c r="J150" s="63">
        <f t="shared" si="94"/>
        <v>0.20023741355016433</v>
      </c>
      <c r="K150" s="63">
        <f t="shared" si="94"/>
        <v>0.15232366294607247</v>
      </c>
      <c r="L150" s="63">
        <f t="shared" si="94"/>
        <v>0.15461061832016876</v>
      </c>
      <c r="M150" s="63">
        <f t="shared" si="94"/>
        <v>0.16012030363954266</v>
      </c>
      <c r="N150" s="63">
        <f t="shared" si="94"/>
        <v>0.143603535132659</v>
      </c>
      <c r="O150" s="63">
        <f t="shared" si="94"/>
        <v>0.13858240395585542</v>
      </c>
      <c r="P150" s="63">
        <f t="shared" si="94"/>
        <v>0.12694968271502116</v>
      </c>
      <c r="R150" s="109"/>
      <c r="S150" s="109"/>
    </row>
    <row r="151" spans="1:19" x14ac:dyDescent="0.2">
      <c r="A151" s="82" t="s">
        <v>31</v>
      </c>
      <c r="B151" s="46">
        <f t="shared" ref="B151:P151" si="95">B81</f>
        <v>6.8507816948490436</v>
      </c>
      <c r="C151" s="46">
        <f t="shared" si="95"/>
        <v>8.9288177138461045</v>
      </c>
      <c r="D151" s="46">
        <f t="shared" si="95"/>
        <v>11.651380345752663</v>
      </c>
      <c r="E151" s="46">
        <f t="shared" si="95"/>
        <v>15.174339147336731</v>
      </c>
      <c r="F151" s="46">
        <f t="shared" si="95"/>
        <v>19.580410569312662</v>
      </c>
      <c r="G151" s="46">
        <f t="shared" si="95"/>
        <v>25.950796459002945</v>
      </c>
      <c r="H151" s="46">
        <f t="shared" si="95"/>
        <v>34.723821506310614</v>
      </c>
      <c r="I151" s="46">
        <f t="shared" si="95"/>
        <v>43.615411731216696</v>
      </c>
      <c r="J151" s="46">
        <f t="shared" si="95"/>
        <v>53.698045363001114</v>
      </c>
      <c r="K151" s="46">
        <f t="shared" si="95"/>
        <v>63.876462676365648</v>
      </c>
      <c r="L151" s="46">
        <f t="shared" si="95"/>
        <v>75.915923432589523</v>
      </c>
      <c r="M151" s="46">
        <f t="shared" si="95"/>
        <v>90.401523689922499</v>
      </c>
      <c r="N151" s="46">
        <f t="shared" si="95"/>
        <v>105.82868231132912</v>
      </c>
      <c r="O151" s="46">
        <f t="shared" si="95"/>
        <v>123.01449190779766</v>
      </c>
      <c r="P151" s="46">
        <f t="shared" si="95"/>
        <v>141.15791291217312</v>
      </c>
      <c r="R151" s="57">
        <f>(J151/D151)^(1/6)-1</f>
        <v>0.29002120644231777</v>
      </c>
      <c r="S151" s="57">
        <f>(P151/J151)^(1/6)-1</f>
        <v>0.17478337468617733</v>
      </c>
    </row>
    <row r="152" spans="1:19" x14ac:dyDescent="0.2">
      <c r="A152" s="83" t="s">
        <v>4</v>
      </c>
      <c r="B152" s="75"/>
      <c r="C152" s="63">
        <f t="shared" ref="C152:P152" si="96">C151/B151-1</f>
        <v>0.3033283078571154</v>
      </c>
      <c r="D152" s="63">
        <f t="shared" si="96"/>
        <v>0.30491860391377723</v>
      </c>
      <c r="E152" s="63">
        <f t="shared" si="96"/>
        <v>0.30236407164137513</v>
      </c>
      <c r="F152" s="63">
        <f t="shared" si="96"/>
        <v>0.29036331527816461</v>
      </c>
      <c r="G152" s="63">
        <f t="shared" si="96"/>
        <v>0.32534485766474441</v>
      </c>
      <c r="H152" s="63">
        <f t="shared" si="96"/>
        <v>0.33806380706531658</v>
      </c>
      <c r="I152" s="63">
        <f t="shared" si="96"/>
        <v>0.25606600423545389</v>
      </c>
      <c r="J152" s="63">
        <f t="shared" si="96"/>
        <v>0.23117135048315984</v>
      </c>
      <c r="K152" s="63">
        <f t="shared" si="96"/>
        <v>0.18954912128659407</v>
      </c>
      <c r="L152" s="63">
        <f t="shared" si="96"/>
        <v>0.18848039249171644</v>
      </c>
      <c r="M152" s="63">
        <f t="shared" si="96"/>
        <v>0.19081109209184088</v>
      </c>
      <c r="N152" s="63">
        <f t="shared" si="96"/>
        <v>0.170651533201164</v>
      </c>
      <c r="O152" s="63">
        <f t="shared" si="96"/>
        <v>0.16239273910555707</v>
      </c>
      <c r="P152" s="63">
        <f t="shared" si="96"/>
        <v>0.14749011049831751</v>
      </c>
      <c r="R152" s="109"/>
      <c r="S152" s="109"/>
    </row>
    <row r="153" spans="1:19" x14ac:dyDescent="0.2">
      <c r="A153" s="68" t="s">
        <v>55</v>
      </c>
      <c r="B153" s="46">
        <f t="shared" ref="B153:P153" si="97">B155+B157</f>
        <v>4.8066949451959999</v>
      </c>
      <c r="C153" s="46">
        <f t="shared" si="97"/>
        <v>6.3425256478878742</v>
      </c>
      <c r="D153" s="46">
        <f t="shared" si="97"/>
        <v>8.5406703059343005</v>
      </c>
      <c r="E153" s="46">
        <f t="shared" si="97"/>
        <v>11.30303336169462</v>
      </c>
      <c r="F153" s="46">
        <f t="shared" si="97"/>
        <v>14.614741802068346</v>
      </c>
      <c r="G153" s="46">
        <f t="shared" si="97"/>
        <v>19.762803164071737</v>
      </c>
      <c r="H153" s="46">
        <f t="shared" si="97"/>
        <v>27.097316069543954</v>
      </c>
      <c r="I153" s="46">
        <f t="shared" si="97"/>
        <v>33.940791757634017</v>
      </c>
      <c r="J153" s="46">
        <f t="shared" si="97"/>
        <v>41.843449766480489</v>
      </c>
      <c r="K153" s="46">
        <f t="shared" si="97"/>
        <v>49.074653367427352</v>
      </c>
      <c r="L153" s="46">
        <f t="shared" si="97"/>
        <v>56.996163325402662</v>
      </c>
      <c r="M153" s="46">
        <f t="shared" si="97"/>
        <v>65.743337250743295</v>
      </c>
      <c r="N153" s="46">
        <f t="shared" si="97"/>
        <v>73.677318041802963</v>
      </c>
      <c r="O153" s="46">
        <f t="shared" si="97"/>
        <v>81.180134057070191</v>
      </c>
      <c r="P153" s="46">
        <f t="shared" si="97"/>
        <v>87.498893251213616</v>
      </c>
      <c r="R153" s="57">
        <f>(J153/D153)^(1/6)-1</f>
        <v>0.30323455763950014</v>
      </c>
      <c r="S153" s="57">
        <f>(P153/J153)^(1/6)-1</f>
        <v>0.1308261587119941</v>
      </c>
    </row>
    <row r="154" spans="1:19" x14ac:dyDescent="0.2">
      <c r="A154" s="62" t="s">
        <v>4</v>
      </c>
      <c r="B154" s="75"/>
      <c r="C154" s="63">
        <f t="shared" ref="C154:P154" si="98">C153/B153-1</f>
        <v>0.3195190708382365</v>
      </c>
      <c r="D154" s="63">
        <f t="shared" si="98"/>
        <v>0.34657245079938015</v>
      </c>
      <c r="E154" s="63">
        <f t="shared" si="98"/>
        <v>0.3234363295631435</v>
      </c>
      <c r="F154" s="63">
        <f t="shared" si="98"/>
        <v>0.29299289265100548</v>
      </c>
      <c r="G154" s="63">
        <f t="shared" si="98"/>
        <v>0.35225127010282264</v>
      </c>
      <c r="H154" s="63">
        <f t="shared" si="98"/>
        <v>0.37112715461368206</v>
      </c>
      <c r="I154" s="63">
        <f t="shared" si="98"/>
        <v>0.25255179038863518</v>
      </c>
      <c r="J154" s="63">
        <f t="shared" si="98"/>
        <v>0.2328365839335198</v>
      </c>
      <c r="K154" s="63">
        <f t="shared" si="98"/>
        <v>0.17281566508743174</v>
      </c>
      <c r="L154" s="63">
        <f t="shared" si="98"/>
        <v>0.16141754275198017</v>
      </c>
      <c r="M154" s="63">
        <f t="shared" si="98"/>
        <v>0.15346952171852757</v>
      </c>
      <c r="N154" s="63">
        <f t="shared" si="98"/>
        <v>0.12068113854335816</v>
      </c>
      <c r="O154" s="63">
        <f t="shared" si="98"/>
        <v>0.10183345722506187</v>
      </c>
      <c r="P154" s="63">
        <f t="shared" si="98"/>
        <v>7.7836274447407261E-2</v>
      </c>
      <c r="R154" s="109"/>
      <c r="S154" s="109"/>
    </row>
    <row r="155" spans="1:19" x14ac:dyDescent="0.2">
      <c r="A155" s="82" t="s">
        <v>28</v>
      </c>
      <c r="B155" s="46">
        <f t="shared" ref="B155:P155" si="99">B95</f>
        <v>0.66854306224000004</v>
      </c>
      <c r="C155" s="46">
        <f t="shared" si="99"/>
        <v>0.89839937770751921</v>
      </c>
      <c r="D155" s="46">
        <f t="shared" si="99"/>
        <v>1.2334191970154469</v>
      </c>
      <c r="E155" s="46">
        <f t="shared" si="99"/>
        <v>1.6624941530262189</v>
      </c>
      <c r="F155" s="46">
        <f t="shared" si="99"/>
        <v>2.1683557767659725</v>
      </c>
      <c r="G155" s="46">
        <f t="shared" si="99"/>
        <v>2.9413455897447811</v>
      </c>
      <c r="H155" s="46">
        <f t="shared" si="99"/>
        <v>3.972465922841772</v>
      </c>
      <c r="I155" s="46">
        <f t="shared" si="99"/>
        <v>5.0116531359266929</v>
      </c>
      <c r="J155" s="46">
        <f t="shared" si="99"/>
        <v>6.2002679731331076</v>
      </c>
      <c r="K155" s="46">
        <f t="shared" si="99"/>
        <v>7.2956939162354146</v>
      </c>
      <c r="L155" s="46">
        <f t="shared" si="99"/>
        <v>8.5166908003895223</v>
      </c>
      <c r="M155" s="46">
        <f t="shared" si="99"/>
        <v>9.8584335221674237</v>
      </c>
      <c r="N155" s="46">
        <f t="shared" si="99"/>
        <v>10.964621478825959</v>
      </c>
      <c r="O155" s="46">
        <f t="shared" si="99"/>
        <v>11.990695586569212</v>
      </c>
      <c r="P155" s="46">
        <f t="shared" si="99"/>
        <v>12.842193013225298</v>
      </c>
      <c r="R155" s="57">
        <f>(J155/D155)^(1/6)-1</f>
        <v>0.3088301558915667</v>
      </c>
      <c r="S155" s="57">
        <f>(P155/J155)^(1/6)-1</f>
        <v>0.12902819816303346</v>
      </c>
    </row>
    <row r="156" spans="1:19" x14ac:dyDescent="0.2">
      <c r="A156" s="83" t="s">
        <v>4</v>
      </c>
      <c r="B156" s="75"/>
      <c r="C156" s="63">
        <f t="shared" ref="C156:P156" si="100">C155/B155-1</f>
        <v>0.34381676880673862</v>
      </c>
      <c r="D156" s="63">
        <f t="shared" si="100"/>
        <v>0.37290744809152798</v>
      </c>
      <c r="E156" s="63">
        <f t="shared" si="100"/>
        <v>0.34787439424408317</v>
      </c>
      <c r="F156" s="63">
        <f t="shared" si="100"/>
        <v>0.3042787385561263</v>
      </c>
      <c r="G156" s="63">
        <f t="shared" si="100"/>
        <v>0.35648661592411557</v>
      </c>
      <c r="H156" s="63">
        <f t="shared" si="100"/>
        <v>0.3505607558296</v>
      </c>
      <c r="I156" s="63">
        <f t="shared" si="100"/>
        <v>0.26159751481052873</v>
      </c>
      <c r="J156" s="63">
        <f t="shared" si="100"/>
        <v>0.23717021209741618</v>
      </c>
      <c r="K156" s="63">
        <f t="shared" si="100"/>
        <v>0.17667396761704302</v>
      </c>
      <c r="L156" s="63">
        <f t="shared" si="100"/>
        <v>0.16735856769387936</v>
      </c>
      <c r="M156" s="63">
        <f t="shared" si="100"/>
        <v>0.15754273029573107</v>
      </c>
      <c r="N156" s="63">
        <f t="shared" si="100"/>
        <v>0.11220727453009549</v>
      </c>
      <c r="O156" s="63">
        <f t="shared" si="100"/>
        <v>9.3580440485312444E-2</v>
      </c>
      <c r="P156" s="63">
        <f t="shared" si="100"/>
        <v>7.1013180220324212E-2</v>
      </c>
      <c r="R156" s="109"/>
      <c r="S156" s="109"/>
    </row>
    <row r="157" spans="1:19" x14ac:dyDescent="0.2">
      <c r="A157" s="82" t="s">
        <v>27</v>
      </c>
      <c r="B157" s="46">
        <f t="shared" ref="B157:P157" si="101">B87</f>
        <v>4.1381518829559996</v>
      </c>
      <c r="C157" s="46">
        <f t="shared" si="101"/>
        <v>5.4441262701803552</v>
      </c>
      <c r="D157" s="46">
        <f t="shared" si="101"/>
        <v>7.3072511089188534</v>
      </c>
      <c r="E157" s="46">
        <f t="shared" si="101"/>
        <v>9.6405392086684021</v>
      </c>
      <c r="F157" s="46">
        <f t="shared" si="101"/>
        <v>12.446386025302374</v>
      </c>
      <c r="G157" s="46">
        <f t="shared" si="101"/>
        <v>16.821457574326956</v>
      </c>
      <c r="H157" s="46">
        <f t="shared" si="101"/>
        <v>23.124850146702183</v>
      </c>
      <c r="I157" s="46">
        <f t="shared" si="101"/>
        <v>28.929138621707324</v>
      </c>
      <c r="J157" s="46">
        <f t="shared" si="101"/>
        <v>35.643181793347381</v>
      </c>
      <c r="K157" s="46">
        <f t="shared" si="101"/>
        <v>41.778959451191938</v>
      </c>
      <c r="L157" s="46">
        <f t="shared" si="101"/>
        <v>48.479472525013144</v>
      </c>
      <c r="M157" s="46">
        <f t="shared" si="101"/>
        <v>55.884903728575871</v>
      </c>
      <c r="N157" s="46">
        <f t="shared" si="101"/>
        <v>62.712696562977008</v>
      </c>
      <c r="O157" s="46">
        <f t="shared" si="101"/>
        <v>69.189438470500974</v>
      </c>
      <c r="P157" s="46">
        <f t="shared" si="101"/>
        <v>74.656700237988318</v>
      </c>
      <c r="R157" s="57">
        <f>(J157/D157)^(1/6)-1</f>
        <v>0.3022781052281569</v>
      </c>
      <c r="S157" s="57">
        <f>(P157/J157)^(1/6)-1</f>
        <v>0.13113746594507236</v>
      </c>
    </row>
    <row r="158" spans="1:19" x14ac:dyDescent="0.2">
      <c r="A158" s="83" t="s">
        <v>4</v>
      </c>
      <c r="B158" s="75"/>
      <c r="C158" s="63">
        <f t="shared" ref="C158:P158" si="102">C157/B157-1</f>
        <v>0.31559363313930877</v>
      </c>
      <c r="D158" s="63">
        <f t="shared" si="102"/>
        <v>0.34222660281477557</v>
      </c>
      <c r="E158" s="63">
        <f t="shared" si="102"/>
        <v>0.31931133403937051</v>
      </c>
      <c r="F158" s="63">
        <f t="shared" si="102"/>
        <v>0.29104666823107395</v>
      </c>
      <c r="G158" s="63">
        <f t="shared" si="102"/>
        <v>0.35151340639206108</v>
      </c>
      <c r="H158" s="63">
        <f t="shared" si="102"/>
        <v>0.37472332849416778</v>
      </c>
      <c r="I158" s="63">
        <f t="shared" si="102"/>
        <v>0.25099788488068908</v>
      </c>
      <c r="J158" s="63">
        <f t="shared" si="102"/>
        <v>0.23208583081011946</v>
      </c>
      <c r="K158" s="63">
        <f t="shared" si="102"/>
        <v>0.17214449858653658</v>
      </c>
      <c r="L158" s="63">
        <f t="shared" si="102"/>
        <v>0.16038008513948387</v>
      </c>
      <c r="M158" s="63">
        <f t="shared" si="102"/>
        <v>0.15275395580556017</v>
      </c>
      <c r="N158" s="63">
        <f t="shared" si="102"/>
        <v>0.12217597917968415</v>
      </c>
      <c r="O158" s="63">
        <f t="shared" si="102"/>
        <v>0.10327640593511922</v>
      </c>
      <c r="P158" s="63">
        <f t="shared" si="102"/>
        <v>7.9018733037099498E-2</v>
      </c>
      <c r="R158" s="109"/>
      <c r="S158" s="109"/>
    </row>
    <row r="159" spans="1:19" x14ac:dyDescent="0.2">
      <c r="A159" s="68" t="s">
        <v>56</v>
      </c>
      <c r="B159" s="46">
        <f t="shared" ref="B159:P159" si="103">B161+B163</f>
        <v>8.6879538045639997</v>
      </c>
      <c r="C159" s="46">
        <f t="shared" si="103"/>
        <v>10.91868677115211</v>
      </c>
      <c r="D159" s="46">
        <f t="shared" si="103"/>
        <v>13.989628869505696</v>
      </c>
      <c r="E159" s="46">
        <f t="shared" si="103"/>
        <v>17.598870611985358</v>
      </c>
      <c r="F159" s="46">
        <f t="shared" si="103"/>
        <v>21.659624914331605</v>
      </c>
      <c r="G159" s="46">
        <f t="shared" si="103"/>
        <v>27.917569832328137</v>
      </c>
      <c r="H159" s="46">
        <f t="shared" si="103"/>
        <v>37.182140875175818</v>
      </c>
      <c r="I159" s="46">
        <f t="shared" si="103"/>
        <v>46.615023305405735</v>
      </c>
      <c r="J159" s="46">
        <f t="shared" si="103"/>
        <v>58.028339558639281</v>
      </c>
      <c r="K159" s="46">
        <f t="shared" si="103"/>
        <v>69.394393876019876</v>
      </c>
      <c r="L159" s="46">
        <f t="shared" si="103"/>
        <v>83.588630733539048</v>
      </c>
      <c r="M159" s="46">
        <f t="shared" si="103"/>
        <v>101.66265610025651</v>
      </c>
      <c r="N159" s="46">
        <f t="shared" si="103"/>
        <v>122.34008976442892</v>
      </c>
      <c r="O159" s="46">
        <f t="shared" si="103"/>
        <v>146.86280388039805</v>
      </c>
      <c r="P159" s="46">
        <f t="shared" si="103"/>
        <v>174.79443288300419</v>
      </c>
      <c r="R159" s="57">
        <f>(J159/D159)^(1/6)-1</f>
        <v>0.26757108874631852</v>
      </c>
      <c r="S159" s="57">
        <f>(P159/J159)^(1/6)-1</f>
        <v>0.20175123042706034</v>
      </c>
    </row>
    <row r="160" spans="1:19" x14ac:dyDescent="0.2">
      <c r="A160" s="62" t="s">
        <v>4</v>
      </c>
      <c r="B160" s="75"/>
      <c r="C160" s="63">
        <f t="shared" ref="C160:P160" si="104">C159/B159-1</f>
        <v>0.25676160541003923</v>
      </c>
      <c r="D160" s="63">
        <f t="shared" si="104"/>
        <v>0.28125562741365706</v>
      </c>
      <c r="E160" s="63">
        <f t="shared" si="104"/>
        <v>0.25799410235585407</v>
      </c>
      <c r="F160" s="63">
        <f t="shared" si="104"/>
        <v>0.23073948277003353</v>
      </c>
      <c r="G160" s="63">
        <f t="shared" si="104"/>
        <v>0.2889221278183729</v>
      </c>
      <c r="H160" s="63">
        <f t="shared" si="104"/>
        <v>0.33185449516166132</v>
      </c>
      <c r="I160" s="63">
        <f t="shared" si="104"/>
        <v>0.25369390272327386</v>
      </c>
      <c r="J160" s="63">
        <f t="shared" si="104"/>
        <v>0.244842015383268</v>
      </c>
      <c r="K160" s="63">
        <f t="shared" si="104"/>
        <v>0.19587074873812083</v>
      </c>
      <c r="L160" s="63">
        <f t="shared" si="104"/>
        <v>0.20454443168534064</v>
      </c>
      <c r="M160" s="63">
        <f t="shared" si="104"/>
        <v>0.21622588153565059</v>
      </c>
      <c r="N160" s="63">
        <f t="shared" si="104"/>
        <v>0.2033926168895388</v>
      </c>
      <c r="O160" s="63">
        <f t="shared" si="104"/>
        <v>0.20044708290788948</v>
      </c>
      <c r="P160" s="63">
        <f t="shared" si="104"/>
        <v>0.19018858597683508</v>
      </c>
      <c r="R160" s="109"/>
      <c r="S160" s="109"/>
    </row>
    <row r="161" spans="1:19" x14ac:dyDescent="0.2">
      <c r="A161" s="82" t="s">
        <v>28</v>
      </c>
      <c r="B161" s="46">
        <f t="shared" ref="B161:P161" si="105">B97</f>
        <v>1.0028145933599999</v>
      </c>
      <c r="C161" s="46">
        <f t="shared" si="105"/>
        <v>1.2612145110124786</v>
      </c>
      <c r="D161" s="46">
        <f t="shared" si="105"/>
        <v>1.6174942576245463</v>
      </c>
      <c r="E161" s="46">
        <f t="shared" si="105"/>
        <v>2.0323839678537685</v>
      </c>
      <c r="F161" s="46">
        <f t="shared" si="105"/>
        <v>2.5104315772340082</v>
      </c>
      <c r="G161" s="46">
        <f t="shared" si="105"/>
        <v>3.2809214930551995</v>
      </c>
      <c r="H161" s="46">
        <f t="shared" si="105"/>
        <v>4.4310838114782101</v>
      </c>
      <c r="I161" s="46">
        <f t="shared" si="105"/>
        <v>5.643520191113276</v>
      </c>
      <c r="J161" s="46">
        <f t="shared" si="105"/>
        <v>7.1151492439868624</v>
      </c>
      <c r="K161" s="46">
        <f t="shared" si="105"/>
        <v>8.6919640504429925</v>
      </c>
      <c r="L161" s="46">
        <f t="shared" si="105"/>
        <v>10.72385508080774</v>
      </c>
      <c r="M161" s="46">
        <f t="shared" si="105"/>
        <v>13.341310240021501</v>
      </c>
      <c r="N161" s="46">
        <f t="shared" si="105"/>
        <v>16.485297435579067</v>
      </c>
      <c r="O161" s="46">
        <f t="shared" si="105"/>
        <v>20.287470453969672</v>
      </c>
      <c r="P161" s="46">
        <f t="shared" si="105"/>
        <v>24.734264881076029</v>
      </c>
      <c r="R161" s="57">
        <f>(J161/D161)^(1/6)-1</f>
        <v>0.28004000968455656</v>
      </c>
      <c r="S161" s="57">
        <f>(P161/J161)^(1/6)-1</f>
        <v>0.23079530868562759</v>
      </c>
    </row>
    <row r="162" spans="1:19" x14ac:dyDescent="0.2">
      <c r="A162" s="83" t="s">
        <v>4</v>
      </c>
      <c r="B162" s="75"/>
      <c r="C162" s="63">
        <f t="shared" ref="C162:P162" si="106">C161/B161-1</f>
        <v>0.25767466824220397</v>
      </c>
      <c r="D162" s="63">
        <f t="shared" si="106"/>
        <v>0.2824894127851838</v>
      </c>
      <c r="E162" s="63">
        <f t="shared" si="106"/>
        <v>0.25650150427027141</v>
      </c>
      <c r="F162" s="63">
        <f t="shared" si="106"/>
        <v>0.23521520388938422</v>
      </c>
      <c r="G162" s="63">
        <f t="shared" si="106"/>
        <v>0.30691532197428639</v>
      </c>
      <c r="H162" s="63">
        <f t="shared" si="106"/>
        <v>0.3505607558296</v>
      </c>
      <c r="I162" s="63">
        <f t="shared" si="106"/>
        <v>0.27362072829549966</v>
      </c>
      <c r="J162" s="63">
        <f t="shared" si="106"/>
        <v>0.2607643816338121</v>
      </c>
      <c r="K162" s="63">
        <f t="shared" si="106"/>
        <v>0.22161373604197054</v>
      </c>
      <c r="L162" s="63">
        <f t="shared" si="106"/>
        <v>0.23376661690877443</v>
      </c>
      <c r="M162" s="63">
        <f t="shared" si="106"/>
        <v>0.24407781898304148</v>
      </c>
      <c r="N162" s="63">
        <f t="shared" si="106"/>
        <v>0.23565805299438858</v>
      </c>
      <c r="O162" s="63">
        <f t="shared" si="106"/>
        <v>0.23064024372315184</v>
      </c>
      <c r="P162" s="63">
        <f t="shared" si="106"/>
        <v>0.21918920040799117</v>
      </c>
      <c r="R162" s="109"/>
      <c r="S162" s="109"/>
    </row>
    <row r="163" spans="1:19" x14ac:dyDescent="0.2">
      <c r="A163" s="82" t="s">
        <v>27</v>
      </c>
      <c r="B163" s="46">
        <f t="shared" ref="B163:P163" si="107">B89</f>
        <v>7.6851392112040005</v>
      </c>
      <c r="C163" s="46">
        <f t="shared" si="107"/>
        <v>9.657472260139631</v>
      </c>
      <c r="D163" s="46">
        <f t="shared" si="107"/>
        <v>12.372134611881149</v>
      </c>
      <c r="E163" s="46">
        <f t="shared" si="107"/>
        <v>15.566486644131588</v>
      </c>
      <c r="F163" s="46">
        <f t="shared" si="107"/>
        <v>19.149193337097596</v>
      </c>
      <c r="G163" s="46">
        <f t="shared" si="107"/>
        <v>24.636648339272938</v>
      </c>
      <c r="H163" s="46">
        <f t="shared" si="107"/>
        <v>32.751057063697608</v>
      </c>
      <c r="I163" s="46">
        <f t="shared" si="107"/>
        <v>40.97150311429246</v>
      </c>
      <c r="J163" s="46">
        <f t="shared" si="107"/>
        <v>50.913190314652418</v>
      </c>
      <c r="K163" s="46">
        <f t="shared" si="107"/>
        <v>60.702429825576878</v>
      </c>
      <c r="L163" s="46">
        <f t="shared" si="107"/>
        <v>72.864775652731311</v>
      </c>
      <c r="M163" s="46">
        <f t="shared" si="107"/>
        <v>88.321345860235013</v>
      </c>
      <c r="N163" s="46">
        <f t="shared" si="107"/>
        <v>105.85479232884985</v>
      </c>
      <c r="O163" s="46">
        <f t="shared" si="107"/>
        <v>126.57533342642837</v>
      </c>
      <c r="P163" s="46">
        <f t="shared" si="107"/>
        <v>150.06016800192816</v>
      </c>
      <c r="R163" s="57">
        <f>(J163/D163)^(1/6)-1</f>
        <v>0.26589479012201167</v>
      </c>
      <c r="S163" s="57">
        <f>(P163/J163)^(1/6)-1</f>
        <v>0.19739981338533297</v>
      </c>
    </row>
    <row r="164" spans="1:19" x14ac:dyDescent="0.2">
      <c r="A164" s="83" t="s">
        <v>4</v>
      </c>
      <c r="B164" s="75"/>
      <c r="C164" s="63">
        <f t="shared" ref="C164:P164" si="108">C163/B163-1</f>
        <v>0.25664246212485109</v>
      </c>
      <c r="D164" s="63">
        <f t="shared" si="108"/>
        <v>0.28109450160639327</v>
      </c>
      <c r="E164" s="63">
        <f t="shared" si="108"/>
        <v>0.25818923997018706</v>
      </c>
      <c r="F164" s="63">
        <f t="shared" si="108"/>
        <v>0.23015512587207043</v>
      </c>
      <c r="G164" s="63">
        <f t="shared" si="108"/>
        <v>0.28656324606345351</v>
      </c>
      <c r="H164" s="63">
        <f t="shared" si="108"/>
        <v>0.32936333760504288</v>
      </c>
      <c r="I164" s="63">
        <f t="shared" si="108"/>
        <v>0.25099788488068908</v>
      </c>
      <c r="J164" s="63">
        <f t="shared" si="108"/>
        <v>0.24264882771391205</v>
      </c>
      <c r="K164" s="63">
        <f t="shared" si="108"/>
        <v>0.19227315063984896</v>
      </c>
      <c r="L164" s="63">
        <f t="shared" si="108"/>
        <v>0.200360115107449</v>
      </c>
      <c r="M164" s="63">
        <f t="shared" si="108"/>
        <v>0.21212677962763093</v>
      </c>
      <c r="N164" s="63">
        <f t="shared" si="108"/>
        <v>0.19851878725173422</v>
      </c>
      <c r="O164" s="63">
        <f t="shared" si="108"/>
        <v>0.19574495062262098</v>
      </c>
      <c r="P164" s="63">
        <f t="shared" si="108"/>
        <v>0.1855403729917906</v>
      </c>
      <c r="R164" s="109"/>
      <c r="S164" s="109"/>
    </row>
    <row r="165" spans="1:19" x14ac:dyDescent="0.2">
      <c r="A165" s="68" t="s">
        <v>57</v>
      </c>
      <c r="B165" s="46">
        <f t="shared" ref="B165:P165" si="109">B167+B169</f>
        <v>13.343703480799997</v>
      </c>
      <c r="C165" s="46">
        <f t="shared" si="109"/>
        <v>17.206345048199992</v>
      </c>
      <c r="D165" s="46">
        <f t="shared" si="109"/>
        <v>22.067620347499957</v>
      </c>
      <c r="E165" s="46">
        <f t="shared" si="109"/>
        <v>28.135519313999961</v>
      </c>
      <c r="F165" s="46">
        <f t="shared" si="109"/>
        <v>35.324298496899978</v>
      </c>
      <c r="G165" s="46">
        <f t="shared" si="109"/>
        <v>45.841434174199961</v>
      </c>
      <c r="H165" s="46">
        <f t="shared" si="109"/>
        <v>60.519828711299873</v>
      </c>
      <c r="I165" s="46">
        <f t="shared" si="109"/>
        <v>75.385613824499799</v>
      </c>
      <c r="J165" s="46">
        <f t="shared" si="109"/>
        <v>92.299069464699684</v>
      </c>
      <c r="K165" s="46">
        <f t="shared" si="109"/>
        <v>107.40200270535563</v>
      </c>
      <c r="L165" s="46">
        <f t="shared" si="109"/>
        <v>124.17716849401468</v>
      </c>
      <c r="M165" s="46">
        <f t="shared" si="109"/>
        <v>143.79908143077176</v>
      </c>
      <c r="N165" s="46">
        <f t="shared" si="109"/>
        <v>163.54710246206852</v>
      </c>
      <c r="O165" s="46">
        <f t="shared" si="109"/>
        <v>184.82628506545433</v>
      </c>
      <c r="P165" s="46">
        <f t="shared" si="109"/>
        <v>206.77863424906911</v>
      </c>
      <c r="R165" s="57">
        <f>(J165/D165)^(1/6)-1</f>
        <v>0.26932734606017017</v>
      </c>
      <c r="S165" s="57">
        <f>(P165/J165)^(1/6)-1</f>
        <v>0.14389121148262318</v>
      </c>
    </row>
    <row r="166" spans="1:19" x14ac:dyDescent="0.2">
      <c r="A166" s="62" t="s">
        <v>4</v>
      </c>
      <c r="B166" s="75"/>
      <c r="C166" s="63">
        <f t="shared" ref="C166:P166" si="110">C165/B165-1</f>
        <v>0.28947297674576467</v>
      </c>
      <c r="D166" s="63">
        <f t="shared" si="110"/>
        <v>0.28252806076375392</v>
      </c>
      <c r="E166" s="63">
        <f t="shared" si="110"/>
        <v>0.27496843207144606</v>
      </c>
      <c r="F166" s="63">
        <f t="shared" si="110"/>
        <v>0.25550547344341901</v>
      </c>
      <c r="G166" s="63">
        <f t="shared" si="110"/>
        <v>0.29773091398327289</v>
      </c>
      <c r="H166" s="63">
        <f t="shared" si="110"/>
        <v>0.32019928698829991</v>
      </c>
      <c r="I166" s="63">
        <f t="shared" si="110"/>
        <v>0.24563495022622694</v>
      </c>
      <c r="J166" s="63">
        <f t="shared" si="110"/>
        <v>0.22435919510551394</v>
      </c>
      <c r="K166" s="63">
        <f t="shared" si="110"/>
        <v>0.16363039549853919</v>
      </c>
      <c r="L166" s="63">
        <f t="shared" si="110"/>
        <v>0.15619043747889583</v>
      </c>
      <c r="M166" s="63">
        <f t="shared" si="110"/>
        <v>0.15801546431381919</v>
      </c>
      <c r="N166" s="63">
        <f t="shared" si="110"/>
        <v>0.1373306479763845</v>
      </c>
      <c r="O166" s="63">
        <f t="shared" si="110"/>
        <v>0.13011042252076033</v>
      </c>
      <c r="P166" s="63">
        <f t="shared" si="110"/>
        <v>0.11877287462570907</v>
      </c>
      <c r="R166" s="109"/>
      <c r="S166" s="109"/>
    </row>
    <row r="167" spans="1:19" x14ac:dyDescent="0.2">
      <c r="A167" s="82" t="s">
        <v>58</v>
      </c>
      <c r="B167" s="46">
        <f t="shared" ref="B167:P167" si="111">B125</f>
        <v>5.7176860515583581</v>
      </c>
      <c r="C167" s="46">
        <f t="shared" si="111"/>
        <v>7.6534563375788345</v>
      </c>
      <c r="D167" s="46">
        <f t="shared" si="111"/>
        <v>10.189421863920872</v>
      </c>
      <c r="E167" s="46">
        <f t="shared" si="111"/>
        <v>13.485716751412811</v>
      </c>
      <c r="F167" s="46">
        <f t="shared" si="111"/>
        <v>17.575905244977285</v>
      </c>
      <c r="G167" s="46">
        <f t="shared" si="111"/>
        <v>23.677040192074188</v>
      </c>
      <c r="H167" s="46">
        <f t="shared" si="111"/>
        <v>32.448301129725586</v>
      </c>
      <c r="I167" s="46">
        <f t="shared" si="111"/>
        <v>41.957326505764762</v>
      </c>
      <c r="J167" s="46">
        <f t="shared" si="111"/>
        <v>53.326332113697546</v>
      </c>
      <c r="K167" s="46">
        <f t="shared" si="111"/>
        <v>64.414231332542855</v>
      </c>
      <c r="L167" s="46">
        <f t="shared" si="111"/>
        <v>77.310104489998253</v>
      </c>
      <c r="M167" s="46">
        <f t="shared" si="111"/>
        <v>92.934224184610599</v>
      </c>
      <c r="N167" s="46">
        <f t="shared" si="111"/>
        <v>109.7204243621531</v>
      </c>
      <c r="O167" s="46">
        <f t="shared" si="111"/>
        <v>128.71626149144063</v>
      </c>
      <c r="P167" s="46">
        <f t="shared" si="111"/>
        <v>149.48595969269911</v>
      </c>
      <c r="R167" s="57">
        <f>(J167/D167)^(1/6)-1</f>
        <v>0.31764583917871714</v>
      </c>
      <c r="S167" s="57">
        <f>(P167/J167)^(1/6)-1</f>
        <v>0.18743482519420351</v>
      </c>
    </row>
    <row r="168" spans="1:19" x14ac:dyDescent="0.2">
      <c r="A168" s="83" t="s">
        <v>4</v>
      </c>
      <c r="B168" s="75"/>
      <c r="C168" s="63">
        <f t="shared" ref="C168:P168" si="112">C167/B167-1</f>
        <v>0.33855833785992528</v>
      </c>
      <c r="D168" s="63">
        <f t="shared" si="112"/>
        <v>0.33134905518312374</v>
      </c>
      <c r="E168" s="63">
        <f t="shared" si="112"/>
        <v>0.32350166000718805</v>
      </c>
      <c r="F168" s="63">
        <f t="shared" si="112"/>
        <v>0.30329782012780093</v>
      </c>
      <c r="G168" s="63">
        <f t="shared" si="112"/>
        <v>0.34713062354728152</v>
      </c>
      <c r="H168" s="63">
        <f t="shared" si="112"/>
        <v>0.3704542825664312</v>
      </c>
      <c r="I168" s="63">
        <f t="shared" si="112"/>
        <v>0.2930515634092179</v>
      </c>
      <c r="J168" s="63">
        <f t="shared" si="112"/>
        <v>0.27096592072830794</v>
      </c>
      <c r="K168" s="63">
        <f t="shared" si="112"/>
        <v>0.20792540531767112</v>
      </c>
      <c r="L168" s="63">
        <f t="shared" si="112"/>
        <v>0.20020223622446998</v>
      </c>
      <c r="M168" s="63">
        <f t="shared" si="112"/>
        <v>0.20209673493111979</v>
      </c>
      <c r="N168" s="63">
        <f t="shared" si="112"/>
        <v>0.18062452583880506</v>
      </c>
      <c r="O168" s="63">
        <f t="shared" si="112"/>
        <v>0.17312945369759203</v>
      </c>
      <c r="P168" s="63">
        <f t="shared" si="112"/>
        <v>0.16136032821804425</v>
      </c>
      <c r="R168" s="109"/>
      <c r="S168" s="109"/>
    </row>
    <row r="169" spans="1:19" x14ac:dyDescent="0.2">
      <c r="A169" s="82" t="s">
        <v>53</v>
      </c>
      <c r="B169" s="46">
        <f t="shared" ref="B169:P169" si="113">B127</f>
        <v>7.6260174292416387</v>
      </c>
      <c r="C169" s="46">
        <f t="shared" si="113"/>
        <v>9.5528887106211577</v>
      </c>
      <c r="D169" s="46">
        <f t="shared" si="113"/>
        <v>11.878198483579085</v>
      </c>
      <c r="E169" s="46">
        <f t="shared" si="113"/>
        <v>14.64980256258715</v>
      </c>
      <c r="F169" s="46">
        <f t="shared" si="113"/>
        <v>17.748393251922693</v>
      </c>
      <c r="G169" s="46">
        <f t="shared" si="113"/>
        <v>22.164393982125773</v>
      </c>
      <c r="H169" s="46">
        <f t="shared" si="113"/>
        <v>28.071527581574287</v>
      </c>
      <c r="I169" s="46">
        <f t="shared" si="113"/>
        <v>33.428287318735038</v>
      </c>
      <c r="J169" s="46">
        <f t="shared" si="113"/>
        <v>38.972737351002138</v>
      </c>
      <c r="K169" s="46">
        <f t="shared" si="113"/>
        <v>42.987771372812773</v>
      </c>
      <c r="L169" s="46">
        <f t="shared" si="113"/>
        <v>46.867064004016427</v>
      </c>
      <c r="M169" s="46">
        <f t="shared" si="113"/>
        <v>50.864857246161165</v>
      </c>
      <c r="N169" s="46">
        <f t="shared" si="113"/>
        <v>53.826678099915426</v>
      </c>
      <c r="O169" s="46">
        <f t="shared" si="113"/>
        <v>56.110023574013695</v>
      </c>
      <c r="P169" s="46">
        <f t="shared" si="113"/>
        <v>57.292674556370002</v>
      </c>
      <c r="R169" s="57">
        <f>(J169/D169)^(1/6)-1</f>
        <v>0.21899443258975126</v>
      </c>
      <c r="S169" s="57">
        <f>(P169/J169)^(1/6)-1</f>
        <v>6.6325260981576539E-2</v>
      </c>
    </row>
    <row r="170" spans="1:19" x14ac:dyDescent="0.2">
      <c r="A170" s="83" t="s">
        <v>4</v>
      </c>
      <c r="B170" s="75"/>
      <c r="C170" s="63">
        <f t="shared" ref="C170:P170" si="114">C169/B169-1</f>
        <v>0.2526707156465462</v>
      </c>
      <c r="D170" s="63">
        <f t="shared" si="114"/>
        <v>0.24341430570342415</v>
      </c>
      <c r="E170" s="63">
        <f t="shared" si="114"/>
        <v>0.23333539028158556</v>
      </c>
      <c r="F170" s="63">
        <f t="shared" si="114"/>
        <v>0.21151074740411602</v>
      </c>
      <c r="G170" s="63">
        <f t="shared" si="114"/>
        <v>0.24881129618449793</v>
      </c>
      <c r="H170" s="63">
        <f t="shared" si="114"/>
        <v>0.26651455502064514</v>
      </c>
      <c r="I170" s="63">
        <f t="shared" si="114"/>
        <v>0.1908253735602492</v>
      </c>
      <c r="J170" s="63">
        <f t="shared" si="114"/>
        <v>0.16586102600475394</v>
      </c>
      <c r="K170" s="63">
        <f t="shared" si="114"/>
        <v>0.10302160676192251</v>
      </c>
      <c r="L170" s="63">
        <f t="shared" si="114"/>
        <v>9.024177126002586E-2</v>
      </c>
      <c r="M170" s="63">
        <f t="shared" si="114"/>
        <v>8.5300697346907262E-2</v>
      </c>
      <c r="N170" s="63">
        <f t="shared" si="114"/>
        <v>5.8229217855080062E-2</v>
      </c>
      <c r="O170" s="63">
        <f t="shared" si="114"/>
        <v>4.2420330488532443E-2</v>
      </c>
      <c r="P170" s="63">
        <f t="shared" si="114"/>
        <v>2.1077356718560258E-2</v>
      </c>
      <c r="R170" s="109"/>
      <c r="S170" s="109"/>
    </row>
    <row r="171" spans="1:19" x14ac:dyDescent="0.2">
      <c r="A171" s="68" t="s">
        <v>59</v>
      </c>
      <c r="B171" s="46">
        <f t="shared" ref="B171:P171" si="115">B139</f>
        <v>36.69209549421543</v>
      </c>
      <c r="C171" s="46">
        <f t="shared" si="115"/>
        <v>40.864309952431476</v>
      </c>
      <c r="D171" s="46">
        <f t="shared" si="115"/>
        <v>45.426230958929381</v>
      </c>
      <c r="E171" s="46">
        <f t="shared" si="115"/>
        <v>49.656216002183299</v>
      </c>
      <c r="F171" s="46">
        <f t="shared" si="115"/>
        <v>52.508432420341869</v>
      </c>
      <c r="G171" s="46">
        <f t="shared" si="115"/>
        <v>53.364722931912617</v>
      </c>
      <c r="H171" s="46">
        <f t="shared" si="115"/>
        <v>54.280081463567562</v>
      </c>
      <c r="I171" s="46">
        <f t="shared" si="115"/>
        <v>57.258933605947426</v>
      </c>
      <c r="J171" s="46">
        <f t="shared" si="115"/>
        <v>59.090200625630892</v>
      </c>
      <c r="K171" s="46">
        <f t="shared" si="115"/>
        <v>61.295360502361177</v>
      </c>
      <c r="L171" s="46">
        <f t="shared" si="115"/>
        <v>63.879237184323998</v>
      </c>
      <c r="M171" s="46">
        <f t="shared" si="115"/>
        <v>66.767948996006155</v>
      </c>
      <c r="N171" s="46">
        <f t="shared" si="115"/>
        <v>69.483396206153984</v>
      </c>
      <c r="O171" s="46">
        <f t="shared" si="115"/>
        <v>71.993004770315181</v>
      </c>
      <c r="P171" s="46">
        <f t="shared" si="115"/>
        <v>74.370411256274608</v>
      </c>
      <c r="R171" s="57">
        <f>(J171/D171)^(1/6)-1</f>
        <v>4.4803919877751008E-2</v>
      </c>
      <c r="S171" s="57">
        <f>(P171/J171)^(1/6)-1</f>
        <v>3.9076333156763843E-2</v>
      </c>
    </row>
    <row r="172" spans="1:19" x14ac:dyDescent="0.2">
      <c r="A172" s="62" t="s">
        <v>4</v>
      </c>
      <c r="B172" s="75"/>
      <c r="C172" s="63">
        <f t="shared" ref="C172:P172" si="116">C171/B171-1</f>
        <v>0.11370880845095921</v>
      </c>
      <c r="D172" s="63">
        <f t="shared" si="116"/>
        <v>0.11163582627011825</v>
      </c>
      <c r="E172" s="63">
        <f t="shared" si="116"/>
        <v>9.3117675712042214E-2</v>
      </c>
      <c r="F172" s="63">
        <f t="shared" si="116"/>
        <v>5.7439262348004227E-2</v>
      </c>
      <c r="G172" s="63">
        <f t="shared" si="116"/>
        <v>1.6307676159820428E-2</v>
      </c>
      <c r="H172" s="63">
        <f t="shared" si="116"/>
        <v>1.7152877057430516E-2</v>
      </c>
      <c r="I172" s="63">
        <f t="shared" si="116"/>
        <v>5.4879286509163627E-2</v>
      </c>
      <c r="J172" s="63">
        <f t="shared" si="116"/>
        <v>3.1982206170414251E-2</v>
      </c>
      <c r="K172" s="63">
        <f t="shared" si="116"/>
        <v>3.7318537648927563E-2</v>
      </c>
      <c r="L172" s="63">
        <f t="shared" si="116"/>
        <v>4.2154522965295094E-2</v>
      </c>
      <c r="M172" s="63">
        <f t="shared" si="116"/>
        <v>4.5221451272919211E-2</v>
      </c>
      <c r="N172" s="63">
        <f t="shared" si="116"/>
        <v>4.0669920987242758E-2</v>
      </c>
      <c r="O172" s="63">
        <f t="shared" si="116"/>
        <v>3.6118104485211244E-2</v>
      </c>
      <c r="P172" s="63">
        <f t="shared" si="116"/>
        <v>3.3022742883759948E-2</v>
      </c>
      <c r="R172" s="109"/>
      <c r="S172" s="109"/>
    </row>
    <row r="173" spans="1:19" x14ac:dyDescent="0.2">
      <c r="R173" s="109"/>
      <c r="S173" s="109"/>
    </row>
    <row r="174" spans="1:19" x14ac:dyDescent="0.2">
      <c r="A174" s="67" t="s">
        <v>61</v>
      </c>
      <c r="R174" s="109"/>
      <c r="S174" s="109"/>
    </row>
    <row r="175" spans="1:19" x14ac:dyDescent="0.2">
      <c r="A175" s="55" t="s">
        <v>62</v>
      </c>
      <c r="B175" s="56"/>
      <c r="C175" s="56"/>
      <c r="D175" s="56"/>
      <c r="E175" s="56">
        <v>16.75811479</v>
      </c>
      <c r="F175" s="56">
        <v>18.003378729999998</v>
      </c>
      <c r="G175" s="56">
        <v>23.09860599999999</v>
      </c>
      <c r="H175" s="56">
        <v>31.797135959999991</v>
      </c>
      <c r="I175" s="56">
        <v>56.846390059999955</v>
      </c>
      <c r="J175" s="56">
        <v>78.867702199999897</v>
      </c>
      <c r="K175" s="56">
        <v>110.13345632007579</v>
      </c>
      <c r="L175" s="56">
        <v>146.00865170685711</v>
      </c>
      <c r="M175" s="56">
        <v>187.67042595470701</v>
      </c>
      <c r="N175" s="56">
        <v>241.35639766391569</v>
      </c>
      <c r="O175" s="56">
        <v>301.11023041043495</v>
      </c>
      <c r="P175" s="56">
        <v>371.46397400635021</v>
      </c>
      <c r="R175" s="57"/>
      <c r="S175" s="57">
        <f>(P175/J175)^(1/6)-1</f>
        <v>0.29470130410499351</v>
      </c>
    </row>
    <row r="176" spans="1:19" x14ac:dyDescent="0.2">
      <c r="A176" s="58" t="s">
        <v>4</v>
      </c>
      <c r="B176" s="66"/>
      <c r="C176" s="59"/>
      <c r="D176" s="59"/>
      <c r="E176" s="59"/>
      <c r="F176" s="59">
        <f t="shared" ref="F176:P176" si="117">F175/E175-1</f>
        <v>7.430811613386723E-2</v>
      </c>
      <c r="G176" s="59">
        <f t="shared" si="117"/>
        <v>0.28301505769633906</v>
      </c>
      <c r="H176" s="59">
        <f t="shared" si="117"/>
        <v>0.37658246389414174</v>
      </c>
      <c r="I176" s="59">
        <f t="shared" si="117"/>
        <v>0.78778334411977546</v>
      </c>
      <c r="J176" s="59">
        <f t="shared" si="117"/>
        <v>0.38738277165457635</v>
      </c>
      <c r="K176" s="59">
        <f t="shared" si="117"/>
        <v>0.39643292815593068</v>
      </c>
      <c r="L176" s="59">
        <f t="shared" si="117"/>
        <v>0.32574293575713176</v>
      </c>
      <c r="M176" s="59">
        <f t="shared" si="117"/>
        <v>0.28533770951802651</v>
      </c>
      <c r="N176" s="59">
        <f t="shared" si="117"/>
        <v>0.28606516682690009</v>
      </c>
      <c r="O176" s="59">
        <f t="shared" si="117"/>
        <v>0.24757509361622709</v>
      </c>
      <c r="P176" s="59">
        <f t="shared" si="117"/>
        <v>0.233647802334773</v>
      </c>
      <c r="R176" s="109"/>
      <c r="S176" s="109"/>
    </row>
    <row r="177" spans="1:19" x14ac:dyDescent="0.2">
      <c r="A177" s="67"/>
      <c r="R177" s="109"/>
      <c r="S177" s="109"/>
    </row>
    <row r="178" spans="1:19" x14ac:dyDescent="0.2">
      <c r="A178" s="67" t="s">
        <v>64</v>
      </c>
      <c r="R178" s="109"/>
      <c r="S178" s="109"/>
    </row>
    <row r="179" spans="1:19" x14ac:dyDescent="0.2">
      <c r="A179" s="129" t="s">
        <v>75</v>
      </c>
      <c r="E179" s="43">
        <v>3.0190240163428066</v>
      </c>
      <c r="F179" s="43">
        <v>3.2297567094407711</v>
      </c>
      <c r="G179" s="43">
        <v>4.1363537535854382</v>
      </c>
      <c r="H179" s="43">
        <v>5.6708089921336322</v>
      </c>
      <c r="I179" s="43">
        <v>10.117534628513477</v>
      </c>
      <c r="J179" s="43">
        <v>13.981336489986894</v>
      </c>
      <c r="K179" s="43">
        <v>19.431980639611542</v>
      </c>
      <c r="L179" s="43">
        <v>25.716150590280634</v>
      </c>
      <c r="M179" s="43">
        <v>32.983978804092899</v>
      </c>
      <c r="N179" s="43">
        <v>42.342333707223602</v>
      </c>
      <c r="O179" s="43">
        <v>52.730502378807643</v>
      </c>
      <c r="P179" s="43">
        <v>64.935172806389716</v>
      </c>
      <c r="R179" s="57"/>
      <c r="S179" s="57">
        <f>(P179/J179)^(1/6)-1</f>
        <v>0.29168084355639379</v>
      </c>
    </row>
    <row r="180" spans="1:19" x14ac:dyDescent="0.2">
      <c r="A180" s="12" t="s">
        <v>4</v>
      </c>
      <c r="E180" s="63"/>
      <c r="F180" s="63">
        <f t="shared" ref="F180:P180" si="118">F179/E179-1</f>
        <v>6.9801595468340194E-2</v>
      </c>
      <c r="G180" s="63">
        <f t="shared" si="118"/>
        <v>0.28070134245549516</v>
      </c>
      <c r="H180" s="63">
        <f t="shared" si="118"/>
        <v>0.37096808686106963</v>
      </c>
      <c r="I180" s="63">
        <f t="shared" si="118"/>
        <v>0.78414308126903975</v>
      </c>
      <c r="J180" s="63">
        <f t="shared" si="118"/>
        <v>0.3818916369788703</v>
      </c>
      <c r="K180" s="63">
        <f t="shared" si="118"/>
        <v>0.38985143898999008</v>
      </c>
      <c r="L180" s="63">
        <f t="shared" si="118"/>
        <v>0.32339317680561042</v>
      </c>
      <c r="M180" s="63">
        <f t="shared" si="118"/>
        <v>0.28261726763099326</v>
      </c>
      <c r="N180" s="63">
        <f t="shared" si="118"/>
        <v>0.28372425772870824</v>
      </c>
      <c r="O180" s="63">
        <f t="shared" si="118"/>
        <v>0.24533765057479151</v>
      </c>
      <c r="P180" s="63">
        <f t="shared" si="118"/>
        <v>0.23145371041424267</v>
      </c>
      <c r="R180" s="109"/>
      <c r="S180" s="109"/>
    </row>
    <row r="181" spans="1:19" x14ac:dyDescent="0.2">
      <c r="A181" s="129" t="s">
        <v>69</v>
      </c>
      <c r="E181" s="43">
        <v>1.6536113072611445</v>
      </c>
      <c r="F181" s="43">
        <v>1.7708445213390847</v>
      </c>
      <c r="G181" s="43">
        <v>2.2589514977886949</v>
      </c>
      <c r="H181" s="43">
        <v>3.0793924220142324</v>
      </c>
      <c r="I181" s="43">
        <v>5.4920849226423982</v>
      </c>
      <c r="J181" s="43">
        <v>7.5835185932374314</v>
      </c>
      <c r="K181" s="43">
        <v>10.622619745109132</v>
      </c>
      <c r="L181" s="43">
        <v>14.135699525876804</v>
      </c>
      <c r="M181" s="43">
        <v>18.230584621310303</v>
      </c>
      <c r="N181" s="43">
        <v>23.53125694497874</v>
      </c>
      <c r="O181" s="43">
        <v>29.465479123841639</v>
      </c>
      <c r="P181" s="43">
        <v>36.48713770600385</v>
      </c>
      <c r="R181" s="57"/>
      <c r="S181" s="57">
        <f>(P181/J181)^(1/6)-1</f>
        <v>0.29930618752394844</v>
      </c>
    </row>
    <row r="182" spans="1:19" x14ac:dyDescent="0.2">
      <c r="A182" s="12" t="s">
        <v>4</v>
      </c>
      <c r="E182" s="63"/>
      <c r="F182" s="63">
        <f t="shared" ref="F182:P182" si="119">F181/E181-1</f>
        <v>7.0895266356222564E-2</v>
      </c>
      <c r="G182" s="63">
        <f t="shared" si="119"/>
        <v>0.27563513937435413</v>
      </c>
      <c r="H182" s="63">
        <f t="shared" si="119"/>
        <v>0.36319545817104681</v>
      </c>
      <c r="I182" s="63">
        <f t="shared" si="119"/>
        <v>0.78349627783068398</v>
      </c>
      <c r="J182" s="63">
        <f t="shared" si="119"/>
        <v>0.38080869106240711</v>
      </c>
      <c r="K182" s="63">
        <f t="shared" si="119"/>
        <v>0.40075080116264306</v>
      </c>
      <c r="L182" s="63">
        <f t="shared" si="119"/>
        <v>0.3307168914132661</v>
      </c>
      <c r="M182" s="63">
        <f t="shared" si="119"/>
        <v>0.28968393732035724</v>
      </c>
      <c r="N182" s="63">
        <f t="shared" si="119"/>
        <v>0.29075712237293327</v>
      </c>
      <c r="O182" s="63">
        <f t="shared" si="119"/>
        <v>0.25218466623939451</v>
      </c>
      <c r="P182" s="63">
        <f t="shared" si="119"/>
        <v>0.23830118467276917</v>
      </c>
      <c r="R182" s="109"/>
      <c r="S182" s="109"/>
    </row>
    <row r="183" spans="1:19" x14ac:dyDescent="0.2">
      <c r="A183" s="129" t="s">
        <v>72</v>
      </c>
      <c r="E183" s="43">
        <v>2.727511774820591</v>
      </c>
      <c r="F183" s="43">
        <v>2.9335343631137425</v>
      </c>
      <c r="G183" s="43">
        <v>3.7231258986002906</v>
      </c>
      <c r="H183" s="43">
        <v>5.1577153975644769</v>
      </c>
      <c r="I183" s="43">
        <v>9.2397371716000425</v>
      </c>
      <c r="J183" s="43">
        <v>12.809128736799401</v>
      </c>
      <c r="K183" s="43">
        <v>17.877774615283379</v>
      </c>
      <c r="L183" s="43">
        <v>23.636143893573252</v>
      </c>
      <c r="M183" s="43">
        <v>30.290490373411814</v>
      </c>
      <c r="N183" s="43">
        <v>38.858066569869372</v>
      </c>
      <c r="O183" s="43">
        <v>48.366087674656569</v>
      </c>
      <c r="P183" s="43">
        <v>59.539562023642368</v>
      </c>
      <c r="R183" s="57"/>
      <c r="S183" s="57">
        <f>(P183/J183)^(1/6)-1</f>
        <v>0.29185669674584003</v>
      </c>
    </row>
    <row r="184" spans="1:19" x14ac:dyDescent="0.2">
      <c r="A184" s="12" t="s">
        <v>4</v>
      </c>
      <c r="E184" s="63"/>
      <c r="F184" s="63">
        <f t="shared" ref="F184:P184" si="120">F183/E183-1</f>
        <v>7.5534995007199512E-2</v>
      </c>
      <c r="G184" s="63">
        <f t="shared" si="120"/>
        <v>0.26916048620901512</v>
      </c>
      <c r="H184" s="63">
        <f t="shared" si="120"/>
        <v>0.38531855705001017</v>
      </c>
      <c r="I184" s="63">
        <f t="shared" si="120"/>
        <v>0.79143990301658285</v>
      </c>
      <c r="J184" s="63">
        <f t="shared" si="120"/>
        <v>0.38630877685249665</v>
      </c>
      <c r="K184" s="63">
        <f t="shared" si="120"/>
        <v>0.39570574881664222</v>
      </c>
      <c r="L184" s="63">
        <f t="shared" si="120"/>
        <v>0.32209653618561385</v>
      </c>
      <c r="M184" s="63">
        <f t="shared" si="120"/>
        <v>0.28153266073354288</v>
      </c>
      <c r="N184" s="63">
        <f t="shared" si="120"/>
        <v>0.28284706159719186</v>
      </c>
      <c r="O184" s="63">
        <f t="shared" si="120"/>
        <v>0.24468590293063475</v>
      </c>
      <c r="P184" s="63">
        <f t="shared" si="120"/>
        <v>0.2310187754723152</v>
      </c>
      <c r="R184" s="109"/>
      <c r="S184" s="109"/>
    </row>
    <row r="185" spans="1:19" x14ac:dyDescent="0.2">
      <c r="A185" s="129" t="s">
        <v>74</v>
      </c>
      <c r="E185" s="43">
        <v>1.0154047752184767</v>
      </c>
      <c r="F185" s="43">
        <v>1.0900989475190708</v>
      </c>
      <c r="G185" s="43">
        <v>1.401076744415594</v>
      </c>
      <c r="H185" s="43">
        <v>1.914787284797959</v>
      </c>
      <c r="I185" s="43">
        <v>3.4183236962969392</v>
      </c>
      <c r="J185" s="43">
        <v>4.7525401451100375</v>
      </c>
      <c r="K185" s="43">
        <v>6.7069495237017271</v>
      </c>
      <c r="L185" s="43">
        <v>8.9867103599061391</v>
      </c>
      <c r="M185" s="43">
        <v>11.67042143020295</v>
      </c>
      <c r="N185" s="43">
        <v>15.164984082760599</v>
      </c>
      <c r="O185" s="43">
        <v>19.114488709050594</v>
      </c>
      <c r="P185" s="43">
        <v>23.821822535706378</v>
      </c>
      <c r="R185" s="57"/>
      <c r="S185" s="57">
        <f>(P185/J185)^(1/6)-1</f>
        <v>0.30820216988334614</v>
      </c>
    </row>
    <row r="186" spans="1:19" x14ac:dyDescent="0.2">
      <c r="A186" s="12" t="s">
        <v>4</v>
      </c>
      <c r="E186" s="63"/>
      <c r="F186" s="63">
        <f t="shared" ref="F186:P186" si="121">F185/E185-1</f>
        <v>7.3560981909428946E-2</v>
      </c>
      <c r="G186" s="63">
        <f t="shared" si="121"/>
        <v>0.28527483454990032</v>
      </c>
      <c r="H186" s="63">
        <f t="shared" si="121"/>
        <v>0.36665410544419519</v>
      </c>
      <c r="I186" s="63">
        <f t="shared" si="121"/>
        <v>0.78522372873268154</v>
      </c>
      <c r="J186" s="63">
        <f t="shared" si="121"/>
        <v>0.39031307955371553</v>
      </c>
      <c r="K186" s="63">
        <f t="shared" si="121"/>
        <v>0.41123469111620481</v>
      </c>
      <c r="L186" s="63">
        <f t="shared" si="121"/>
        <v>0.33991024207770648</v>
      </c>
      <c r="M186" s="63">
        <f t="shared" si="121"/>
        <v>0.2986310855494001</v>
      </c>
      <c r="N186" s="63">
        <f t="shared" si="121"/>
        <v>0.29943757159563678</v>
      </c>
      <c r="O186" s="63">
        <f t="shared" si="121"/>
        <v>0.26043579107872272</v>
      </c>
      <c r="P186" s="63">
        <f t="shared" si="121"/>
        <v>0.2462704547481247</v>
      </c>
      <c r="R186" s="109"/>
      <c r="S186" s="109"/>
    </row>
    <row r="187" spans="1:19" x14ac:dyDescent="0.2">
      <c r="A187" s="129" t="s">
        <v>66</v>
      </c>
      <c r="E187" s="43">
        <v>1.5465963493365997</v>
      </c>
      <c r="F187" s="43">
        <v>1.6883936502523518</v>
      </c>
      <c r="G187" s="43">
        <v>2.2308509796044329</v>
      </c>
      <c r="H187" s="43">
        <v>3.0389549920617207</v>
      </c>
      <c r="I187" s="43">
        <v>5.3835649208470375</v>
      </c>
      <c r="J187" s="43">
        <v>7.5419516899952139</v>
      </c>
      <c r="K187" s="43">
        <v>10.386767022006305</v>
      </c>
      <c r="L187" s="43">
        <v>13.624036854123784</v>
      </c>
      <c r="M187" s="43">
        <v>17.32092494679457</v>
      </c>
      <c r="N187" s="43">
        <v>22.042673343650804</v>
      </c>
      <c r="O187" s="43">
        <v>27.215384525490396</v>
      </c>
      <c r="P187" s="43">
        <v>33.23036852477528</v>
      </c>
      <c r="R187" s="57"/>
      <c r="S187" s="57">
        <f>(P187/J187)^(1/6)-1</f>
        <v>0.28038890418574614</v>
      </c>
    </row>
    <row r="188" spans="1:19" x14ac:dyDescent="0.2">
      <c r="A188" s="12" t="s">
        <v>4</v>
      </c>
      <c r="E188" s="63"/>
      <c r="F188" s="63">
        <f t="shared" ref="F188:P188" si="122">F187/E187-1</f>
        <v>9.1683457662740997E-2</v>
      </c>
      <c r="G188" s="63">
        <f t="shared" si="122"/>
        <v>0.32128605155024359</v>
      </c>
      <c r="H188" s="63">
        <f t="shared" si="122"/>
        <v>0.36224024815883404</v>
      </c>
      <c r="I188" s="63">
        <f t="shared" si="122"/>
        <v>0.7715184775391033</v>
      </c>
      <c r="J188" s="63">
        <f t="shared" si="122"/>
        <v>0.40092147134515854</v>
      </c>
      <c r="K188" s="63">
        <f t="shared" si="122"/>
        <v>0.37719882716630027</v>
      </c>
      <c r="L188" s="63">
        <f t="shared" si="122"/>
        <v>0.31167251804711871</v>
      </c>
      <c r="M188" s="63">
        <f t="shared" si="122"/>
        <v>0.2713504178133368</v>
      </c>
      <c r="N188" s="63">
        <f t="shared" si="122"/>
        <v>0.27260370975338977</v>
      </c>
      <c r="O188" s="63">
        <f t="shared" si="122"/>
        <v>0.23466805052162809</v>
      </c>
      <c r="P188" s="63">
        <f t="shared" si="122"/>
        <v>0.22101411037022634</v>
      </c>
      <c r="R188" s="109"/>
      <c r="S188" s="109"/>
    </row>
    <row r="189" spans="1:19" x14ac:dyDescent="0.2">
      <c r="A189" s="129" t="s">
        <v>67</v>
      </c>
      <c r="E189" s="43">
        <v>1.3532726420858228</v>
      </c>
      <c r="F189" s="43">
        <v>1.4271031204326663</v>
      </c>
      <c r="G189" s="43">
        <v>1.8087792982300659</v>
      </c>
      <c r="H189" s="43">
        <v>2.4999671406049111</v>
      </c>
      <c r="I189" s="43">
        <v>4.4755870726498532</v>
      </c>
      <c r="J189" s="43">
        <v>6.194033155048519</v>
      </c>
      <c r="K189" s="43">
        <v>8.6218636259975927</v>
      </c>
      <c r="L189" s="43">
        <v>11.385240248835279</v>
      </c>
      <c r="M189" s="43">
        <v>14.568657084507898</v>
      </c>
      <c r="N189" s="43">
        <v>18.655750622570341</v>
      </c>
      <c r="O189" s="43">
        <v>23.170616998970988</v>
      </c>
      <c r="P189" s="43">
        <v>28.450521172675909</v>
      </c>
      <c r="R189" s="57"/>
      <c r="S189" s="57">
        <f>(P189/J189)^(1/6)-1</f>
        <v>0.28929643990172704</v>
      </c>
    </row>
    <row r="190" spans="1:19" x14ac:dyDescent="0.2">
      <c r="A190" s="12" t="s">
        <v>4</v>
      </c>
      <c r="E190" s="63"/>
      <c r="F190" s="63">
        <f t="shared" ref="F190:P190" si="123">F189/E189-1</f>
        <v>5.4556987299356985E-2</v>
      </c>
      <c r="G190" s="63">
        <f t="shared" si="123"/>
        <v>0.26744821192857016</v>
      </c>
      <c r="H190" s="63">
        <f t="shared" si="123"/>
        <v>0.38212945219529493</v>
      </c>
      <c r="I190" s="63">
        <f t="shared" si="123"/>
        <v>0.79025835978264336</v>
      </c>
      <c r="J190" s="63">
        <f t="shared" si="123"/>
        <v>0.38395992626308773</v>
      </c>
      <c r="K190" s="63">
        <f t="shared" si="123"/>
        <v>0.39196278259670625</v>
      </c>
      <c r="L190" s="63">
        <f t="shared" si="123"/>
        <v>0.32050804126676846</v>
      </c>
      <c r="M190" s="63">
        <f t="shared" si="123"/>
        <v>0.27960910495483704</v>
      </c>
      <c r="N190" s="63">
        <f t="shared" si="123"/>
        <v>0.28054017019925603</v>
      </c>
      <c r="O190" s="63">
        <f t="shared" si="123"/>
        <v>0.24200936578442533</v>
      </c>
      <c r="P190" s="63">
        <f t="shared" si="123"/>
        <v>0.2278706766392713</v>
      </c>
      <c r="R190" s="109"/>
      <c r="S190" s="109"/>
    </row>
    <row r="191" spans="1:19" x14ac:dyDescent="0.2">
      <c r="A191" s="129" t="s">
        <v>70</v>
      </c>
      <c r="E191" s="43">
        <v>1.1563202805379931</v>
      </c>
      <c r="F191" s="43">
        <v>1.2446165114151007</v>
      </c>
      <c r="G191" s="43">
        <v>1.6314156468336041</v>
      </c>
      <c r="H191" s="43">
        <v>2.1815206989616853</v>
      </c>
      <c r="I191" s="43">
        <v>3.9291153855417549</v>
      </c>
      <c r="J191" s="43">
        <v>5.4859947262541509</v>
      </c>
      <c r="K191" s="43">
        <v>7.6027220072124555</v>
      </c>
      <c r="L191" s="43">
        <v>10.011997911106059</v>
      </c>
      <c r="M191" s="43">
        <v>12.779441679991491</v>
      </c>
      <c r="N191" s="43">
        <v>16.326975972626297</v>
      </c>
      <c r="O191" s="43">
        <v>20.237430597548897</v>
      </c>
      <c r="P191" s="43">
        <v>24.80770742034942</v>
      </c>
      <c r="R191" s="57"/>
      <c r="S191" s="57">
        <f>(P191/J191)^(1/6)-1</f>
        <v>0.28594346051014408</v>
      </c>
    </row>
    <row r="192" spans="1:19" x14ac:dyDescent="0.2">
      <c r="A192" s="12" t="s">
        <v>4</v>
      </c>
      <c r="E192" s="63"/>
      <c r="F192" s="63">
        <f t="shared" ref="F192:P192" si="124">F191/E191-1</f>
        <v>7.6359666403175597E-2</v>
      </c>
      <c r="G192" s="63">
        <f t="shared" si="124"/>
        <v>0.31077776316716355</v>
      </c>
      <c r="H192" s="63">
        <f t="shared" si="124"/>
        <v>0.33719490995184076</v>
      </c>
      <c r="I192" s="63">
        <f t="shared" si="124"/>
        <v>0.80109012369759003</v>
      </c>
      <c r="J192" s="63">
        <f t="shared" si="124"/>
        <v>0.39624169512591956</v>
      </c>
      <c r="K192" s="63">
        <f t="shared" si="124"/>
        <v>0.38584201891925818</v>
      </c>
      <c r="L192" s="63">
        <f t="shared" si="124"/>
        <v>0.31689648807466608</v>
      </c>
      <c r="M192" s="63">
        <f t="shared" si="124"/>
        <v>0.27641273934102362</v>
      </c>
      <c r="N192" s="63">
        <f t="shared" si="124"/>
        <v>0.27759697031123887</v>
      </c>
      <c r="O192" s="63">
        <f t="shared" si="124"/>
        <v>0.2395088123776774</v>
      </c>
      <c r="P192" s="63">
        <f t="shared" si="124"/>
        <v>0.22583285959997612</v>
      </c>
      <c r="R192" s="109"/>
      <c r="S192" s="109"/>
    </row>
    <row r="193" spans="1:19" x14ac:dyDescent="0.2">
      <c r="A193" s="129" t="s">
        <v>68</v>
      </c>
      <c r="E193" s="43">
        <v>0.44487179565476898</v>
      </c>
      <c r="F193" s="43">
        <v>0.47084237696487563</v>
      </c>
      <c r="G193" s="43">
        <v>0.60068426230634042</v>
      </c>
      <c r="H193" s="43">
        <v>0.83356608577978553</v>
      </c>
      <c r="I193" s="43">
        <v>1.4559643242029841</v>
      </c>
      <c r="J193" s="43">
        <v>1.992731173568618</v>
      </c>
      <c r="K193" s="43">
        <v>2.7828689573566452</v>
      </c>
      <c r="L193" s="43">
        <v>3.7123805372273506</v>
      </c>
      <c r="M193" s="43">
        <v>4.798922390082816</v>
      </c>
      <c r="N193" s="43">
        <v>6.2099265110032826</v>
      </c>
      <c r="O193" s="43">
        <v>7.7965383470615102</v>
      </c>
      <c r="P193" s="43">
        <v>9.6815298420870963</v>
      </c>
      <c r="R193" s="57"/>
      <c r="S193" s="57">
        <f>(P193/J193)^(1/6)-1</f>
        <v>0.30141521238085489</v>
      </c>
    </row>
    <row r="194" spans="1:19" x14ac:dyDescent="0.2">
      <c r="A194" s="12" t="s">
        <v>4</v>
      </c>
      <c r="E194" s="63"/>
      <c r="F194" s="63">
        <f t="shared" ref="F194:P194" si="125">F193/E193-1</f>
        <v>5.837767546464212E-2</v>
      </c>
      <c r="G194" s="63">
        <f t="shared" si="125"/>
        <v>0.27576507912997572</v>
      </c>
      <c r="H194" s="63">
        <f t="shared" si="125"/>
        <v>0.38769423154069371</v>
      </c>
      <c r="I194" s="63">
        <f t="shared" si="125"/>
        <v>0.74666933916937928</v>
      </c>
      <c r="J194" s="63">
        <f t="shared" si="125"/>
        <v>0.36866758370571184</v>
      </c>
      <c r="K194" s="63">
        <f t="shared" si="125"/>
        <v>0.39650997297996526</v>
      </c>
      <c r="L194" s="63">
        <f t="shared" si="125"/>
        <v>0.33401198335749793</v>
      </c>
      <c r="M194" s="63">
        <f t="shared" si="125"/>
        <v>0.29268062418702523</v>
      </c>
      <c r="N194" s="63">
        <f t="shared" si="125"/>
        <v>0.29402520112356245</v>
      </c>
      <c r="O194" s="63">
        <f t="shared" si="125"/>
        <v>0.25549607281936937</v>
      </c>
      <c r="P194" s="63">
        <f t="shared" si="125"/>
        <v>0.24177287548852155</v>
      </c>
      <c r="R194" s="109"/>
      <c r="S194" s="109"/>
    </row>
    <row r="195" spans="1:19" x14ac:dyDescent="0.2">
      <c r="A195" s="129" t="s">
        <v>73</v>
      </c>
      <c r="E195" s="43">
        <v>0.77117533738118216</v>
      </c>
      <c r="F195" s="43">
        <v>0.81211690967217309</v>
      </c>
      <c r="G195" s="43">
        <v>1.0138107320237968</v>
      </c>
      <c r="H195" s="43">
        <v>1.5450240183771637</v>
      </c>
      <c r="I195" s="43">
        <v>2.744531658454699</v>
      </c>
      <c r="J195" s="43">
        <v>3.7185460186944046</v>
      </c>
      <c r="K195" s="43">
        <v>5.3099930518158018</v>
      </c>
      <c r="L195" s="43">
        <v>7.1642919075745466</v>
      </c>
      <c r="M195" s="43">
        <v>9.3479272400831697</v>
      </c>
      <c r="N195" s="43">
        <v>12.193458002021488</v>
      </c>
      <c r="O195" s="43">
        <v>15.408682764270061</v>
      </c>
      <c r="P195" s="43">
        <v>19.231096140218085</v>
      </c>
      <c r="R195" s="57"/>
      <c r="S195" s="57">
        <f>(P195/J195)^(1/6)-1</f>
        <v>0.31503853643749369</v>
      </c>
    </row>
    <row r="196" spans="1:19" x14ac:dyDescent="0.2">
      <c r="A196" s="12" t="s">
        <v>4</v>
      </c>
      <c r="E196" s="63"/>
      <c r="F196" s="63">
        <f t="shared" ref="F196:P196" si="126">F195/E195-1</f>
        <v>5.3089836132498069E-2</v>
      </c>
      <c r="G196" s="63">
        <f t="shared" si="126"/>
        <v>0.24835564922917475</v>
      </c>
      <c r="H196" s="63">
        <f t="shared" si="126"/>
        <v>0.52397678341098675</v>
      </c>
      <c r="I196" s="63">
        <f t="shared" si="126"/>
        <v>0.77636828024036419</v>
      </c>
      <c r="J196" s="63">
        <f t="shared" si="126"/>
        <v>0.35489273998322957</v>
      </c>
      <c r="K196" s="63">
        <f t="shared" si="126"/>
        <v>0.42797561872856971</v>
      </c>
      <c r="L196" s="63">
        <f t="shared" si="126"/>
        <v>0.34920928100360693</v>
      </c>
      <c r="M196" s="63">
        <f t="shared" si="126"/>
        <v>0.30479429937799507</v>
      </c>
      <c r="N196" s="63">
        <f t="shared" si="126"/>
        <v>0.30440232244608301</v>
      </c>
      <c r="O196" s="63">
        <f t="shared" si="126"/>
        <v>0.26368440861612341</v>
      </c>
      <c r="P196" s="63">
        <f t="shared" si="126"/>
        <v>0.24806879565406503</v>
      </c>
      <c r="R196" s="109"/>
      <c r="S196" s="109"/>
    </row>
    <row r="197" spans="1:19" x14ac:dyDescent="0.2">
      <c r="A197" s="129" t="s">
        <v>65</v>
      </c>
      <c r="E197" s="43">
        <v>0.45161503295327748</v>
      </c>
      <c r="F197" s="43">
        <v>0.52181059777273431</v>
      </c>
      <c r="G197" s="43">
        <v>0.71597055813610877</v>
      </c>
      <c r="H197" s="43">
        <v>1.0488636726664236</v>
      </c>
      <c r="I197" s="43">
        <v>1.9870043752236783</v>
      </c>
      <c r="J197" s="43">
        <v>2.9102249620598402</v>
      </c>
      <c r="K197" s="43">
        <v>4.2759255777903942</v>
      </c>
      <c r="L197" s="43">
        <v>5.9467651873715539</v>
      </c>
      <c r="M197" s="43">
        <v>7.9970403894116782</v>
      </c>
      <c r="N197" s="43">
        <v>10.73436580652147</v>
      </c>
      <c r="O197" s="43">
        <v>13.946892116792982</v>
      </c>
      <c r="P197" s="43">
        <v>17.882890037781728</v>
      </c>
      <c r="R197" s="57"/>
      <c r="S197" s="57">
        <f>(P197/J197)^(1/6)-1</f>
        <v>0.35337616644458802</v>
      </c>
    </row>
    <row r="198" spans="1:19" x14ac:dyDescent="0.2">
      <c r="A198" s="12" t="s">
        <v>4</v>
      </c>
      <c r="E198" s="63"/>
      <c r="F198" s="63">
        <f t="shared" ref="F198:P198" si="127">F197/E197-1</f>
        <v>0.15543230339438008</v>
      </c>
      <c r="G198" s="63">
        <f t="shared" si="127"/>
        <v>0.37208895563278221</v>
      </c>
      <c r="H198" s="63">
        <f t="shared" si="127"/>
        <v>0.46495363635753084</v>
      </c>
      <c r="I198" s="63">
        <f t="shared" si="127"/>
        <v>0.89443530842508001</v>
      </c>
      <c r="J198" s="63">
        <f t="shared" si="127"/>
        <v>0.46462936788059883</v>
      </c>
      <c r="K198" s="63">
        <f t="shared" si="127"/>
        <v>0.4692766482093258</v>
      </c>
      <c r="L198" s="63">
        <f t="shared" si="127"/>
        <v>0.39075507259987785</v>
      </c>
      <c r="M198" s="63">
        <f t="shared" si="127"/>
        <v>0.34477150811235191</v>
      </c>
      <c r="N198" s="63">
        <f t="shared" si="127"/>
        <v>0.34229230863133986</v>
      </c>
      <c r="O198" s="63">
        <f t="shared" si="127"/>
        <v>0.29927490530645029</v>
      </c>
      <c r="P198" s="63">
        <f t="shared" si="127"/>
        <v>0.2822132621395661</v>
      </c>
      <c r="R198" s="109"/>
      <c r="S198" s="109"/>
    </row>
    <row r="199" spans="1:19" x14ac:dyDescent="0.2">
      <c r="A199" s="129" t="s">
        <v>71</v>
      </c>
      <c r="E199" s="43">
        <v>0.17033393208297243</v>
      </c>
      <c r="F199" s="43">
        <v>0.18354914164100639</v>
      </c>
      <c r="G199" s="43">
        <v>0.23564641019078886</v>
      </c>
      <c r="H199" s="43">
        <v>0.33556437677492468</v>
      </c>
      <c r="I199" s="43">
        <v>0.59725318384414006</v>
      </c>
      <c r="J199" s="43">
        <v>0.88534650923572644</v>
      </c>
      <c r="K199" s="43">
        <v>1.2767556044338224</v>
      </c>
      <c r="L199" s="43">
        <v>1.6560156556552883</v>
      </c>
      <c r="M199" s="43">
        <v>2.1523024561067374</v>
      </c>
      <c r="N199" s="43">
        <v>2.7382302388567075</v>
      </c>
      <c r="O199" s="43">
        <v>3.3787891062663697</v>
      </c>
      <c r="P199" s="43">
        <v>4.1215808861615404</v>
      </c>
      <c r="R199" s="57"/>
      <c r="S199" s="57">
        <f>(P199/J199)^(1/6)-1</f>
        <v>0.29218617824831861</v>
      </c>
    </row>
    <row r="200" spans="1:19" x14ac:dyDescent="0.2">
      <c r="A200" s="12" t="s">
        <v>4</v>
      </c>
      <c r="E200" s="63"/>
      <c r="F200" s="63">
        <f t="shared" ref="F200:P200" si="128">F199/E199-1</f>
        <v>7.7584127815452542E-2</v>
      </c>
      <c r="G200" s="63">
        <f t="shared" si="128"/>
        <v>0.28383280948094347</v>
      </c>
      <c r="H200" s="63">
        <f t="shared" si="128"/>
        <v>0.4240165021111002</v>
      </c>
      <c r="I200" s="63">
        <f t="shared" si="128"/>
        <v>0.77984680490903147</v>
      </c>
      <c r="J200" s="63">
        <f t="shared" si="128"/>
        <v>0.48236381686123853</v>
      </c>
      <c r="K200" s="63">
        <f t="shared" si="128"/>
        <v>0.44209706721041808</v>
      </c>
      <c r="L200" s="63">
        <f t="shared" si="128"/>
        <v>0.29704984251050059</v>
      </c>
      <c r="M200" s="63">
        <f t="shared" si="128"/>
        <v>0.29968726367811271</v>
      </c>
      <c r="N200" s="63">
        <f t="shared" si="128"/>
        <v>0.27223301310999037</v>
      </c>
      <c r="O200" s="63">
        <f t="shared" si="128"/>
        <v>0.23393170461703572</v>
      </c>
      <c r="P200" s="63">
        <f t="shared" si="128"/>
        <v>0.21983963974477549</v>
      </c>
      <c r="R200" s="109"/>
      <c r="S200" s="109"/>
    </row>
    <row r="201" spans="1:19" x14ac:dyDescent="0.2">
      <c r="A201" s="129" t="s">
        <v>80</v>
      </c>
      <c r="E201" s="46">
        <v>0.31602357518979479</v>
      </c>
      <c r="F201" s="46">
        <v>0.3232512339701839</v>
      </c>
      <c r="G201" s="46">
        <v>0.3941135821052959</v>
      </c>
      <c r="H201" s="46">
        <v>0.51445701333277616</v>
      </c>
      <c r="I201" s="46">
        <v>0.8701049275854057</v>
      </c>
      <c r="J201" s="46">
        <v>1.1390667799285925</v>
      </c>
      <c r="K201" s="46">
        <v>1.4965716240092375</v>
      </c>
      <c r="L201" s="46">
        <v>1.8607289490414387</v>
      </c>
      <c r="M201" s="46">
        <v>2.2348475105199856</v>
      </c>
      <c r="N201" s="46">
        <v>2.6746536327056134</v>
      </c>
      <c r="O201" s="46">
        <v>3.0905985109320304</v>
      </c>
      <c r="P201" s="46">
        <v>3.5121817425930328</v>
      </c>
      <c r="R201" s="57"/>
      <c r="S201" s="57">
        <f>(P201/J201)^(1/6)-1</f>
        <v>0.20643695677487806</v>
      </c>
    </row>
    <row r="202" spans="1:19" x14ac:dyDescent="0.2">
      <c r="A202" s="12" t="s">
        <v>4</v>
      </c>
      <c r="E202" s="63"/>
      <c r="F202" s="63">
        <f t="shared" ref="F202:P202" si="129">F201/E201-1</f>
        <v>2.2870631648440831E-2</v>
      </c>
      <c r="G202" s="63">
        <f t="shared" si="129"/>
        <v>0.21921756419852745</v>
      </c>
      <c r="H202" s="63">
        <f t="shared" si="129"/>
        <v>0.30535215402784055</v>
      </c>
      <c r="I202" s="63">
        <f t="shared" si="129"/>
        <v>0.691307349371441</v>
      </c>
      <c r="J202" s="63">
        <f t="shared" si="129"/>
        <v>0.30911427325158636</v>
      </c>
      <c r="K202" s="63">
        <f t="shared" si="129"/>
        <v>0.3138576687339234</v>
      </c>
      <c r="L202" s="63">
        <f t="shared" si="129"/>
        <v>0.24332769590849423</v>
      </c>
      <c r="M202" s="63">
        <f t="shared" si="129"/>
        <v>0.20106021442364042</v>
      </c>
      <c r="N202" s="63">
        <f t="shared" si="129"/>
        <v>0.19679468962215552</v>
      </c>
      <c r="O202" s="63">
        <f t="shared" si="129"/>
        <v>0.1555135487975905</v>
      </c>
      <c r="P202" s="63">
        <f t="shared" si="129"/>
        <v>0.13640828149298034</v>
      </c>
      <c r="R202" s="109"/>
      <c r="S202" s="109"/>
    </row>
    <row r="203" spans="1:19" x14ac:dyDescent="0.2">
      <c r="A203" s="129" t="s">
        <v>76</v>
      </c>
      <c r="E203" s="43">
        <v>2.1323539711345716</v>
      </c>
      <c r="F203" s="43">
        <v>2.3074606464662346</v>
      </c>
      <c r="G203" s="43">
        <v>2.947826636179538</v>
      </c>
      <c r="H203" s="43">
        <v>3.9765138649302987</v>
      </c>
      <c r="I203" s="43">
        <v>7.1355837925975409</v>
      </c>
      <c r="J203" s="43">
        <v>9.8732832200810599</v>
      </c>
      <c r="K203" s="43">
        <v>13.740664325747767</v>
      </c>
      <c r="L203" s="43">
        <v>18.172490086284949</v>
      </c>
      <c r="M203" s="43">
        <v>23.294887028190743</v>
      </c>
      <c r="N203" s="43">
        <v>29.883722229127326</v>
      </c>
      <c r="O203" s="43">
        <v>37.18873955674529</v>
      </c>
      <c r="P203" s="43">
        <v>45.762403167965786</v>
      </c>
      <c r="R203" s="109"/>
      <c r="S203" s="109"/>
    </row>
    <row r="204" spans="1:19" x14ac:dyDescent="0.2">
      <c r="A204" s="12" t="s">
        <v>4</v>
      </c>
      <c r="F204" s="63">
        <f t="shared" ref="F204:P204" si="130">F203/E203-1</f>
        <v>8.2118952904659315E-2</v>
      </c>
      <c r="G204" s="63">
        <f t="shared" si="130"/>
        <v>0.27751978812466138</v>
      </c>
      <c r="H204" s="63">
        <f t="shared" si="130"/>
        <v>0.34896462910178694</v>
      </c>
      <c r="I204" s="63">
        <f t="shared" si="130"/>
        <v>0.79443201632659588</v>
      </c>
      <c r="J204" s="63">
        <f t="shared" si="130"/>
        <v>0.38366859770094908</v>
      </c>
      <c r="K204" s="63">
        <f t="shared" si="130"/>
        <v>0.39170162745872861</v>
      </c>
      <c r="L204" s="63">
        <f t="shared" si="130"/>
        <v>0.32253358756698991</v>
      </c>
      <c r="M204" s="63">
        <f t="shared" si="130"/>
        <v>0.28187644717835036</v>
      </c>
      <c r="N204" s="63">
        <f t="shared" si="130"/>
        <v>0.28284469432983217</v>
      </c>
      <c r="O204" s="63">
        <f t="shared" si="130"/>
        <v>0.24444804002688292</v>
      </c>
      <c r="P204" s="63">
        <f t="shared" si="130"/>
        <v>0.23054461413348459</v>
      </c>
      <c r="R204" s="109"/>
      <c r="S204" s="109"/>
    </row>
    <row r="205" spans="1:19" x14ac:dyDescent="0.2">
      <c r="A205" s="23" t="s">
        <v>23</v>
      </c>
      <c r="E205" s="56">
        <f t="shared" ref="E205:P205" si="131">E203+E201+E199+E197+E195+E193+E191+E189+E187+E185+E183+E181+E179</f>
        <v>16.75811479</v>
      </c>
      <c r="F205" s="56">
        <f t="shared" si="131"/>
        <v>18.003378729999994</v>
      </c>
      <c r="G205" s="56">
        <f t="shared" si="131"/>
        <v>23.09860599999999</v>
      </c>
      <c r="H205" s="56">
        <f t="shared" si="131"/>
        <v>31.797135959999991</v>
      </c>
      <c r="I205" s="56">
        <f t="shared" si="131"/>
        <v>56.846390059999948</v>
      </c>
      <c r="J205" s="56">
        <f t="shared" si="131"/>
        <v>78.867702199999883</v>
      </c>
      <c r="K205" s="56">
        <f t="shared" si="131"/>
        <v>110.13345632007578</v>
      </c>
      <c r="L205" s="56">
        <f t="shared" si="131"/>
        <v>146.00865170685708</v>
      </c>
      <c r="M205" s="56">
        <f t="shared" si="131"/>
        <v>187.67042595470701</v>
      </c>
      <c r="N205" s="56">
        <f t="shared" si="131"/>
        <v>241.35639766391569</v>
      </c>
      <c r="O205" s="56">
        <f t="shared" si="131"/>
        <v>301.11023041043495</v>
      </c>
      <c r="P205" s="56">
        <f t="shared" si="131"/>
        <v>371.46397400635021</v>
      </c>
      <c r="R205" s="57"/>
      <c r="S205" s="57">
        <f>(P205/J205)^(1/6)-1</f>
        <v>0.29470130410499351</v>
      </c>
    </row>
    <row r="206" spans="1:19" x14ac:dyDescent="0.2">
      <c r="A206" s="19" t="s">
        <v>4</v>
      </c>
      <c r="E206" s="59"/>
      <c r="F206" s="59">
        <f t="shared" ref="F206:P206" si="132">F205/E205-1</f>
        <v>7.4308116133867008E-2</v>
      </c>
      <c r="G206" s="59">
        <f t="shared" si="132"/>
        <v>0.28301505769633928</v>
      </c>
      <c r="H206" s="59">
        <f t="shared" si="132"/>
        <v>0.37658246389414174</v>
      </c>
      <c r="I206" s="59">
        <f t="shared" si="132"/>
        <v>0.78778334411977524</v>
      </c>
      <c r="J206" s="59">
        <f t="shared" si="132"/>
        <v>0.38738277165457635</v>
      </c>
      <c r="K206" s="59">
        <f t="shared" si="132"/>
        <v>0.39643292815593068</v>
      </c>
      <c r="L206" s="59">
        <f t="shared" si="132"/>
        <v>0.32574293575713154</v>
      </c>
      <c r="M206" s="59">
        <f t="shared" si="132"/>
        <v>0.28533770951802673</v>
      </c>
      <c r="N206" s="59">
        <f t="shared" si="132"/>
        <v>0.28606516682690009</v>
      </c>
      <c r="O206" s="59">
        <f t="shared" si="132"/>
        <v>0.24757509361622709</v>
      </c>
      <c r="P206" s="59">
        <f t="shared" si="132"/>
        <v>0.233647802334773</v>
      </c>
      <c r="R206" s="109"/>
      <c r="S206" s="109"/>
    </row>
    <row r="207" spans="1:19" x14ac:dyDescent="0.2">
      <c r="R207" s="109"/>
      <c r="S207" s="109"/>
    </row>
    <row r="208" spans="1:19" x14ac:dyDescent="0.2">
      <c r="A208" s="67" t="s">
        <v>63</v>
      </c>
      <c r="R208" s="109"/>
      <c r="S208" s="109"/>
    </row>
    <row r="209" spans="1:19" x14ac:dyDescent="0.2">
      <c r="A209" s="68" t="s">
        <v>82</v>
      </c>
      <c r="E209" s="46">
        <v>0.31602357518979479</v>
      </c>
      <c r="F209" s="46">
        <v>0.3232512339701839</v>
      </c>
      <c r="G209" s="46">
        <v>0.3941135821052959</v>
      </c>
      <c r="H209" s="46">
        <v>0.51445701333277616</v>
      </c>
      <c r="I209" s="46">
        <v>0.8701049275854057</v>
      </c>
      <c r="J209" s="46">
        <v>1.1390667799285925</v>
      </c>
      <c r="K209" s="46">
        <v>1.4965716240092375</v>
      </c>
      <c r="L209" s="46">
        <v>1.8607289490414387</v>
      </c>
      <c r="M209" s="46">
        <v>2.2348475105199856</v>
      </c>
      <c r="N209" s="46">
        <v>2.6746536327056134</v>
      </c>
      <c r="O209" s="46">
        <v>3.0905985109320304</v>
      </c>
      <c r="P209" s="46">
        <v>3.5121817425930328</v>
      </c>
      <c r="R209" s="57"/>
      <c r="S209" s="57">
        <f>(P209/J209)^(1/6)-1</f>
        <v>0.20643695677487806</v>
      </c>
    </row>
    <row r="210" spans="1:19" x14ac:dyDescent="0.2">
      <c r="A210" s="62" t="s">
        <v>4</v>
      </c>
      <c r="F210" s="63">
        <f t="shared" ref="F210:P210" si="133">F209/E209-1</f>
        <v>2.2870631648440831E-2</v>
      </c>
      <c r="G210" s="63">
        <f t="shared" si="133"/>
        <v>0.21921756419852745</v>
      </c>
      <c r="H210" s="63">
        <f t="shared" si="133"/>
        <v>0.30535215402784055</v>
      </c>
      <c r="I210" s="63">
        <f t="shared" si="133"/>
        <v>0.691307349371441</v>
      </c>
      <c r="J210" s="63">
        <f t="shared" si="133"/>
        <v>0.30911427325158636</v>
      </c>
      <c r="K210" s="63">
        <f t="shared" si="133"/>
        <v>0.3138576687339234</v>
      </c>
      <c r="L210" s="63">
        <f t="shared" si="133"/>
        <v>0.24332769590849423</v>
      </c>
      <c r="M210" s="63">
        <f t="shared" si="133"/>
        <v>0.20106021442364042</v>
      </c>
      <c r="N210" s="63">
        <f t="shared" si="133"/>
        <v>0.19679468962215552</v>
      </c>
      <c r="O210" s="63">
        <f t="shared" si="133"/>
        <v>0.1555135487975905</v>
      </c>
      <c r="P210" s="63">
        <f t="shared" si="133"/>
        <v>0.13640828149298034</v>
      </c>
      <c r="R210" s="109"/>
      <c r="S210" s="109"/>
    </row>
    <row r="211" spans="1:19" x14ac:dyDescent="0.2">
      <c r="A211" s="68" t="s">
        <v>10</v>
      </c>
      <c r="E211" s="46">
        <v>4.441323466200144</v>
      </c>
      <c r="F211" s="46">
        <v>4.6036265653527702</v>
      </c>
      <c r="G211" s="46">
        <v>5.6937387009584137</v>
      </c>
      <c r="H211" s="46">
        <v>7.5482462824184307</v>
      </c>
      <c r="I211" s="46">
        <v>12.982519869831133</v>
      </c>
      <c r="J211" s="46">
        <v>17.309052194252974</v>
      </c>
      <c r="K211" s="46">
        <v>23.200435492833883</v>
      </c>
      <c r="L211" s="46">
        <v>29.485192187896576</v>
      </c>
      <c r="M211" s="46">
        <v>36.280390788680876</v>
      </c>
      <c r="N211" s="46">
        <v>44.600451449872814</v>
      </c>
      <c r="O211" s="46">
        <v>53.101790989596182</v>
      </c>
      <c r="P211" s="46">
        <v>62.408066406292953</v>
      </c>
      <c r="R211" s="57"/>
      <c r="S211" s="57">
        <f>(P211/J211)^(1/6)-1</f>
        <v>0.23830579856778211</v>
      </c>
    </row>
    <row r="212" spans="1:19" x14ac:dyDescent="0.2">
      <c r="A212" s="62" t="s">
        <v>4</v>
      </c>
      <c r="F212" s="63">
        <f t="shared" ref="F212:P212" si="134">F211/E211-1</f>
        <v>3.654385914194358E-2</v>
      </c>
      <c r="G212" s="63">
        <f t="shared" si="134"/>
        <v>0.23679421432874403</v>
      </c>
      <c r="H212" s="63">
        <f t="shared" si="134"/>
        <v>0.32570999107279941</v>
      </c>
      <c r="I212" s="63">
        <f t="shared" si="134"/>
        <v>0.7199385637522655</v>
      </c>
      <c r="J212" s="63">
        <f t="shared" si="134"/>
        <v>0.33325828635747867</v>
      </c>
      <c r="K212" s="63">
        <f t="shared" si="134"/>
        <v>0.34036429219024433</v>
      </c>
      <c r="L212" s="63">
        <f t="shared" si="134"/>
        <v>0.27088960019754449</v>
      </c>
      <c r="M212" s="63">
        <f t="shared" si="134"/>
        <v>0.23046139762228424</v>
      </c>
      <c r="N212" s="63">
        <f t="shared" si="134"/>
        <v>0.22932665498707139</v>
      </c>
      <c r="O212" s="63">
        <f t="shared" si="134"/>
        <v>0.19061106476193768</v>
      </c>
      <c r="P212" s="63">
        <f t="shared" si="134"/>
        <v>0.17525351298452585</v>
      </c>
      <c r="R212" s="109"/>
      <c r="S212" s="109"/>
    </row>
    <row r="213" spans="1:19" x14ac:dyDescent="0.2">
      <c r="A213" s="68" t="s">
        <v>11</v>
      </c>
      <c r="E213" s="46">
        <v>11.549152715656781</v>
      </c>
      <c r="F213" s="46">
        <v>12.554690332904309</v>
      </c>
      <c r="G213" s="46">
        <v>16.294783158800172</v>
      </c>
      <c r="H213" s="46">
        <v>22.685568991582365</v>
      </c>
      <c r="I213" s="46">
        <v>41.006760887359746</v>
      </c>
      <c r="J213" s="46">
        <v>57.509358263758493</v>
      </c>
      <c r="K213" s="46">
        <v>81.160523625442266</v>
      </c>
      <c r="L213" s="46">
        <v>108.71596538254752</v>
      </c>
      <c r="M213" s="46">
        <v>141.15814726609452</v>
      </c>
      <c r="N213" s="46">
        <v>183.34692677481576</v>
      </c>
      <c r="O213" s="46">
        <v>230.97094879311373</v>
      </c>
      <c r="P213" s="46">
        <v>287.66083581968246</v>
      </c>
      <c r="R213" s="57"/>
      <c r="S213" s="57">
        <f>(P213/J213)^(1/6)-1</f>
        <v>0.30774691069887949</v>
      </c>
    </row>
    <row r="214" spans="1:19" x14ac:dyDescent="0.2">
      <c r="A214" s="62" t="s">
        <v>4</v>
      </c>
      <c r="F214" s="63">
        <f t="shared" ref="F214:P214" si="135">F213/E213-1</f>
        <v>8.7065920938456109E-2</v>
      </c>
      <c r="G214" s="63">
        <f t="shared" si="135"/>
        <v>0.29790402843258801</v>
      </c>
      <c r="H214" s="63">
        <f t="shared" si="135"/>
        <v>0.39219827416548214</v>
      </c>
      <c r="I214" s="63">
        <f t="shared" si="135"/>
        <v>0.80761438703942523</v>
      </c>
      <c r="J214" s="63">
        <f t="shared" si="135"/>
        <v>0.40243601345956681</v>
      </c>
      <c r="K214" s="63">
        <f t="shared" si="135"/>
        <v>0.41125768180564748</v>
      </c>
      <c r="L214" s="63">
        <f t="shared" si="135"/>
        <v>0.33951779173178176</v>
      </c>
      <c r="M214" s="63">
        <f t="shared" si="135"/>
        <v>0.29841230558354614</v>
      </c>
      <c r="N214" s="63">
        <f t="shared" si="135"/>
        <v>0.29887597935946264</v>
      </c>
      <c r="O214" s="63">
        <f t="shared" si="135"/>
        <v>0.25974813353042547</v>
      </c>
      <c r="P214" s="63">
        <f t="shared" si="135"/>
        <v>0.24544163377597417</v>
      </c>
      <c r="R214" s="109"/>
      <c r="S214" s="109"/>
    </row>
    <row r="215" spans="1:19" x14ac:dyDescent="0.2">
      <c r="A215" s="68" t="s">
        <v>22</v>
      </c>
      <c r="E215" s="43">
        <v>0.45161503295327748</v>
      </c>
      <c r="F215" s="43">
        <v>0.52181059777273431</v>
      </c>
      <c r="G215" s="43">
        <v>0.71597055813610877</v>
      </c>
      <c r="H215" s="43">
        <v>1.0488636726664236</v>
      </c>
      <c r="I215" s="43">
        <v>1.9870043752236783</v>
      </c>
      <c r="J215" s="43">
        <v>2.9102249620598402</v>
      </c>
      <c r="K215" s="43">
        <v>4.2759255777903942</v>
      </c>
      <c r="L215" s="43">
        <v>5.9467651873715539</v>
      </c>
      <c r="M215" s="43">
        <v>7.9970403894116782</v>
      </c>
      <c r="N215" s="43">
        <v>10.73436580652147</v>
      </c>
      <c r="O215" s="43">
        <v>13.946892116792982</v>
      </c>
      <c r="P215" s="43">
        <v>17.882890037781728</v>
      </c>
      <c r="R215" s="57"/>
      <c r="S215" s="57">
        <f>(P215/J215)^(1/6)-1</f>
        <v>0.35337616644458802</v>
      </c>
    </row>
    <row r="216" spans="1:19" x14ac:dyDescent="0.2">
      <c r="A216" s="62" t="s">
        <v>4</v>
      </c>
      <c r="F216" s="63">
        <f t="shared" ref="F216:P216" si="136">F215/E215-1</f>
        <v>0.15543230339438008</v>
      </c>
      <c r="G216" s="63">
        <f t="shared" si="136"/>
        <v>0.37208895563278221</v>
      </c>
      <c r="H216" s="63">
        <f t="shared" si="136"/>
        <v>0.46495363635753084</v>
      </c>
      <c r="I216" s="63">
        <f t="shared" si="136"/>
        <v>0.89443530842508001</v>
      </c>
      <c r="J216" s="63">
        <f t="shared" si="136"/>
        <v>0.46462936788059883</v>
      </c>
      <c r="K216" s="63">
        <f t="shared" si="136"/>
        <v>0.4692766482093258</v>
      </c>
      <c r="L216" s="63">
        <f t="shared" si="136"/>
        <v>0.39075507259987785</v>
      </c>
      <c r="M216" s="63">
        <f t="shared" si="136"/>
        <v>0.34477150811235191</v>
      </c>
      <c r="N216" s="63">
        <f t="shared" si="136"/>
        <v>0.34229230863133986</v>
      </c>
      <c r="O216" s="63">
        <f t="shared" si="136"/>
        <v>0.29927490530645029</v>
      </c>
      <c r="P216" s="63">
        <f t="shared" si="136"/>
        <v>0.2822132621395661</v>
      </c>
      <c r="R216" s="109"/>
      <c r="S216" s="109"/>
    </row>
    <row r="217" spans="1:19" x14ac:dyDescent="0.2">
      <c r="A217" s="77" t="s">
        <v>23</v>
      </c>
      <c r="E217" s="56">
        <f t="shared" ref="E217:P217" si="137">E215+E213+E211+E209</f>
        <v>16.75811479</v>
      </c>
      <c r="F217" s="56">
        <f t="shared" si="137"/>
        <v>18.003378729999998</v>
      </c>
      <c r="G217" s="56">
        <f t="shared" si="137"/>
        <v>23.09860599999999</v>
      </c>
      <c r="H217" s="56">
        <f t="shared" si="137"/>
        <v>31.797135959999995</v>
      </c>
      <c r="I217" s="56">
        <f t="shared" si="137"/>
        <v>56.846390059999969</v>
      </c>
      <c r="J217" s="56">
        <f t="shared" si="137"/>
        <v>78.867702199999911</v>
      </c>
      <c r="K217" s="56">
        <f t="shared" si="137"/>
        <v>110.13345632007578</v>
      </c>
      <c r="L217" s="56">
        <f t="shared" si="137"/>
        <v>146.00865170685708</v>
      </c>
      <c r="M217" s="56">
        <f t="shared" si="137"/>
        <v>187.67042595470704</v>
      </c>
      <c r="N217" s="56">
        <f t="shared" si="137"/>
        <v>241.35639766391569</v>
      </c>
      <c r="O217" s="56">
        <f t="shared" si="137"/>
        <v>301.11023041043489</v>
      </c>
      <c r="P217" s="56">
        <f t="shared" si="137"/>
        <v>371.46397400635021</v>
      </c>
      <c r="R217" s="57"/>
      <c r="S217" s="57">
        <f>(P217/J217)^(1/6)-1</f>
        <v>0.29470130410499351</v>
      </c>
    </row>
    <row r="218" spans="1:19" x14ac:dyDescent="0.2">
      <c r="A218" s="74" t="s">
        <v>4</v>
      </c>
      <c r="E218" s="59"/>
      <c r="F218" s="59">
        <f t="shared" ref="F218:P218" si="138">F217/E217-1</f>
        <v>7.430811613386723E-2</v>
      </c>
      <c r="G218" s="59">
        <f t="shared" si="138"/>
        <v>0.28301505769633906</v>
      </c>
      <c r="H218" s="59">
        <f t="shared" si="138"/>
        <v>0.37658246389414196</v>
      </c>
      <c r="I218" s="59">
        <f t="shared" si="138"/>
        <v>0.78778334411977591</v>
      </c>
      <c r="J218" s="59">
        <f t="shared" si="138"/>
        <v>0.38738277165457635</v>
      </c>
      <c r="K218" s="59">
        <f t="shared" si="138"/>
        <v>0.39643292815593023</v>
      </c>
      <c r="L218" s="59">
        <f t="shared" si="138"/>
        <v>0.32574293575713154</v>
      </c>
      <c r="M218" s="59">
        <f t="shared" si="138"/>
        <v>0.28533770951802695</v>
      </c>
      <c r="N218" s="59">
        <f t="shared" si="138"/>
        <v>0.28606516682689986</v>
      </c>
      <c r="O218" s="59">
        <f t="shared" si="138"/>
        <v>0.24757509361622687</v>
      </c>
      <c r="P218" s="59">
        <f t="shared" si="138"/>
        <v>0.23364780233477322</v>
      </c>
      <c r="R218" s="109"/>
      <c r="S218" s="109"/>
    </row>
    <row r="219" spans="1:19" x14ac:dyDescent="0.2">
      <c r="R219" s="109"/>
      <c r="S219" s="109"/>
    </row>
    <row r="220" spans="1:19" x14ac:dyDescent="0.2">
      <c r="A220" s="67" t="s">
        <v>175</v>
      </c>
      <c r="B220" s="79"/>
      <c r="R220" s="109"/>
      <c r="S220" s="109"/>
    </row>
    <row r="221" spans="1:19" x14ac:dyDescent="0.2">
      <c r="A221" s="85" t="s">
        <v>40</v>
      </c>
      <c r="B221" s="52">
        <v>2016</v>
      </c>
      <c r="C221" s="52">
        <v>2017</v>
      </c>
      <c r="D221" s="52">
        <v>2018</v>
      </c>
      <c r="E221" s="52">
        <v>2019</v>
      </c>
      <c r="F221" s="52">
        <v>2020</v>
      </c>
      <c r="G221" s="52">
        <v>2021</v>
      </c>
      <c r="H221" s="52">
        <v>2022</v>
      </c>
      <c r="I221" s="52">
        <v>2023</v>
      </c>
      <c r="J221" s="52">
        <v>2024</v>
      </c>
      <c r="K221" s="52" t="s">
        <v>42</v>
      </c>
      <c r="L221" s="52" t="s">
        <v>1</v>
      </c>
      <c r="M221" s="52" t="s">
        <v>2</v>
      </c>
      <c r="N221" s="52" t="s">
        <v>43</v>
      </c>
      <c r="O221" s="52" t="s">
        <v>44</v>
      </c>
      <c r="P221" s="52" t="s">
        <v>45</v>
      </c>
      <c r="R221" s="109"/>
      <c r="S221" s="109"/>
    </row>
    <row r="222" spans="1:19" x14ac:dyDescent="0.2">
      <c r="A222" s="32" t="s">
        <v>105</v>
      </c>
      <c r="B222" s="43">
        <v>116.5833121113461</v>
      </c>
      <c r="C222" s="43">
        <v>127.17566526800213</v>
      </c>
      <c r="D222" s="43">
        <v>136.60637856317663</v>
      </c>
      <c r="E222" s="43">
        <v>147.3516655268597</v>
      </c>
      <c r="F222" s="43">
        <v>138.98680879540203</v>
      </c>
      <c r="G222" s="43">
        <v>155.01462397159784</v>
      </c>
      <c r="H222" s="43">
        <v>168.94184291728715</v>
      </c>
      <c r="I222" s="43">
        <v>198.09119313377516</v>
      </c>
      <c r="J222" s="43">
        <v>206.28326691836631</v>
      </c>
      <c r="K222" s="43">
        <v>216.12646246210383</v>
      </c>
      <c r="L222" s="43">
        <v>227.51778929425447</v>
      </c>
      <c r="M222" s="43">
        <v>241.6689441040927</v>
      </c>
      <c r="N222" s="43">
        <v>256.39074943581312</v>
      </c>
      <c r="O222" s="43">
        <v>272.13542861930733</v>
      </c>
      <c r="P222" s="43">
        <v>288.84697155719454</v>
      </c>
      <c r="R222" s="109"/>
      <c r="S222" s="109"/>
    </row>
    <row r="223" spans="1:19" x14ac:dyDescent="0.2">
      <c r="A223" s="32" t="s">
        <v>91</v>
      </c>
      <c r="B223" s="44">
        <v>2.4000000000000056E-2</v>
      </c>
      <c r="C223" s="44">
        <v>4.0999999999999946E-2</v>
      </c>
      <c r="D223" s="44">
        <v>5.5999999999999946E-2</v>
      </c>
      <c r="E223" s="44">
        <v>5.0999999999999941E-2</v>
      </c>
      <c r="F223" s="44">
        <v>-4.2999999999999969E-2</v>
      </c>
      <c r="G223" s="44">
        <v>7.2000000000000008E-2</v>
      </c>
      <c r="H223" s="44">
        <v>4.2999999999999969E-2</v>
      </c>
      <c r="I223" s="44">
        <v>-8.0000000000000002E-3</v>
      </c>
      <c r="J223" s="44">
        <v>5.0000000000000001E-3</v>
      </c>
      <c r="K223" s="44">
        <v>6.8156372691351172E-3</v>
      </c>
      <c r="L223" s="44">
        <v>2.5647398186646912E-2</v>
      </c>
      <c r="M223" s="44">
        <v>2.9765E-2</v>
      </c>
      <c r="N223" s="44">
        <v>2.8523333333333328E-2</v>
      </c>
      <c r="O223" s="44">
        <v>2.8999999999999998E-2</v>
      </c>
      <c r="P223" s="44">
        <v>2.8999999999999998E-2</v>
      </c>
      <c r="R223" s="109"/>
      <c r="S223" s="109"/>
    </row>
    <row r="224" spans="1:19" x14ac:dyDescent="0.2">
      <c r="A224" s="32" t="s">
        <v>92</v>
      </c>
      <c r="B224" s="43">
        <v>11969.714967205997</v>
      </c>
      <c r="C224" s="43">
        <v>13092.462648508941</v>
      </c>
      <c r="D224" s="43">
        <v>14082.736913271774</v>
      </c>
      <c r="E224" s="43">
        <v>15207.549539501792</v>
      </c>
      <c r="F224" s="43">
        <v>14400.597877917347</v>
      </c>
      <c r="G224" s="43">
        <v>16129.87758906654</v>
      </c>
      <c r="H224" s="43">
        <v>17598.577932628948</v>
      </c>
      <c r="I224" s="43">
        <v>20667.595424816755</v>
      </c>
      <c r="J224" s="43">
        <v>21622.98395370716</v>
      </c>
      <c r="K224" s="43">
        <v>22726.896880933069</v>
      </c>
      <c r="L224" s="43">
        <v>23996.140427056722</v>
      </c>
      <c r="M224" s="43">
        <v>25580.096735409905</v>
      </c>
      <c r="N224" s="43">
        <v>27239.565547434766</v>
      </c>
      <c r="O224" s="43">
        <v>29024.634386126439</v>
      </c>
      <c r="P224" s="43">
        <v>30931.530969703577</v>
      </c>
      <c r="R224" s="109"/>
      <c r="S224" s="109"/>
    </row>
    <row r="225" spans="1:19" x14ac:dyDescent="0.2">
      <c r="A225" s="32" t="s">
        <v>93</v>
      </c>
      <c r="B225" s="44">
        <v>4.9000000000000057E-2</v>
      </c>
      <c r="C225" s="44">
        <v>5.2000000000000025E-2</v>
      </c>
      <c r="D225" s="44">
        <v>4.7000000000000028E-2</v>
      </c>
      <c r="E225" s="44">
        <v>5.2999999999999971E-2</v>
      </c>
      <c r="F225" s="44">
        <v>-1.2999999999999972E-2</v>
      </c>
      <c r="G225" s="44">
        <v>5.0999999999999941E-2</v>
      </c>
      <c r="H225" s="44">
        <v>6.5000000000000002E-2</v>
      </c>
      <c r="I225" s="44">
        <v>-1.3999999999999999E-2</v>
      </c>
      <c r="J225" s="44">
        <v>5.0999999999999997E-2</v>
      </c>
      <c r="K225" s="44">
        <v>3.828567717791638E-2</v>
      </c>
      <c r="L225" s="44">
        <v>3.9000016124851968E-2</v>
      </c>
      <c r="M225" s="44">
        <v>3.1199999999999995E-2</v>
      </c>
      <c r="N225" s="44">
        <v>2.7000000000000003E-2</v>
      </c>
      <c r="O225" s="44">
        <v>2.6500000000000003E-2</v>
      </c>
      <c r="P225" s="44">
        <v>2.7000000000000003E-2</v>
      </c>
      <c r="R225" s="109"/>
      <c r="S225" s="109"/>
    </row>
    <row r="226" spans="1:19" x14ac:dyDescent="0.2">
      <c r="A226" s="32" t="s">
        <v>94</v>
      </c>
      <c r="B226" s="44">
        <v>-0.10400000000000005</v>
      </c>
      <c r="C226" s="44">
        <v>0.19700000000000004</v>
      </c>
      <c r="D226" s="44">
        <v>0.16400000000000006</v>
      </c>
      <c r="E226" s="44">
        <v>0.12700000000000003</v>
      </c>
      <c r="F226" s="44">
        <v>-7.2999999999999968E-2</v>
      </c>
      <c r="G226" s="44">
        <v>5.700000000000003E-2</v>
      </c>
      <c r="H226" s="44">
        <v>6.9999999999999993E-3</v>
      </c>
      <c r="I226" s="44">
        <v>-7.6999999999999999E-2</v>
      </c>
      <c r="J226" s="44">
        <v>-0.111</v>
      </c>
      <c r="K226" s="44">
        <v>-5.96E-2</v>
      </c>
      <c r="L226" s="44">
        <v>2.789246265673876E-2</v>
      </c>
      <c r="M226" s="44">
        <v>4.1500000000000002E-2</v>
      </c>
      <c r="N226" s="44">
        <v>4.3499999999999997E-2</v>
      </c>
      <c r="O226" s="44">
        <v>4.0500000000000001E-2</v>
      </c>
      <c r="P226" s="44">
        <v>3.2000000000000001E-2</v>
      </c>
      <c r="R226" s="109"/>
      <c r="S226" s="109"/>
    </row>
    <row r="227" spans="1:19" x14ac:dyDescent="0.2">
      <c r="A227" s="32" t="s">
        <v>95</v>
      </c>
      <c r="B227" s="44">
        <v>-3.7848963999999999E-2</v>
      </c>
      <c r="C227" s="44">
        <v>-4.7592772999999998E-2</v>
      </c>
      <c r="D227" s="44">
        <v>-4.4361964000000004E-2</v>
      </c>
      <c r="E227" s="44">
        <v>-5.2198317000000001E-2</v>
      </c>
      <c r="F227" s="44">
        <v>-2.3305872000000002E-2</v>
      </c>
      <c r="G227" s="44">
        <v>-2.5982155999999999E-2</v>
      </c>
      <c r="H227" s="44">
        <v>-2.7729752E-2</v>
      </c>
      <c r="I227" s="44">
        <v>-2.0028754999999999E-2</v>
      </c>
      <c r="J227" s="44">
        <v>-1.7916472000000003E-2</v>
      </c>
      <c r="K227" s="44">
        <v>-1.7080626545454544E-2</v>
      </c>
      <c r="L227" s="44">
        <v>-1.4651994138047136E-2</v>
      </c>
      <c r="M227" s="44">
        <v>-1.1876994138047136E-2</v>
      </c>
      <c r="N227" s="44">
        <v>-9.6919941380471403E-3</v>
      </c>
      <c r="O227" s="44">
        <v>-9.0519941380471352E-3</v>
      </c>
      <c r="P227" s="44">
        <v>-7.8219941380471367E-3</v>
      </c>
      <c r="R227" s="109"/>
      <c r="S227" s="109"/>
    </row>
    <row r="228" spans="1:19" x14ac:dyDescent="0.2">
      <c r="A228" s="32" t="s">
        <v>96</v>
      </c>
      <c r="B228" s="44">
        <v>0.71801100000000007</v>
      </c>
      <c r="C228" s="44">
        <v>0.78188400000000002</v>
      </c>
      <c r="D228" s="44">
        <v>0.80174299999999998</v>
      </c>
      <c r="E228" s="44">
        <v>0.80468300000000004</v>
      </c>
      <c r="F228" s="44">
        <v>0.78364</v>
      </c>
      <c r="G228" s="44">
        <v>0.77220200000000006</v>
      </c>
      <c r="H228" s="44">
        <v>0.76490499999999995</v>
      </c>
      <c r="I228" s="44">
        <v>0.75724100000000005</v>
      </c>
      <c r="J228" s="44">
        <v>0.75880642857142855</v>
      </c>
      <c r="K228" s="44">
        <v>0.75975742857142858</v>
      </c>
      <c r="L228" s="44">
        <v>0.75115062857142856</v>
      </c>
      <c r="M228" s="44">
        <v>0.75137062857142867</v>
      </c>
      <c r="N228" s="44">
        <v>0.75110062857142867</v>
      </c>
      <c r="O228" s="44">
        <v>0.75038062857142862</v>
      </c>
      <c r="P228" s="44">
        <v>0.74860062857142862</v>
      </c>
      <c r="R228" s="109"/>
      <c r="S228" s="109"/>
    </row>
    <row r="229" spans="1:19" x14ac:dyDescent="0.2">
      <c r="A229" s="32" t="s">
        <v>97</v>
      </c>
      <c r="B229" s="44">
        <v>-2.0767000000000001E-2</v>
      </c>
      <c r="C229" s="44">
        <v>-3.6859000000000003E-2</v>
      </c>
      <c r="D229" s="44">
        <v>-3.7124000000000004E-2</v>
      </c>
      <c r="E229" s="44">
        <v>-3.9111E-2</v>
      </c>
      <c r="F229" s="44">
        <v>-6.2206000000000004E-2</v>
      </c>
      <c r="G229" s="44">
        <v>-7.3541999999999996E-2</v>
      </c>
      <c r="H229" s="44">
        <v>-7.2558999999999998E-2</v>
      </c>
      <c r="I229" s="44">
        <v>-6.5915000000000001E-2</v>
      </c>
      <c r="J229" s="44">
        <v>-4.4776999999999997E-2</v>
      </c>
      <c r="K229" s="44">
        <v>-4.1935E-2</v>
      </c>
      <c r="L229" s="44">
        <v>-4.7100000000000003E-2</v>
      </c>
      <c r="M229" s="44">
        <v>-4.6609999999999999E-2</v>
      </c>
      <c r="N229" s="44">
        <v>-4.7899999999999991E-2</v>
      </c>
      <c r="O229" s="44">
        <v>-4.8059999999999992E-2</v>
      </c>
      <c r="P229" s="44">
        <v>-4.6789999999999991E-2</v>
      </c>
      <c r="R229" s="109"/>
      <c r="S229" s="109"/>
    </row>
    <row r="230" spans="1:19" x14ac:dyDescent="0.2">
      <c r="A230" s="32" t="s">
        <v>98</v>
      </c>
      <c r="B230" s="44">
        <v>4.0000000000000565E-3</v>
      </c>
      <c r="C230" s="44">
        <v>2.4000000000000056E-2</v>
      </c>
      <c r="D230" s="44">
        <v>2.7999999999999973E-2</v>
      </c>
      <c r="E230" s="44">
        <v>3.4000000000000002E-2</v>
      </c>
      <c r="F230" s="44">
        <v>5.0999999999999997E-2</v>
      </c>
      <c r="G230" s="44">
        <v>5.0999999999999997E-2</v>
      </c>
      <c r="H230" s="44">
        <v>0.14499999999999999</v>
      </c>
      <c r="I230" s="44">
        <v>0.17600000000000002</v>
      </c>
      <c r="J230" s="44">
        <v>3.7000000000000005E-2</v>
      </c>
      <c r="K230" s="44">
        <v>4.6862357318940291E-2</v>
      </c>
      <c r="L230" s="44">
        <v>3.8339106803339601E-2</v>
      </c>
      <c r="M230" s="44">
        <v>3.2144000000000006E-2</v>
      </c>
      <c r="N230" s="44">
        <v>3.1756666666666669E-2</v>
      </c>
      <c r="O230" s="44">
        <v>3.0515E-2</v>
      </c>
      <c r="P230" s="44">
        <v>3.0549999999999997E-2</v>
      </c>
    </row>
    <row r="231" spans="1:19" x14ac:dyDescent="0.2">
      <c r="A231" s="32" t="s">
        <v>99</v>
      </c>
      <c r="B231" s="43">
        <v>820.16166526845382</v>
      </c>
      <c r="C231" s="43">
        <v>932.11549957362558</v>
      </c>
      <c r="D231" s="43">
        <v>1004.5135853052689</v>
      </c>
      <c r="E231" s="43">
        <v>1097.4304846279852</v>
      </c>
      <c r="F231" s="43">
        <v>1116.3785606942317</v>
      </c>
      <c r="G231" s="43">
        <v>1188.9488457089719</v>
      </c>
      <c r="H231" s="43">
        <v>1279.8495024985527</v>
      </c>
      <c r="I231" s="43">
        <v>1498.0316138697792</v>
      </c>
      <c r="J231" s="43">
        <v>1637.1023750838908</v>
      </c>
      <c r="K231" s="43">
        <v>1758.4629651424664</v>
      </c>
      <c r="L231" s="43">
        <v>1894.9848433565146</v>
      </c>
      <c r="M231" s="43">
        <v>2019.0035212501903</v>
      </c>
      <c r="N231" s="43">
        <v>2133.9286223854242</v>
      </c>
      <c r="O231" s="43">
        <v>2250.9977289218846</v>
      </c>
      <c r="P231" s="43">
        <v>2372.074702590171</v>
      </c>
    </row>
    <row r="232" spans="1:19" x14ac:dyDescent="0.2">
      <c r="A232" s="32" t="s">
        <v>100</v>
      </c>
      <c r="B232" s="44">
        <v>5.6157452109099948E-2</v>
      </c>
      <c r="C232" s="44">
        <v>0.13650215444844926</v>
      </c>
      <c r="D232" s="44">
        <v>7.7670724030187266E-2</v>
      </c>
      <c r="E232" s="44">
        <v>9.2499395410843732E-2</v>
      </c>
      <c r="F232" s="44">
        <v>1.7265855406476849E-2</v>
      </c>
      <c r="G232" s="44">
        <v>6.5005086598592055E-2</v>
      </c>
      <c r="H232" s="44">
        <v>7.6454640683364827E-2</v>
      </c>
      <c r="I232" s="44">
        <v>0.17047481828549849</v>
      </c>
      <c r="J232" s="44">
        <v>9.2835665099789244E-2</v>
      </c>
      <c r="K232" s="44">
        <v>7.4131338336343555E-2</v>
      </c>
      <c r="L232" s="44">
        <v>7.7637050606287561E-2</v>
      </c>
      <c r="M232" s="44">
        <v>6.544573605876769E-2</v>
      </c>
      <c r="N232" s="44">
        <v>5.6921694254436384E-2</v>
      </c>
      <c r="O232" s="44">
        <v>5.4860835225872817E-2</v>
      </c>
      <c r="P232" s="44">
        <v>5.3788136750487103E-2</v>
      </c>
    </row>
    <row r="233" spans="1:19" x14ac:dyDescent="0.2">
      <c r="A233" s="32" t="s">
        <v>101</v>
      </c>
      <c r="B233" s="44">
        <v>5.7269606654294591E-2</v>
      </c>
      <c r="C233" s="44">
        <v>0.10215663603702518</v>
      </c>
      <c r="D233" s="44">
        <v>8.0598840069537436E-2</v>
      </c>
      <c r="E233" s="44">
        <v>7.8179900846949479E-2</v>
      </c>
      <c r="F233" s="44">
        <v>4.4719314938154398E-2</v>
      </c>
      <c r="G233" s="44">
        <v>3.4253092293054177E-2</v>
      </c>
      <c r="H233" s="44">
        <v>2.7036640627126296E-2</v>
      </c>
      <c r="I233" s="44">
        <v>-3.0286075322278005E-2</v>
      </c>
      <c r="J233" s="44">
        <v>9.1610414657666617E-2</v>
      </c>
      <c r="K233" s="44">
        <v>3.836702024193972E-2</v>
      </c>
      <c r="L233" s="44">
        <v>4.6909869944445459E-2</v>
      </c>
      <c r="M233" s="44">
        <v>3.6117495255702181E-2</v>
      </c>
      <c r="N233" s="44">
        <v>2.821395097955004E-2</v>
      </c>
      <c r="O233" s="44">
        <v>2.7445546747723037E-2</v>
      </c>
      <c r="P233" s="44">
        <v>2.6365868071333676E-2</v>
      </c>
    </row>
    <row r="234" spans="1:19" x14ac:dyDescent="0.2">
      <c r="A234" s="32" t="s">
        <v>102</v>
      </c>
      <c r="B234" s="44">
        <v>4.4887927539680961E-2</v>
      </c>
      <c r="C234" s="44">
        <v>5.9466312663112308E-2</v>
      </c>
      <c r="D234" s="44">
        <v>8.0145761692559159E-2</v>
      </c>
      <c r="E234" s="44">
        <v>6.5027624191401845E-2</v>
      </c>
      <c r="F234" s="44">
        <v>1.6112690113994077E-3</v>
      </c>
      <c r="G234" s="44">
        <v>7.7059839000000352E-2</v>
      </c>
      <c r="H234" s="44">
        <v>4.1773862854057819E-2</v>
      </c>
      <c r="I234" s="44">
        <v>2.7255998380661062E-2</v>
      </c>
      <c r="J234" s="44">
        <v>2.5152826766500658E-2</v>
      </c>
      <c r="K234" s="44">
        <v>3.0210977263549932E-2</v>
      </c>
      <c r="L234" s="44">
        <v>3.3289443334031388E-2</v>
      </c>
      <c r="M234" s="44">
        <v>3.0754726129107013E-2</v>
      </c>
      <c r="N234" s="44">
        <v>2.7716613213152774E-2</v>
      </c>
      <c r="O234" s="44">
        <v>2.6730729802014741E-2</v>
      </c>
      <c r="P234" s="44">
        <v>2.5714929453672708E-2</v>
      </c>
    </row>
    <row r="235" spans="1:19" x14ac:dyDescent="0.2">
      <c r="A235" s="32" t="s">
        <v>103</v>
      </c>
      <c r="B235" s="44">
        <v>4.9749999999999996E-2</v>
      </c>
      <c r="C235" s="44">
        <v>0.04</v>
      </c>
      <c r="D235" s="44">
        <v>3.6000000000000004E-2</v>
      </c>
      <c r="E235" s="44">
        <v>3.3000000000000002E-2</v>
      </c>
      <c r="F235" s="44">
        <v>4.0999999999999995E-2</v>
      </c>
      <c r="G235" s="44">
        <v>0.04</v>
      </c>
      <c r="H235" s="44">
        <v>3.6000000000000004E-2</v>
      </c>
      <c r="I235" s="44">
        <v>4.0999999999999995E-2</v>
      </c>
      <c r="J235" s="44">
        <v>4.4999999999999998E-2</v>
      </c>
      <c r="K235" s="44">
        <v>4.4597315177778256E-2</v>
      </c>
      <c r="L235" s="44">
        <v>4.3114694597031197E-2</v>
      </c>
      <c r="M235" s="44">
        <v>4.1567565840016314E-2</v>
      </c>
      <c r="N235" s="44">
        <v>4.0083882112102752E-2</v>
      </c>
      <c r="O235" s="44">
        <v>3.9370884839741611E-2</v>
      </c>
      <c r="P235" s="44">
        <v>3.8845138979675217E-2</v>
      </c>
    </row>
    <row r="236" spans="1:19" x14ac:dyDescent="0.2">
      <c r="A236" s="32" t="s">
        <v>104</v>
      </c>
      <c r="B236" s="43">
        <v>9739.857</v>
      </c>
      <c r="C236" s="43">
        <v>9713.6550000000007</v>
      </c>
      <c r="D236" s="43">
        <v>9700.2720000000008</v>
      </c>
      <c r="E236" s="43">
        <v>9689.3760000000002</v>
      </c>
      <c r="F236" s="43">
        <v>9651.4609999999993</v>
      </c>
      <c r="G236" s="43">
        <v>9610.4030000000002</v>
      </c>
      <c r="H236" s="43">
        <v>9599.7440000000006</v>
      </c>
      <c r="I236" s="43">
        <v>9584.6270000000004</v>
      </c>
      <c r="J236" s="43">
        <v>9540</v>
      </c>
      <c r="K236" s="43">
        <v>9509.7216128711807</v>
      </c>
      <c r="L236" s="43">
        <v>9481.432648965414</v>
      </c>
      <c r="M236" s="43">
        <v>9447.5383187099633</v>
      </c>
      <c r="N236" s="43">
        <v>9412.4390122645782</v>
      </c>
      <c r="O236" s="43">
        <v>9376.0157319806258</v>
      </c>
      <c r="P236" s="43">
        <v>9338.2694778383484</v>
      </c>
    </row>
    <row r="237" spans="1:19" x14ac:dyDescent="0.2">
      <c r="A237" s="32" t="s">
        <v>106</v>
      </c>
      <c r="B237" s="131">
        <v>1.9350901582674389</v>
      </c>
      <c r="C237" s="131">
        <v>1.3953709466074236</v>
      </c>
      <c r="D237" s="131">
        <v>1.9240260701842284</v>
      </c>
      <c r="E237" s="131">
        <v>2.3112820207310429</v>
      </c>
      <c r="F237" s="131">
        <v>2.8627521952663675</v>
      </c>
      <c r="G237" s="131">
        <v>4.1257313474566368</v>
      </c>
      <c r="H237" s="131">
        <v>2.2177103671156018</v>
      </c>
      <c r="I237" s="131">
        <v>4.8765336587834165</v>
      </c>
      <c r="J237" s="131">
        <v>3.0375343543944302</v>
      </c>
      <c r="K237" s="131">
        <v>9.3937078689507807</v>
      </c>
      <c r="L237" s="131">
        <v>9.4672243397403406</v>
      </c>
      <c r="M237" s="131">
        <v>4.0833113986485374</v>
      </c>
      <c r="N237" s="131">
        <v>5.4103873003846736</v>
      </c>
      <c r="O237" s="131">
        <v>3.1778606475812632</v>
      </c>
      <c r="P237" s="131">
        <v>3.2231605781483181</v>
      </c>
    </row>
    <row r="238" spans="1:19" x14ac:dyDescent="0.2">
      <c r="A238" s="32" t="s">
        <v>107</v>
      </c>
      <c r="B238" s="44">
        <v>1.6598346051613956E-2</v>
      </c>
      <c r="C238" s="44">
        <v>1.0971996440253763E-2</v>
      </c>
      <c r="D238" s="44">
        <v>1.4084452647241652E-2</v>
      </c>
      <c r="E238" s="44">
        <v>1.5685482837720185E-2</v>
      </c>
      <c r="F238" s="44">
        <v>2.059729423301266E-2</v>
      </c>
      <c r="G238" s="44">
        <v>2.6615110508622485E-2</v>
      </c>
      <c r="H238" s="44">
        <v>1.3127063898559332E-2</v>
      </c>
      <c r="I238" s="44">
        <v>2.4617619701498745E-2</v>
      </c>
      <c r="J238" s="44">
        <v>1.4725064227320443E-2</v>
      </c>
      <c r="K238" s="44">
        <v>4.3463941258918712E-2</v>
      </c>
      <c r="L238" s="44">
        <v>4.1610919168593635E-2</v>
      </c>
      <c r="M238" s="44">
        <v>1.6896301731221846E-2</v>
      </c>
      <c r="N238" s="44">
        <v>2.1102115861395977E-2</v>
      </c>
      <c r="O238" s="44">
        <v>1.1677496986350868E-2</v>
      </c>
      <c r="P238" s="44">
        <v>1.1158713421061785E-2</v>
      </c>
    </row>
    <row r="239" spans="1:19" x14ac:dyDescent="0.2">
      <c r="A239" s="32" t="s">
        <v>108</v>
      </c>
      <c r="B239" s="43">
        <v>551.173</v>
      </c>
      <c r="C239" s="43">
        <v>570.005</v>
      </c>
      <c r="D239" s="43">
        <v>599.54700000000003</v>
      </c>
      <c r="E239" s="43">
        <v>647.09100000000001</v>
      </c>
      <c r="F239" s="43">
        <v>668.79600000000005</v>
      </c>
      <c r="G239" s="43">
        <v>747.68076666629997</v>
      </c>
      <c r="H239" s="43">
        <v>768.90881507950007</v>
      </c>
      <c r="I239" s="43">
        <v>705.06258108499981</v>
      </c>
      <c r="J239" s="43">
        <v>701.49093840858347</v>
      </c>
      <c r="K239" s="43">
        <v>704.4523012226681</v>
      </c>
      <c r="L239" s="43">
        <v>716.18391756577932</v>
      </c>
      <c r="M239" s="43">
        <v>734.82507030867475</v>
      </c>
      <c r="N239" s="43">
        <v>746.65995609771483</v>
      </c>
      <c r="O239" s="43">
        <v>758.12127968728612</v>
      </c>
      <c r="P239" s="43">
        <v>768.57922912838012</v>
      </c>
    </row>
    <row r="240" spans="1:19" x14ac:dyDescent="0.2">
      <c r="A240" s="32" t="s">
        <v>109</v>
      </c>
      <c r="B240" s="44">
        <v>2.7138890441847918E-2</v>
      </c>
      <c r="C240" s="44">
        <v>3.4167130828251846E-2</v>
      </c>
      <c r="D240" s="44">
        <v>5.1827615547232142E-2</v>
      </c>
      <c r="E240" s="44">
        <v>7.9299871402909172E-2</v>
      </c>
      <c r="F240" s="44">
        <v>3.3542422935877614E-2</v>
      </c>
      <c r="G240" s="44">
        <v>0.11795041636956571</v>
      </c>
      <c r="H240" s="44">
        <v>2.8391861018239206E-2</v>
      </c>
      <c r="I240" s="44">
        <v>-8.3034857635100656E-2</v>
      </c>
      <c r="J240" s="44">
        <v>-5.0657101542957994E-3</v>
      </c>
      <c r="K240" s="44">
        <v>4.2215268251402094E-3</v>
      </c>
      <c r="L240" s="44">
        <v>1.6653528312349009E-2</v>
      </c>
      <c r="M240" s="44">
        <v>2.6028443652092115E-2</v>
      </c>
      <c r="N240" s="44">
        <v>1.6105718581524098E-2</v>
      </c>
      <c r="O240" s="44">
        <v>1.5350124907557383E-2</v>
      </c>
      <c r="P240" s="44">
        <v>1.3794559948782537E-2</v>
      </c>
    </row>
    <row r="241" spans="1:16" x14ac:dyDescent="0.2">
      <c r="A241" s="32" t="s">
        <v>110</v>
      </c>
      <c r="B241" s="136">
        <v>7.9944203155664528E-2</v>
      </c>
      <c r="C241" s="136">
        <v>7.8886819005242526E-2</v>
      </c>
      <c r="D241" s="136">
        <v>8.0682917139317384E-2</v>
      </c>
      <c r="E241" s="136">
        <v>9.1459132158691822E-2</v>
      </c>
      <c r="F241" s="136">
        <v>9.1232599750357135E-2</v>
      </c>
      <c r="G241" s="136">
        <v>9.9479964616933078E-2</v>
      </c>
      <c r="H241" s="136">
        <v>0.21895085058567154</v>
      </c>
      <c r="I241" s="136">
        <v>0.25783089508365692</v>
      </c>
      <c r="J241" s="136">
        <v>0.20280632853619127</v>
      </c>
      <c r="K241" s="136">
        <v>0.19874106937476754</v>
      </c>
      <c r="L241" s="136">
        <v>0.18814705558748315</v>
      </c>
      <c r="M241" s="136">
        <v>0.19044112635886654</v>
      </c>
      <c r="N241" s="136">
        <v>0.19762423718616548</v>
      </c>
      <c r="O241" s="136">
        <v>0.20490921025817069</v>
      </c>
      <c r="P241" s="136">
        <v>0.21268557213261613</v>
      </c>
    </row>
    <row r="242" spans="1:16" x14ac:dyDescent="0.2">
      <c r="A242" s="32" t="s">
        <v>111</v>
      </c>
      <c r="B242" s="44">
        <v>-9.4084390521205541E-2</v>
      </c>
      <c r="C242" s="44">
        <v>-1.3226526861029542E-2</v>
      </c>
      <c r="D242" s="44">
        <v>2.2768038523083289E-2</v>
      </c>
      <c r="E242" s="44">
        <v>0.13356253593021261</v>
      </c>
      <c r="F242" s="44">
        <v>-2.4768703024825589E-3</v>
      </c>
      <c r="G242" s="44">
        <v>9.0399318764821768E-2</v>
      </c>
      <c r="H242" s="44">
        <v>1.2009542467046939</v>
      </c>
      <c r="I242" s="44">
        <v>0.17757430215039194</v>
      </c>
      <c r="J242" s="44">
        <v>-0.21341339458024278</v>
      </c>
      <c r="K242" s="44">
        <v>-2.0045031093288923E-2</v>
      </c>
      <c r="L242" s="44">
        <v>-5.3305609256369513E-2</v>
      </c>
      <c r="M242" s="44">
        <v>1.2192966635700131E-2</v>
      </c>
      <c r="N242" s="44">
        <v>3.7718275272973889E-2</v>
      </c>
      <c r="O242" s="44">
        <v>3.6862751126738758E-2</v>
      </c>
      <c r="P242" s="44">
        <v>3.795027985637045E-2</v>
      </c>
    </row>
    <row r="244" spans="1:16" x14ac:dyDescent="0.2">
      <c r="A244" s="86" t="s">
        <v>77</v>
      </c>
      <c r="G244" s="140"/>
      <c r="H244" s="140"/>
      <c r="I244" s="140"/>
      <c r="J244" s="140"/>
      <c r="K244" s="140"/>
      <c r="L244" s="140"/>
      <c r="M244" s="140"/>
      <c r="N244" s="140"/>
      <c r="O244" s="140"/>
      <c r="P244" s="140"/>
    </row>
    <row r="245" spans="1:16" x14ac:dyDescent="0.2">
      <c r="A245" s="86" t="s">
        <v>41</v>
      </c>
    </row>
    <row r="246" spans="1:16" x14ac:dyDescent="0.2">
      <c r="A246" s="86" t="s">
        <v>81</v>
      </c>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3B6A5-1536-4772-B61D-575AB6C4D249}">
  <sheetPr>
    <tabColor rgb="FFFF2D9B"/>
  </sheetPr>
  <dimension ref="A1:U246"/>
  <sheetViews>
    <sheetView zoomScale="85" zoomScaleNormal="85" workbookViewId="0">
      <pane ySplit="1" topLeftCell="A2" activePane="bottomLeft" state="frozen"/>
      <selection pane="bottomLeft" activeCell="H46" sqref="H46:H47"/>
    </sheetView>
  </sheetViews>
  <sheetFormatPr defaultColWidth="8.875" defaultRowHeight="15" x14ac:dyDescent="0.2"/>
  <cols>
    <col min="1" max="1" width="68.47265625" style="47" bestFit="1" customWidth="1"/>
    <col min="2" max="16" width="13.046875" style="47" customWidth="1"/>
    <col min="17" max="17" width="8.875" style="47"/>
    <col min="18" max="19" width="24.48046875" style="47" customWidth="1"/>
    <col min="20" max="16384" width="8.875" style="47"/>
  </cols>
  <sheetData>
    <row r="1" spans="1:21" s="48" customFormat="1" ht="24" customHeight="1" x14ac:dyDescent="0.2">
      <c r="A1" s="1" t="s">
        <v>0</v>
      </c>
      <c r="B1" s="52">
        <v>2016</v>
      </c>
      <c r="C1" s="52">
        <v>2017</v>
      </c>
      <c r="D1" s="52">
        <v>2018</v>
      </c>
      <c r="E1" s="52">
        <v>2019</v>
      </c>
      <c r="F1" s="52">
        <v>2020</v>
      </c>
      <c r="G1" s="52">
        <v>2021</v>
      </c>
      <c r="H1" s="52">
        <v>2022</v>
      </c>
      <c r="I1" s="52">
        <v>2023</v>
      </c>
      <c r="J1" s="52">
        <v>2024</v>
      </c>
      <c r="K1" s="52" t="s">
        <v>42</v>
      </c>
      <c r="L1" s="52" t="s">
        <v>1</v>
      </c>
      <c r="M1" s="52" t="s">
        <v>2</v>
      </c>
      <c r="N1" s="52" t="s">
        <v>43</v>
      </c>
      <c r="O1" s="52" t="s">
        <v>44</v>
      </c>
      <c r="P1" s="52" t="s">
        <v>45</v>
      </c>
      <c r="Q1" s="52"/>
      <c r="R1" s="53" t="s">
        <v>78</v>
      </c>
      <c r="S1" s="53" t="s">
        <v>79</v>
      </c>
      <c r="T1" s="54"/>
      <c r="U1" s="54"/>
    </row>
    <row r="2" spans="1:21" s="49" customFormat="1" x14ac:dyDescent="0.2">
      <c r="A2" s="55" t="s">
        <v>3</v>
      </c>
      <c r="B2" s="56">
        <f t="shared" ref="B2:P2" si="0">B4+B6+B8</f>
        <v>1756.2854060500001</v>
      </c>
      <c r="C2" s="56">
        <f t="shared" si="0"/>
        <v>1813.6877904399998</v>
      </c>
      <c r="D2" s="56">
        <f t="shared" si="0"/>
        <v>1886.3360593599998</v>
      </c>
      <c r="E2" s="56">
        <f t="shared" si="0"/>
        <v>2019.40925698</v>
      </c>
      <c r="F2" s="56">
        <f t="shared" si="0"/>
        <v>2062.9781991600003</v>
      </c>
      <c r="G2" s="56">
        <f t="shared" si="0"/>
        <v>2194.7072841300005</v>
      </c>
      <c r="H2" s="56">
        <f t="shared" si="0"/>
        <v>2315.040631920001</v>
      </c>
      <c r="I2" s="56">
        <f t="shared" si="0"/>
        <v>2484.667228360001</v>
      </c>
      <c r="J2" s="56">
        <f t="shared" si="0"/>
        <v>2685.5471379500004</v>
      </c>
      <c r="K2" s="56">
        <f t="shared" si="0"/>
        <v>2820.2793209741603</v>
      </c>
      <c r="L2" s="56">
        <f t="shared" si="0"/>
        <v>2941.3068117626917</v>
      </c>
      <c r="M2" s="56">
        <f t="shared" si="0"/>
        <v>3084.4933238084732</v>
      </c>
      <c r="N2" s="56">
        <f t="shared" si="0"/>
        <v>3247.222959892063</v>
      </c>
      <c r="O2" s="56">
        <f t="shared" si="0"/>
        <v>3448.6867824854667</v>
      </c>
      <c r="P2" s="56">
        <f t="shared" si="0"/>
        <v>3643.2824919539366</v>
      </c>
      <c r="R2" s="57">
        <f>(J2/D2)^(1/6)-1</f>
        <v>6.064232126117286E-2</v>
      </c>
      <c r="S2" s="57">
        <f>(P2/J2)^(1/6)-1</f>
        <v>5.2147621722979931E-2</v>
      </c>
    </row>
    <row r="3" spans="1:21" s="49" customFormat="1" x14ac:dyDescent="0.2">
      <c r="A3" s="58" t="s">
        <v>4</v>
      </c>
      <c r="B3" s="59"/>
      <c r="C3" s="59">
        <f t="shared" ref="C3:P3" si="1">C2/B2-1</f>
        <v>3.2683972771317071E-2</v>
      </c>
      <c r="D3" s="59">
        <f t="shared" si="1"/>
        <v>4.0055553829568158E-2</v>
      </c>
      <c r="E3" s="59">
        <f t="shared" si="1"/>
        <v>7.0545858973373843E-2</v>
      </c>
      <c r="F3" s="59">
        <f t="shared" si="1"/>
        <v>2.1575092829452913E-2</v>
      </c>
      <c r="G3" s="59">
        <f t="shared" si="1"/>
        <v>6.3853842480563916E-2</v>
      </c>
      <c r="H3" s="59">
        <f t="shared" si="1"/>
        <v>5.4828882493868303E-2</v>
      </c>
      <c r="I3" s="59">
        <f t="shared" si="1"/>
        <v>7.3271541804136087E-2</v>
      </c>
      <c r="J3" s="59">
        <f t="shared" si="1"/>
        <v>8.0847812253148188E-2</v>
      </c>
      <c r="K3" s="59">
        <f t="shared" si="1"/>
        <v>5.0169360693853582E-2</v>
      </c>
      <c r="L3" s="59">
        <f t="shared" si="1"/>
        <v>4.2913299363102508E-2</v>
      </c>
      <c r="M3" s="59">
        <f t="shared" si="1"/>
        <v>4.8681256737025391E-2</v>
      </c>
      <c r="N3" s="59">
        <f t="shared" si="1"/>
        <v>5.2757331269780439E-2</v>
      </c>
      <c r="O3" s="59">
        <f t="shared" si="1"/>
        <v>6.2041881657581177E-2</v>
      </c>
      <c r="P3" s="59">
        <f t="shared" si="1"/>
        <v>5.6426031629414952E-2</v>
      </c>
      <c r="R3" s="60"/>
      <c r="S3" s="60"/>
    </row>
    <row r="4" spans="1:21" s="50" customFormat="1" x14ac:dyDescent="0.2">
      <c r="A4" s="61" t="s">
        <v>5</v>
      </c>
      <c r="B4" s="43">
        <v>348.36665420000003</v>
      </c>
      <c r="C4" s="43">
        <v>364.16783939999999</v>
      </c>
      <c r="D4" s="43">
        <v>382.52264449999996</v>
      </c>
      <c r="E4" s="43">
        <v>403.49348858336168</v>
      </c>
      <c r="F4" s="43">
        <v>430.13886048866516</v>
      </c>
      <c r="G4" s="43">
        <v>453.82127789658688</v>
      </c>
      <c r="H4" s="43">
        <v>476.04021372388945</v>
      </c>
      <c r="I4" s="43">
        <v>520.91084520415939</v>
      </c>
      <c r="J4" s="43">
        <v>571.51880524305523</v>
      </c>
      <c r="K4" s="43">
        <v>605.37558477580376</v>
      </c>
      <c r="L4" s="43">
        <v>636.43934208227506</v>
      </c>
      <c r="M4" s="43">
        <v>678.72576520463906</v>
      </c>
      <c r="N4" s="43">
        <v>724.99312101620876</v>
      </c>
      <c r="O4" s="43">
        <v>785.3404887705168</v>
      </c>
      <c r="P4" s="43">
        <v>843.80763981093105</v>
      </c>
      <c r="R4" s="57">
        <f>(J4/D4)^(1/6)-1</f>
        <v>6.9208073067579923E-2</v>
      </c>
      <c r="S4" s="57">
        <f>(P4/J4)^(1/6)-1</f>
        <v>6.7092714240523987E-2</v>
      </c>
    </row>
    <row r="5" spans="1:21" s="50" customFormat="1" x14ac:dyDescent="0.2">
      <c r="A5" s="62" t="s">
        <v>4</v>
      </c>
      <c r="B5" s="63"/>
      <c r="C5" s="63">
        <f t="shared" ref="C5:P5" si="2">C4/B4-1</f>
        <v>4.5357915315650033E-2</v>
      </c>
      <c r="D5" s="63">
        <f t="shared" si="2"/>
        <v>5.0402048490171936E-2</v>
      </c>
      <c r="E5" s="63">
        <f t="shared" si="2"/>
        <v>5.4822490602544516E-2</v>
      </c>
      <c r="F5" s="63">
        <f t="shared" si="2"/>
        <v>6.6036683761251158E-2</v>
      </c>
      <c r="G5" s="63">
        <f t="shared" si="2"/>
        <v>5.5057609491541815E-2</v>
      </c>
      <c r="H5" s="63">
        <f t="shared" si="2"/>
        <v>4.8959660794850812E-2</v>
      </c>
      <c r="I5" s="63">
        <f t="shared" si="2"/>
        <v>9.4258069353560181E-2</v>
      </c>
      <c r="J5" s="63">
        <f t="shared" si="2"/>
        <v>9.715282472005593E-2</v>
      </c>
      <c r="K5" s="63">
        <f t="shared" si="2"/>
        <v>5.9240009641239988E-2</v>
      </c>
      <c r="L5" s="63">
        <f t="shared" si="2"/>
        <v>5.1313198099945723E-2</v>
      </c>
      <c r="M5" s="63">
        <f t="shared" si="2"/>
        <v>6.6442189107940974E-2</v>
      </c>
      <c r="N5" s="63">
        <f t="shared" si="2"/>
        <v>6.8167967363991E-2</v>
      </c>
      <c r="O5" s="63">
        <f t="shared" si="2"/>
        <v>8.323853841498563E-2</v>
      </c>
      <c r="P5" s="63">
        <f t="shared" si="2"/>
        <v>7.4448155769922142E-2</v>
      </c>
      <c r="R5" s="64"/>
      <c r="S5" s="64"/>
    </row>
    <row r="6" spans="1:21" s="50" customFormat="1" x14ac:dyDescent="0.2">
      <c r="A6" s="61" t="s">
        <v>6</v>
      </c>
      <c r="B6" s="43">
        <v>731.74955810000006</v>
      </c>
      <c r="C6" s="43">
        <v>748.54836780000005</v>
      </c>
      <c r="D6" s="43">
        <v>775.00531760000001</v>
      </c>
      <c r="E6" s="43">
        <v>851.40173230000039</v>
      </c>
      <c r="F6" s="43">
        <v>861.62403300000051</v>
      </c>
      <c r="G6" s="43">
        <v>954.19433280000078</v>
      </c>
      <c r="H6" s="43">
        <v>1014.0504439000008</v>
      </c>
      <c r="I6" s="43">
        <v>1080.044215800001</v>
      </c>
      <c r="J6" s="43">
        <v>1164.670878800001</v>
      </c>
      <c r="K6" s="43">
        <v>1219.5525793970642</v>
      </c>
      <c r="L6" s="43">
        <v>1268.0468871922367</v>
      </c>
      <c r="M6" s="43">
        <v>1316.9726433135186</v>
      </c>
      <c r="N6" s="43">
        <v>1374.8160750640832</v>
      </c>
      <c r="O6" s="43">
        <v>1442.2970995485437</v>
      </c>
      <c r="P6" s="43">
        <v>1507.1258351286854</v>
      </c>
      <c r="R6" s="57">
        <f>(J6/D6)^(1/6)-1</f>
        <v>7.0244707914475457E-2</v>
      </c>
      <c r="S6" s="57">
        <f>(P6/J6)^(1/6)-1</f>
        <v>4.389716065602034E-2</v>
      </c>
    </row>
    <row r="7" spans="1:21" s="50" customFormat="1" x14ac:dyDescent="0.2">
      <c r="A7" s="62" t="s">
        <v>4</v>
      </c>
      <c r="B7" s="63"/>
      <c r="C7" s="63">
        <f t="shared" ref="C7:P7" si="3">C6/B6-1</f>
        <v>2.2957047959985655E-2</v>
      </c>
      <c r="D7" s="63">
        <f t="shared" si="3"/>
        <v>3.5344342380650096E-2</v>
      </c>
      <c r="E7" s="63">
        <f t="shared" si="3"/>
        <v>9.8575342600978777E-2</v>
      </c>
      <c r="F7" s="63">
        <f t="shared" si="3"/>
        <v>1.2006436341614357E-2</v>
      </c>
      <c r="G7" s="63">
        <f t="shared" si="3"/>
        <v>0.10743699833637321</v>
      </c>
      <c r="H7" s="63">
        <f t="shared" si="3"/>
        <v>6.2729476630150938E-2</v>
      </c>
      <c r="I7" s="63">
        <f t="shared" si="3"/>
        <v>6.507937775382322E-2</v>
      </c>
      <c r="J7" s="63">
        <f t="shared" si="3"/>
        <v>7.8354813406704915E-2</v>
      </c>
      <c r="K7" s="63">
        <f t="shared" si="3"/>
        <v>4.7122068213476309E-2</v>
      </c>
      <c r="L7" s="63">
        <f t="shared" si="3"/>
        <v>3.9764015602465896E-2</v>
      </c>
      <c r="M7" s="63">
        <f t="shared" si="3"/>
        <v>3.8583554453270663E-2</v>
      </c>
      <c r="N7" s="63">
        <f t="shared" si="3"/>
        <v>4.392151351377338E-2</v>
      </c>
      <c r="O7" s="63">
        <f t="shared" si="3"/>
        <v>4.9083674324447379E-2</v>
      </c>
      <c r="P7" s="63">
        <f t="shared" si="3"/>
        <v>4.4948253449607511E-2</v>
      </c>
      <c r="R7" s="64"/>
      <c r="S7" s="64"/>
    </row>
    <row r="8" spans="1:21" s="50" customFormat="1" x14ac:dyDescent="0.2">
      <c r="A8" s="61" t="s">
        <v>7</v>
      </c>
      <c r="B8" s="43">
        <v>676.16919374999998</v>
      </c>
      <c r="C8" s="43">
        <v>700.97158323999975</v>
      </c>
      <c r="D8" s="43">
        <v>728.80809725999984</v>
      </c>
      <c r="E8" s="43">
        <v>764.51403609663805</v>
      </c>
      <c r="F8" s="43">
        <v>771.21530567133482</v>
      </c>
      <c r="G8" s="43">
        <v>786.69167343341314</v>
      </c>
      <c r="H8" s="43">
        <v>824.94997429611067</v>
      </c>
      <c r="I8" s="43">
        <v>883.71216735584051</v>
      </c>
      <c r="J8" s="43">
        <v>949.35745390694433</v>
      </c>
      <c r="K8" s="43">
        <v>995.35115680129229</v>
      </c>
      <c r="L8" s="43">
        <v>1036.8205824881802</v>
      </c>
      <c r="M8" s="43">
        <v>1088.7949152903159</v>
      </c>
      <c r="N8" s="43">
        <v>1147.4137638117709</v>
      </c>
      <c r="O8" s="43">
        <v>1221.0491941664063</v>
      </c>
      <c r="P8" s="43">
        <v>1292.34901701432</v>
      </c>
      <c r="R8" s="57">
        <f>(J8/D8)^(1/6)-1</f>
        <v>4.5047657033843835E-2</v>
      </c>
      <c r="S8" s="57">
        <f>(P8/J8)^(1/6)-1</f>
        <v>5.2749414857521382E-2</v>
      </c>
    </row>
    <row r="9" spans="1:21" s="50" customFormat="1" x14ac:dyDescent="0.2">
      <c r="A9" s="62" t="s">
        <v>4</v>
      </c>
      <c r="B9" s="63"/>
      <c r="C9" s="63">
        <f t="shared" ref="C9:P9" si="4">C8/B8-1</f>
        <v>3.668074458176207E-2</v>
      </c>
      <c r="D9" s="63">
        <f t="shared" si="4"/>
        <v>3.9711330224451391E-2</v>
      </c>
      <c r="E9" s="63">
        <f t="shared" si="4"/>
        <v>4.8992236736771888E-2</v>
      </c>
      <c r="F9" s="63">
        <f t="shared" si="4"/>
        <v>8.7653977014094941E-3</v>
      </c>
      <c r="G9" s="63">
        <f t="shared" si="4"/>
        <v>2.0067505984734391E-2</v>
      </c>
      <c r="H9" s="63">
        <f t="shared" si="4"/>
        <v>4.8631887376822114E-2</v>
      </c>
      <c r="I9" s="63">
        <f t="shared" si="4"/>
        <v>7.1231219941389368E-2</v>
      </c>
      <c r="J9" s="63">
        <f t="shared" si="4"/>
        <v>7.4283560842577812E-2</v>
      </c>
      <c r="K9" s="63">
        <f t="shared" si="4"/>
        <v>4.8447192050862897E-2</v>
      </c>
      <c r="L9" s="63">
        <f t="shared" si="4"/>
        <v>4.1663110956896787E-2</v>
      </c>
      <c r="M9" s="63">
        <f t="shared" si="4"/>
        <v>5.012856966767254E-2</v>
      </c>
      <c r="N9" s="63">
        <f t="shared" si="4"/>
        <v>5.3838282764045564E-2</v>
      </c>
      <c r="O9" s="63">
        <f t="shared" si="4"/>
        <v>6.417513252587681E-2</v>
      </c>
      <c r="P9" s="63">
        <f t="shared" si="4"/>
        <v>5.8392260679217767E-2</v>
      </c>
      <c r="R9" s="64"/>
      <c r="S9" s="64"/>
    </row>
    <row r="10" spans="1:21" s="50" customFormat="1" ht="17.100000000000001" customHeight="1" x14ac:dyDescent="0.2">
      <c r="R10" s="64"/>
      <c r="S10" s="64"/>
    </row>
    <row r="11" spans="1:21" s="50" customFormat="1" x14ac:dyDescent="0.2">
      <c r="A11" s="55" t="s">
        <v>8</v>
      </c>
      <c r="B11" s="56">
        <v>357.4516466</v>
      </c>
      <c r="C11" s="56">
        <v>357.60400220000002</v>
      </c>
      <c r="D11" s="56">
        <v>364.66454979999997</v>
      </c>
      <c r="E11" s="56">
        <v>423.8662085000002</v>
      </c>
      <c r="F11" s="56">
        <v>384.22230490000015</v>
      </c>
      <c r="G11" s="56">
        <v>441.18316860000027</v>
      </c>
      <c r="H11" s="56">
        <v>476.93772530000018</v>
      </c>
      <c r="I11" s="56">
        <v>494.51608580000021</v>
      </c>
      <c r="J11" s="56">
        <v>521.13990530000024</v>
      </c>
      <c r="K11" s="56">
        <v>538.35180522135261</v>
      </c>
      <c r="L11" s="56">
        <v>557.08959766886392</v>
      </c>
      <c r="M11" s="56">
        <v>569.69614197340741</v>
      </c>
      <c r="N11" s="56">
        <v>589.35989058435678</v>
      </c>
      <c r="O11" s="56">
        <v>610.8460429205345</v>
      </c>
      <c r="P11" s="56">
        <v>630.99352679480205</v>
      </c>
      <c r="R11" s="57">
        <f>(J11/D11)^(1/6)-1</f>
        <v>6.1312951100974233E-2</v>
      </c>
      <c r="S11" s="57">
        <f>(P11/J11)^(1/6)-1</f>
        <v>3.239310577947041E-2</v>
      </c>
    </row>
    <row r="12" spans="1:21" s="50" customFormat="1" x14ac:dyDescent="0.2">
      <c r="A12" s="58" t="s">
        <v>4</v>
      </c>
      <c r="B12" s="59"/>
      <c r="C12" s="59">
        <f t="shared" ref="C12:P12" si="5">C11/B11-1</f>
        <v>4.2622715953100077E-4</v>
      </c>
      <c r="D12" s="59">
        <f t="shared" si="5"/>
        <v>1.9744039654374879E-2</v>
      </c>
      <c r="E12" s="59">
        <f t="shared" si="5"/>
        <v>0.16234552750594844</v>
      </c>
      <c r="F12" s="59">
        <f t="shared" si="5"/>
        <v>-9.3529285432528253E-2</v>
      </c>
      <c r="G12" s="59">
        <f t="shared" si="5"/>
        <v>0.14824975794891726</v>
      </c>
      <c r="H12" s="59">
        <f t="shared" si="5"/>
        <v>8.1042431454172004E-2</v>
      </c>
      <c r="I12" s="59">
        <f t="shared" si="5"/>
        <v>3.6856720631489148E-2</v>
      </c>
      <c r="J12" s="59">
        <f t="shared" si="5"/>
        <v>5.3838126330975733E-2</v>
      </c>
      <c r="K12" s="59">
        <f t="shared" si="5"/>
        <v>3.3027407316743806E-2</v>
      </c>
      <c r="L12" s="59">
        <f t="shared" si="5"/>
        <v>3.4805850497346968E-2</v>
      </c>
      <c r="M12" s="59">
        <f t="shared" si="5"/>
        <v>2.2629294026123459E-2</v>
      </c>
      <c r="N12" s="59">
        <f t="shared" si="5"/>
        <v>3.4516204625916647E-2</v>
      </c>
      <c r="O12" s="59">
        <f t="shared" si="5"/>
        <v>3.6456760426764045E-2</v>
      </c>
      <c r="P12" s="59">
        <f t="shared" si="5"/>
        <v>3.2982916248323058E-2</v>
      </c>
      <c r="R12" s="64"/>
      <c r="S12" s="64"/>
    </row>
    <row r="13" spans="1:21" s="50" customFormat="1" x14ac:dyDescent="0.2">
      <c r="B13" s="65"/>
      <c r="C13" s="65"/>
      <c r="D13" s="65"/>
      <c r="E13" s="65"/>
      <c r="F13" s="65"/>
      <c r="G13" s="65"/>
      <c r="H13" s="65"/>
      <c r="I13" s="65"/>
      <c r="J13" s="65"/>
      <c r="K13" s="65"/>
      <c r="L13" s="65"/>
      <c r="M13" s="65"/>
      <c r="N13" s="65"/>
      <c r="O13" s="65"/>
      <c r="P13" s="65"/>
      <c r="R13" s="64"/>
      <c r="S13" s="64"/>
    </row>
    <row r="14" spans="1:21" s="50" customFormat="1" x14ac:dyDescent="0.2">
      <c r="A14" s="55" t="s">
        <v>46</v>
      </c>
      <c r="B14" s="87">
        <v>52.164952110000002</v>
      </c>
      <c r="C14" s="87">
        <v>57.228170799999951</v>
      </c>
      <c r="D14" s="87">
        <v>62.424917139999963</v>
      </c>
      <c r="E14" s="87">
        <v>68.418948369999995</v>
      </c>
      <c r="F14" s="87">
        <v>71.412138780000021</v>
      </c>
      <c r="G14" s="87">
        <v>74.740828109999995</v>
      </c>
      <c r="H14" s="87">
        <v>82.537749709999957</v>
      </c>
      <c r="I14" s="87">
        <v>92.479371909999969</v>
      </c>
      <c r="J14" s="87">
        <v>101.85028949999993</v>
      </c>
      <c r="K14" s="87">
        <v>108.68163880410874</v>
      </c>
      <c r="L14" s="87">
        <v>114.36825505168838</v>
      </c>
      <c r="M14" s="87">
        <v>120.89791313877434</v>
      </c>
      <c r="N14" s="87">
        <v>128.26417552154513</v>
      </c>
      <c r="O14" s="87">
        <v>137.18086307834071</v>
      </c>
      <c r="P14" s="87">
        <v>147.2335082629948</v>
      </c>
      <c r="R14" s="57">
        <f>(J14/D14)^(1/6)-1</f>
        <v>8.5010769459181068E-2</v>
      </c>
      <c r="S14" s="57">
        <f>(P14/J14)^(1/6)-1</f>
        <v>6.3344686991978039E-2</v>
      </c>
    </row>
    <row r="15" spans="1:21" s="50" customFormat="1" x14ac:dyDescent="0.2">
      <c r="A15" s="58" t="s">
        <v>4</v>
      </c>
      <c r="B15" s="66"/>
      <c r="C15" s="59">
        <f t="shared" ref="C15" si="6">C14/B14-1</f>
        <v>9.7061695356743805E-2</v>
      </c>
      <c r="D15" s="59">
        <f t="shared" ref="D15" si="7">D14/C14-1</f>
        <v>9.080748637172964E-2</v>
      </c>
      <c r="E15" s="59">
        <f t="shared" ref="E15" si="8">E14/D14-1</f>
        <v>9.6019850800238338E-2</v>
      </c>
      <c r="F15" s="59">
        <f t="shared" ref="F15" si="9">F14/E14-1</f>
        <v>4.3747974520351729E-2</v>
      </c>
      <c r="G15" s="59">
        <f t="shared" ref="G15" si="10">G14/F14-1</f>
        <v>4.6612374126683065E-2</v>
      </c>
      <c r="H15" s="59">
        <f t="shared" ref="H15" si="11">H14/G14-1</f>
        <v>0.10431944356469836</v>
      </c>
      <c r="I15" s="59">
        <f t="shared" ref="I15" si="12">I14/H14-1</f>
        <v>0.12044939721436965</v>
      </c>
      <c r="J15" s="59">
        <f t="shared" ref="J15" si="13">J14/I14-1</f>
        <v>0.10132981438411637</v>
      </c>
      <c r="K15" s="59">
        <f t="shared" ref="K15" si="14">K14/J14-1</f>
        <v>6.7072458386176814E-2</v>
      </c>
      <c r="L15" s="59">
        <f t="shared" ref="L15" si="15">L14/K14-1</f>
        <v>5.2323615195289497E-2</v>
      </c>
      <c r="M15" s="59">
        <f t="shared" ref="M15" si="16">M14/L14-1</f>
        <v>5.7093273689756918E-2</v>
      </c>
      <c r="N15" s="59">
        <f t="shared" ref="N15" si="17">N14/M14-1</f>
        <v>6.0929607397898655E-2</v>
      </c>
      <c r="O15" s="59">
        <f t="shared" ref="O15" si="18">O14/N14-1</f>
        <v>6.9518145035733614E-2</v>
      </c>
      <c r="P15" s="59">
        <f t="shared" ref="P15" si="19">P14/O14-1</f>
        <v>7.3280229902863869E-2</v>
      </c>
      <c r="R15" s="64"/>
      <c r="S15" s="64"/>
    </row>
    <row r="16" spans="1:21" ht="17.100000000000001" customHeight="1" x14ac:dyDescent="0.2">
      <c r="R16" s="109"/>
      <c r="S16" s="109"/>
    </row>
    <row r="17" spans="1:19" x14ac:dyDescent="0.2">
      <c r="A17" s="67" t="s">
        <v>9</v>
      </c>
      <c r="R17" s="109"/>
      <c r="S17" s="109"/>
    </row>
    <row r="18" spans="1:19" x14ac:dyDescent="0.2">
      <c r="A18" s="68" t="s">
        <v>82</v>
      </c>
      <c r="B18" s="43">
        <v>432.9</v>
      </c>
      <c r="C18" s="43">
        <v>457.43899999999996</v>
      </c>
      <c r="D18" s="43">
        <v>479.13199999999995</v>
      </c>
      <c r="E18" s="43">
        <v>497.81199999999995</v>
      </c>
      <c r="F18" s="43">
        <v>505.04899999999992</v>
      </c>
      <c r="G18" s="43">
        <v>521.88199999999995</v>
      </c>
      <c r="H18" s="43">
        <v>559.04200000000003</v>
      </c>
      <c r="I18" s="43">
        <v>581.69000000000005</v>
      </c>
      <c r="J18" s="43">
        <v>587.26171126800716</v>
      </c>
      <c r="K18" s="43">
        <v>596.42949122360915</v>
      </c>
      <c r="L18" s="43">
        <v>607.59343045428545</v>
      </c>
      <c r="M18" s="43">
        <v>618.40231677249119</v>
      </c>
      <c r="N18" s="43">
        <v>632.11065913926905</v>
      </c>
      <c r="O18" s="43">
        <v>645.52625101335741</v>
      </c>
      <c r="P18" s="43">
        <v>658.19499768392404</v>
      </c>
      <c r="R18" s="57">
        <f>(J18/D18)^(1/6)-1</f>
        <v>3.4497434980900854E-2</v>
      </c>
      <c r="S18" s="57">
        <f>(P18/J18)^(1/6)-1</f>
        <v>1.9186858447251653E-2</v>
      </c>
    </row>
    <row r="19" spans="1:19" x14ac:dyDescent="0.2">
      <c r="A19" s="62" t="s">
        <v>4</v>
      </c>
      <c r="B19" s="63"/>
      <c r="C19" s="63">
        <f t="shared" ref="C19:P19" si="20">C18/B18-1</f>
        <v>5.668514668514657E-2</v>
      </c>
      <c r="D19" s="63">
        <f t="shared" si="20"/>
        <v>4.7422716471485771E-2</v>
      </c>
      <c r="E19" s="63">
        <f t="shared" si="20"/>
        <v>3.8987168462970567E-2</v>
      </c>
      <c r="F19" s="63">
        <f t="shared" si="20"/>
        <v>1.453761661028663E-2</v>
      </c>
      <c r="G19" s="63">
        <f t="shared" si="20"/>
        <v>3.332943932172916E-2</v>
      </c>
      <c r="H19" s="63">
        <f t="shared" si="20"/>
        <v>7.1203835349753497E-2</v>
      </c>
      <c r="I19" s="63">
        <f t="shared" si="20"/>
        <v>4.0512161876925301E-2</v>
      </c>
      <c r="J19" s="63">
        <f t="shared" si="20"/>
        <v>9.5784890027457159E-3</v>
      </c>
      <c r="K19" s="63">
        <f t="shared" si="20"/>
        <v>1.5611063653046653E-2</v>
      </c>
      <c r="L19" s="63">
        <f t="shared" si="20"/>
        <v>1.8717953077358462E-2</v>
      </c>
      <c r="M19" s="63">
        <f t="shared" si="20"/>
        <v>1.7789669500086758E-2</v>
      </c>
      <c r="N19" s="63">
        <f t="shared" si="20"/>
        <v>2.2167352862329404E-2</v>
      </c>
      <c r="O19" s="63">
        <f t="shared" si="20"/>
        <v>2.1223486236343625E-2</v>
      </c>
      <c r="P19" s="63">
        <f t="shared" si="20"/>
        <v>1.9625455433731842E-2</v>
      </c>
      <c r="R19" s="109"/>
      <c r="S19" s="109"/>
    </row>
    <row r="20" spans="1:19" x14ac:dyDescent="0.2">
      <c r="A20" s="68" t="s">
        <v>10</v>
      </c>
      <c r="B20" s="43">
        <v>12.824999999999999</v>
      </c>
      <c r="C20" s="43">
        <v>13.670999999999999</v>
      </c>
      <c r="D20" s="43">
        <v>13.904999999999998</v>
      </c>
      <c r="E20" s="43">
        <v>13.675999999999998</v>
      </c>
      <c r="F20" s="43">
        <v>12.874999999999998</v>
      </c>
      <c r="G20" s="43">
        <v>13.807833332999998</v>
      </c>
      <c r="H20" s="43">
        <v>14.685805556</v>
      </c>
      <c r="I20" s="43">
        <v>14.739604300999998</v>
      </c>
      <c r="J20" s="43">
        <v>15.033360569016212</v>
      </c>
      <c r="K20" s="43">
        <v>15.455761412030348</v>
      </c>
      <c r="L20" s="43">
        <v>15.888672064470823</v>
      </c>
      <c r="M20" s="43">
        <v>16.177510199337423</v>
      </c>
      <c r="N20" s="43">
        <v>16.629755385308339</v>
      </c>
      <c r="O20" s="43">
        <v>17.12341255021957</v>
      </c>
      <c r="P20" s="43">
        <v>17.447279655457155</v>
      </c>
      <c r="R20" s="57">
        <f>(J20/D20)^(1/6)-1</f>
        <v>1.3088798447261629E-2</v>
      </c>
      <c r="S20" s="57">
        <f>(P20/J20)^(1/6)-1</f>
        <v>2.5129209010253062E-2</v>
      </c>
    </row>
    <row r="21" spans="1:19" x14ac:dyDescent="0.2">
      <c r="A21" s="62" t="s">
        <v>4</v>
      </c>
      <c r="B21" s="63"/>
      <c r="C21" s="63">
        <f t="shared" ref="C21:P21" si="21">C20/B20-1</f>
        <v>6.5964912280701782E-2</v>
      </c>
      <c r="D21" s="63">
        <f t="shared" si="21"/>
        <v>1.7116524028966351E-2</v>
      </c>
      <c r="E21" s="63">
        <f t="shared" si="21"/>
        <v>-1.6468896080546469E-2</v>
      </c>
      <c r="F21" s="63">
        <f t="shared" si="21"/>
        <v>-5.8569757238958742E-2</v>
      </c>
      <c r="G21" s="63">
        <f t="shared" si="21"/>
        <v>7.2453074407766938E-2</v>
      </c>
      <c r="H21" s="63">
        <f t="shared" si="21"/>
        <v>6.3585082599577403E-2</v>
      </c>
      <c r="I21" s="63">
        <f t="shared" si="21"/>
        <v>3.663315900163111E-3</v>
      </c>
      <c r="J21" s="63">
        <f t="shared" si="21"/>
        <v>1.9929725521619535E-2</v>
      </c>
      <c r="K21" s="63">
        <f t="shared" si="21"/>
        <v>2.8097566147964548E-2</v>
      </c>
      <c r="L21" s="63">
        <f t="shared" si="21"/>
        <v>2.8009661957094423E-2</v>
      </c>
      <c r="M21" s="63">
        <f t="shared" si="21"/>
        <v>1.8178871946918695E-2</v>
      </c>
      <c r="N21" s="63">
        <f t="shared" si="21"/>
        <v>2.7955178540974623E-2</v>
      </c>
      <c r="O21" s="63">
        <f t="shared" si="21"/>
        <v>2.9685172960953743E-2</v>
      </c>
      <c r="P21" s="63">
        <f t="shared" si="21"/>
        <v>1.8913701009524164E-2</v>
      </c>
      <c r="R21" s="109"/>
      <c r="S21" s="109"/>
    </row>
    <row r="22" spans="1:19" x14ac:dyDescent="0.2">
      <c r="A22" s="68" t="s">
        <v>11</v>
      </c>
      <c r="B22" s="43">
        <v>0.55500000000000005</v>
      </c>
      <c r="C22" s="43">
        <v>0.58099999999999996</v>
      </c>
      <c r="D22" s="43">
        <v>0.59899999999999998</v>
      </c>
      <c r="E22" s="43">
        <v>0.59399999999999997</v>
      </c>
      <c r="F22" s="43">
        <v>0.57299999999999984</v>
      </c>
      <c r="G22" s="43">
        <v>0.60666666669999991</v>
      </c>
      <c r="H22" s="43">
        <v>0.61652380949999996</v>
      </c>
      <c r="I22" s="43">
        <v>0.62638095239999991</v>
      </c>
      <c r="J22" s="43">
        <v>0.63590045634556169</v>
      </c>
      <c r="K22" s="43">
        <v>0.64566415004975652</v>
      </c>
      <c r="L22" s="43">
        <v>0.64855309726277244</v>
      </c>
      <c r="M22" s="43">
        <v>0.6591184768096352</v>
      </c>
      <c r="N22" s="43">
        <v>0.67062826192503777</v>
      </c>
      <c r="O22" s="43">
        <v>0.68079820065817176</v>
      </c>
      <c r="P22" s="43">
        <v>0.68921205182801359</v>
      </c>
      <c r="R22" s="57">
        <f>(J22/D22)^(1/6)-1</f>
        <v>1.0013206286790588E-2</v>
      </c>
      <c r="S22" s="57">
        <f>(P22/J22)^(1/6)-1</f>
        <v>1.3508248880137463E-2</v>
      </c>
    </row>
    <row r="23" spans="1:19" x14ac:dyDescent="0.2">
      <c r="A23" s="62" t="s">
        <v>4</v>
      </c>
      <c r="B23" s="63"/>
      <c r="C23" s="63">
        <f t="shared" ref="C23:P23" si="22">C22/B22-1</f>
        <v>4.684684684684659E-2</v>
      </c>
      <c r="D23" s="63">
        <f t="shared" si="22"/>
        <v>3.0981067125645412E-2</v>
      </c>
      <c r="E23" s="63">
        <f t="shared" si="22"/>
        <v>-8.3472454090149917E-3</v>
      </c>
      <c r="F23" s="63">
        <f t="shared" si="22"/>
        <v>-3.5353535353535581E-2</v>
      </c>
      <c r="G23" s="63">
        <f t="shared" si="22"/>
        <v>5.8755090226876305E-2</v>
      </c>
      <c r="H23" s="63">
        <f t="shared" si="22"/>
        <v>1.6248037581524821E-2</v>
      </c>
      <c r="I23" s="63">
        <f t="shared" si="22"/>
        <v>1.5988259898663149E-2</v>
      </c>
      <c r="J23" s="63">
        <f t="shared" si="22"/>
        <v>1.519762679418557E-2</v>
      </c>
      <c r="K23" s="63">
        <f t="shared" si="22"/>
        <v>1.5354122813978632E-2</v>
      </c>
      <c r="L23" s="63">
        <f t="shared" si="22"/>
        <v>4.4743807020930504E-3</v>
      </c>
      <c r="M23" s="63">
        <f t="shared" si="22"/>
        <v>1.6290693223814934E-2</v>
      </c>
      <c r="N23" s="63">
        <f t="shared" si="22"/>
        <v>1.7462391846628122E-2</v>
      </c>
      <c r="O23" s="63">
        <f t="shared" si="22"/>
        <v>1.5164792941981364E-2</v>
      </c>
      <c r="P23" s="63">
        <f t="shared" si="22"/>
        <v>1.2358803477605651E-2</v>
      </c>
      <c r="R23" s="109"/>
      <c r="S23" s="109"/>
    </row>
    <row r="24" spans="1:19" x14ac:dyDescent="0.2">
      <c r="A24" s="69" t="s">
        <v>54</v>
      </c>
      <c r="B24" s="56">
        <f t="shared" ref="B24:P24" si="23">B18+B20+B22</f>
        <v>446.28</v>
      </c>
      <c r="C24" s="56">
        <f t="shared" si="23"/>
        <v>471.69099999999997</v>
      </c>
      <c r="D24" s="56">
        <f t="shared" si="23"/>
        <v>493.63599999999991</v>
      </c>
      <c r="E24" s="56">
        <f t="shared" si="23"/>
        <v>512.08199999999999</v>
      </c>
      <c r="F24" s="56">
        <f t="shared" si="23"/>
        <v>518.49699999999984</v>
      </c>
      <c r="G24" s="56">
        <f t="shared" si="23"/>
        <v>536.2964999996999</v>
      </c>
      <c r="H24" s="56">
        <f t="shared" si="23"/>
        <v>574.34432936550002</v>
      </c>
      <c r="I24" s="56">
        <f t="shared" si="23"/>
        <v>597.05598525340008</v>
      </c>
      <c r="J24" s="56">
        <f t="shared" si="23"/>
        <v>602.93097229336888</v>
      </c>
      <c r="K24" s="56">
        <f t="shared" si="23"/>
        <v>612.53091678568933</v>
      </c>
      <c r="L24" s="56">
        <f t="shared" si="23"/>
        <v>624.130655616019</v>
      </c>
      <c r="M24" s="56">
        <f t="shared" si="23"/>
        <v>635.23894544863833</v>
      </c>
      <c r="N24" s="56">
        <f t="shared" si="23"/>
        <v>649.41104278650243</v>
      </c>
      <c r="O24" s="56">
        <f t="shared" si="23"/>
        <v>663.33046176423511</v>
      </c>
      <c r="P24" s="56">
        <f t="shared" si="23"/>
        <v>676.33148939120917</v>
      </c>
      <c r="R24" s="57">
        <f>(J24/D24)^(1/6)-1</f>
        <v>3.3895856692260251E-2</v>
      </c>
      <c r="S24" s="57">
        <f>(P24/J24)^(1/6)-1</f>
        <v>1.9331242916385882E-2</v>
      </c>
    </row>
    <row r="25" spans="1:19" ht="17.100000000000001" customHeight="1" x14ac:dyDescent="0.2">
      <c r="A25" s="70" t="s">
        <v>4</v>
      </c>
      <c r="B25" s="66"/>
      <c r="C25" s="59">
        <f t="shared" ref="C25:P25" si="24">C24/B24-1</f>
        <v>5.6939589495384135E-2</v>
      </c>
      <c r="D25" s="59">
        <f t="shared" si="24"/>
        <v>4.652410158345166E-2</v>
      </c>
      <c r="E25" s="59">
        <f t="shared" si="24"/>
        <v>3.7367615003768062E-2</v>
      </c>
      <c r="F25" s="59">
        <f t="shared" si="24"/>
        <v>1.252729055112245E-2</v>
      </c>
      <c r="G25" s="59">
        <f t="shared" si="24"/>
        <v>3.4329031797098342E-2</v>
      </c>
      <c r="H25" s="59">
        <f t="shared" si="24"/>
        <v>7.0945511234590253E-2</v>
      </c>
      <c r="I25" s="59">
        <f t="shared" si="24"/>
        <v>3.9543623444477038E-2</v>
      </c>
      <c r="J25" s="59">
        <f t="shared" si="24"/>
        <v>9.8399265480528797E-3</v>
      </c>
      <c r="K25" s="59">
        <f t="shared" si="24"/>
        <v>1.5922128624119569E-2</v>
      </c>
      <c r="L25" s="59">
        <f t="shared" si="24"/>
        <v>1.8937393219595089E-2</v>
      </c>
      <c r="M25" s="59">
        <f t="shared" si="24"/>
        <v>1.7798019906033025E-2</v>
      </c>
      <c r="N25" s="59">
        <f t="shared" si="24"/>
        <v>2.2309868498152419E-2</v>
      </c>
      <c r="O25" s="59">
        <f t="shared" si="24"/>
        <v>2.143391174564413E-2</v>
      </c>
      <c r="P25" s="59">
        <f t="shared" si="24"/>
        <v>1.9599623982887282E-2</v>
      </c>
      <c r="R25" s="109"/>
      <c r="S25" s="109"/>
    </row>
    <row r="26" spans="1:19" ht="17.100000000000001" customHeight="1" x14ac:dyDescent="0.2">
      <c r="R26" s="109"/>
      <c r="S26" s="109"/>
    </row>
    <row r="27" spans="1:19" x14ac:dyDescent="0.2">
      <c r="A27" s="71" t="s">
        <v>12</v>
      </c>
      <c r="R27" s="109"/>
      <c r="S27" s="109"/>
    </row>
    <row r="28" spans="1:19" x14ac:dyDescent="0.2">
      <c r="A28" s="72" t="s">
        <v>84</v>
      </c>
      <c r="B28" s="88">
        <v>9.4259813664365769E-2</v>
      </c>
      <c r="C28" s="88">
        <v>0.1029411908069652</v>
      </c>
      <c r="D28" s="88">
        <v>0.11232297200484434</v>
      </c>
      <c r="E28" s="88">
        <v>0.12244307690414671</v>
      </c>
      <c r="F28" s="88">
        <v>0.13333802357512009</v>
      </c>
      <c r="G28" s="88">
        <v>0.14504217245714487</v>
      </c>
      <c r="H28" s="88">
        <v>0.15758688023999606</v>
      </c>
      <c r="I28" s="88">
        <v>0.17099957199482888</v>
      </c>
      <c r="J28" s="88">
        <v>0.18530274551721715</v>
      </c>
      <c r="K28" s="88">
        <v>0.20051292821608135</v>
      </c>
      <c r="L28" s="88">
        <v>0.2166396137185575</v>
      </c>
      <c r="M28" s="88">
        <v>0.23368421227570788</v>
      </c>
      <c r="N28" s="88">
        <v>0.2516390555317351</v>
      </c>
      <c r="O28" s="88">
        <v>0.27048650163033378</v>
      </c>
      <c r="P28" s="88">
        <v>0.29019819026964966</v>
      </c>
      <c r="R28" s="109"/>
      <c r="S28" s="109"/>
    </row>
    <row r="29" spans="1:19" x14ac:dyDescent="0.2">
      <c r="A29" s="72" t="s">
        <v>13</v>
      </c>
      <c r="B29" s="88">
        <v>0.17741454876803461</v>
      </c>
      <c r="C29" s="88">
        <v>0.19748707056406151</v>
      </c>
      <c r="D29" s="88">
        <v>0.21922534386252807</v>
      </c>
      <c r="E29" s="88">
        <v>0.24263299362901836</v>
      </c>
      <c r="F29" s="88">
        <v>0.26768310044329907</v>
      </c>
      <c r="G29" s="88">
        <v>0.29431443064781504</v>
      </c>
      <c r="H29" s="88">
        <v>0.3224287265176119</v>
      </c>
      <c r="I29" s="88">
        <v>0.35188945520122616</v>
      </c>
      <c r="J29" s="88">
        <v>0.38252235840789134</v>
      </c>
      <c r="K29" s="88">
        <v>0.41411803247494111</v>
      </c>
      <c r="L29" s="88">
        <v>0.44643660534857688</v>
      </c>
      <c r="M29" s="88">
        <v>0.47921437893521518</v>
      </c>
      <c r="N29" s="88">
        <v>0.51217209793186014</v>
      </c>
      <c r="O29" s="88">
        <v>0.5450243212198318</v>
      </c>
      <c r="P29" s="88">
        <v>0.57748924031685334</v>
      </c>
      <c r="R29" s="109"/>
      <c r="S29" s="109"/>
    </row>
    <row r="30" spans="1:19" x14ac:dyDescent="0.2">
      <c r="A30" s="72" t="s">
        <v>14</v>
      </c>
      <c r="B30" s="88">
        <v>0.28264914122226487</v>
      </c>
      <c r="C30" s="88">
        <v>0.33651255891983634</v>
      </c>
      <c r="D30" s="88">
        <v>0.39498864936152595</v>
      </c>
      <c r="E30" s="88">
        <v>0.45663276061931179</v>
      </c>
      <c r="F30" s="88">
        <v>0.51963448263876333</v>
      </c>
      <c r="G30" s="88">
        <v>0.58201790178458801</v>
      </c>
      <c r="H30" s="88">
        <v>0.64188313118568197</v>
      </c>
      <c r="I30" s="88">
        <v>0.69762866833724346</v>
      </c>
      <c r="J30" s="88">
        <v>0.74810205763294912</v>
      </c>
      <c r="K30" s="88">
        <v>0.79265428687303008</v>
      </c>
      <c r="L30" s="88">
        <v>0.83110570215745405</v>
      </c>
      <c r="M30" s="88">
        <v>0.86365302662225518</v>
      </c>
      <c r="N30" s="88">
        <v>0.89075267423555893</v>
      </c>
      <c r="O30" s="88">
        <v>0.91300865388759656</v>
      </c>
      <c r="P30" s="88">
        <v>0.93108142382129944</v>
      </c>
      <c r="R30" s="109"/>
      <c r="S30" s="109"/>
    </row>
    <row r="31" spans="1:19" x14ac:dyDescent="0.2">
      <c r="A31" s="73" t="s">
        <v>15</v>
      </c>
      <c r="B31" s="89">
        <v>9.6883761756368952E-2</v>
      </c>
      <c r="C31" s="89">
        <v>0.10596910884447883</v>
      </c>
      <c r="D31" s="89">
        <v>0.11567725374567717</v>
      </c>
      <c r="E31" s="89">
        <v>0.12604059834261974</v>
      </c>
      <c r="F31" s="89">
        <v>0.13710090115343065</v>
      </c>
      <c r="G31" s="89">
        <v>0.14937974518319941</v>
      </c>
      <c r="H31" s="89">
        <v>0.16232169754808884</v>
      </c>
      <c r="I31" s="89">
        <v>0.17601772072701738</v>
      </c>
      <c r="J31" s="89">
        <v>0.19081375431252567</v>
      </c>
      <c r="K31" s="89">
        <v>0.20652691685553512</v>
      </c>
      <c r="L31" s="89">
        <v>0.22312813161107198</v>
      </c>
      <c r="M31" s="89">
        <v>0.24059073287266261</v>
      </c>
      <c r="N31" s="89">
        <v>0.25897063461877795</v>
      </c>
      <c r="O31" s="89">
        <v>0.27823294562288303</v>
      </c>
      <c r="P31" s="89">
        <v>0.2982625075853661</v>
      </c>
      <c r="R31" s="109"/>
      <c r="S31" s="109"/>
    </row>
    <row r="32" spans="1:19" ht="17.100000000000001" customHeight="1" x14ac:dyDescent="0.2">
      <c r="B32" s="108"/>
      <c r="C32" s="108"/>
      <c r="D32" s="108"/>
      <c r="E32" s="108"/>
      <c r="F32" s="108"/>
      <c r="G32" s="108"/>
      <c r="H32" s="108"/>
      <c r="I32" s="108"/>
      <c r="J32" s="108"/>
      <c r="K32" s="108"/>
      <c r="L32" s="108"/>
      <c r="M32" s="108"/>
      <c r="N32" s="108"/>
      <c r="O32" s="108"/>
      <c r="P32" s="108"/>
      <c r="R32" s="109"/>
      <c r="S32" s="109"/>
    </row>
    <row r="33" spans="1:19" x14ac:dyDescent="0.2">
      <c r="A33" s="67" t="s">
        <v>16</v>
      </c>
      <c r="R33" s="109"/>
      <c r="S33" s="109"/>
    </row>
    <row r="34" spans="1:19" x14ac:dyDescent="0.2">
      <c r="A34" s="68" t="s">
        <v>83</v>
      </c>
      <c r="B34" s="43">
        <f t="shared" ref="B34:P34" si="25">B28*B18</f>
        <v>40.805073335303938</v>
      </c>
      <c r="C34" s="43">
        <f t="shared" si="25"/>
        <v>47.089315381547351</v>
      </c>
      <c r="D34" s="43">
        <f t="shared" si="25"/>
        <v>53.817530222625074</v>
      </c>
      <c r="E34" s="43">
        <f t="shared" si="25"/>
        <v>60.953632999807077</v>
      </c>
      <c r="F34" s="43">
        <f t="shared" si="25"/>
        <v>67.342235468590815</v>
      </c>
      <c r="G34" s="43">
        <f t="shared" si="25"/>
        <v>75.694899046279673</v>
      </c>
      <c r="H34" s="43">
        <f t="shared" si="25"/>
        <v>88.097684703127882</v>
      </c>
      <c r="I34" s="43">
        <f t="shared" si="25"/>
        <v>99.468741033672018</v>
      </c>
      <c r="J34" s="43">
        <f t="shared" si="25"/>
        <v>108.82120743510099</v>
      </c>
      <c r="K34" s="43">
        <f t="shared" si="25"/>
        <v>119.59182375967346</v>
      </c>
      <c r="L34" s="43">
        <f t="shared" si="25"/>
        <v>131.62880607154963</v>
      </c>
      <c r="M34" s="43">
        <f t="shared" si="25"/>
        <v>144.51085826445237</v>
      </c>
      <c r="N34" s="43">
        <f t="shared" si="25"/>
        <v>159.0637292573482</v>
      </c>
      <c r="O34" s="43">
        <f t="shared" si="25"/>
        <v>174.60613734714775</v>
      </c>
      <c r="P34" s="43">
        <f t="shared" si="25"/>
        <v>191.00699717241102</v>
      </c>
      <c r="R34" s="57">
        <f>(J34/D34)^(1/6)-1</f>
        <v>0.12451424891835816</v>
      </c>
      <c r="S34" s="57">
        <f>(P34/J34)^(1/6)-1</f>
        <v>9.8304145396105325E-2</v>
      </c>
    </row>
    <row r="35" spans="1:19" x14ac:dyDescent="0.2">
      <c r="A35" s="62" t="s">
        <v>4</v>
      </c>
      <c r="B35" s="75"/>
      <c r="C35" s="63">
        <f t="shared" ref="C35:P35" si="26">C34/B34-1</f>
        <v>0.1540063902006612</v>
      </c>
      <c r="D35" s="63">
        <f t="shared" si="26"/>
        <v>0.142881984725441</v>
      </c>
      <c r="E35" s="63">
        <f t="shared" si="26"/>
        <v>0.13259810971745334</v>
      </c>
      <c r="F35" s="63">
        <f t="shared" si="26"/>
        <v>0.10481085629143649</v>
      </c>
      <c r="G35" s="63">
        <f t="shared" si="26"/>
        <v>0.12403306067237163</v>
      </c>
      <c r="H35" s="63">
        <f t="shared" si="26"/>
        <v>0.16385233104367014</v>
      </c>
      <c r="I35" s="63">
        <f t="shared" si="26"/>
        <v>0.12907327098166532</v>
      </c>
      <c r="J35" s="63">
        <f t="shared" si="26"/>
        <v>9.4024175879163785E-2</v>
      </c>
      <c r="K35" s="63">
        <f t="shared" si="26"/>
        <v>9.8975342935758936E-2</v>
      </c>
      <c r="L35" s="63">
        <f t="shared" si="26"/>
        <v>0.10065054560974973</v>
      </c>
      <c r="M35" s="63">
        <f t="shared" si="26"/>
        <v>9.786651248587952E-2</v>
      </c>
      <c r="N35" s="63">
        <f t="shared" si="26"/>
        <v>0.10070434268866024</v>
      </c>
      <c r="O35" s="63">
        <f t="shared" si="26"/>
        <v>9.7711830109638464E-2</v>
      </c>
      <c r="P35" s="63">
        <f t="shared" si="26"/>
        <v>9.3930603324987816E-2</v>
      </c>
      <c r="R35" s="109"/>
      <c r="S35" s="109"/>
    </row>
    <row r="36" spans="1:19" x14ac:dyDescent="0.2">
      <c r="A36" s="68" t="s">
        <v>17</v>
      </c>
      <c r="B36" s="43">
        <f t="shared" ref="B36:P36" si="27">B29*B20</f>
        <v>2.2753415879500438</v>
      </c>
      <c r="C36" s="43">
        <f t="shared" si="27"/>
        <v>2.6998457416812847</v>
      </c>
      <c r="D36" s="43">
        <f t="shared" si="27"/>
        <v>3.0483284064084524</v>
      </c>
      <c r="E36" s="43">
        <f t="shared" si="27"/>
        <v>3.3182488208704548</v>
      </c>
      <c r="F36" s="43">
        <f t="shared" si="27"/>
        <v>3.4464199182074751</v>
      </c>
      <c r="G36" s="43">
        <f t="shared" si="27"/>
        <v>4.0638446058818163</v>
      </c>
      <c r="H36" s="43">
        <f t="shared" si="27"/>
        <v>4.735125583306349</v>
      </c>
      <c r="I36" s="43">
        <f t="shared" si="27"/>
        <v>5.1867113273605394</v>
      </c>
      <c r="J36" s="43">
        <f t="shared" si="27"/>
        <v>5.7505965396562804</v>
      </c>
      <c r="K36" s="43">
        <f t="shared" si="27"/>
        <v>6.4005095063521251</v>
      </c>
      <c r="L36" s="43">
        <f t="shared" si="27"/>
        <v>7.093284819959119</v>
      </c>
      <c r="M36" s="43">
        <f t="shared" si="27"/>
        <v>7.7524955028935922</v>
      </c>
      <c r="N36" s="43">
        <f t="shared" si="27"/>
        <v>8.5172967037870215</v>
      </c>
      <c r="O36" s="43">
        <f t="shared" si="27"/>
        <v>9.3326763021505705</v>
      </c>
      <c r="P36" s="43">
        <f t="shared" si="27"/>
        <v>10.075616273825643</v>
      </c>
      <c r="R36" s="57">
        <f>(J36/D36)^(1/6)-1</f>
        <v>0.11158290098766543</v>
      </c>
      <c r="S36" s="57">
        <f>(P36/J36)^(1/6)-1</f>
        <v>9.7976689817370621E-2</v>
      </c>
    </row>
    <row r="37" spans="1:19" x14ac:dyDescent="0.2">
      <c r="A37" s="62" t="s">
        <v>4</v>
      </c>
      <c r="B37" s="75"/>
      <c r="C37" s="63">
        <f t="shared" ref="C37:P37" si="28">C36/B36-1</f>
        <v>0.18656721961193323</v>
      </c>
      <c r="D37" s="63">
        <f t="shared" si="28"/>
        <v>0.12907502800888015</v>
      </c>
      <c r="E37" s="63">
        <f t="shared" si="28"/>
        <v>8.8547025935444834E-2</v>
      </c>
      <c r="F37" s="63">
        <f t="shared" si="28"/>
        <v>3.862612608520366E-2</v>
      </c>
      <c r="G37" s="63">
        <f t="shared" si="28"/>
        <v>0.17914958197997866</v>
      </c>
      <c r="H37" s="63">
        <f t="shared" si="28"/>
        <v>0.16518372194964148</v>
      </c>
      <c r="I37" s="63">
        <f t="shared" si="28"/>
        <v>9.5369327826542172E-2</v>
      </c>
      <c r="J37" s="63">
        <f t="shared" si="28"/>
        <v>0.10871729246260098</v>
      </c>
      <c r="K37" s="63">
        <f t="shared" si="28"/>
        <v>0.11301661700904009</v>
      </c>
      <c r="L37" s="63">
        <f t="shared" si="28"/>
        <v>0.10823752592187463</v>
      </c>
      <c r="M37" s="63">
        <f t="shared" si="28"/>
        <v>9.2934472485805664E-2</v>
      </c>
      <c r="N37" s="63">
        <f t="shared" si="28"/>
        <v>9.8652259857225255E-2</v>
      </c>
      <c r="O37" s="63">
        <f t="shared" si="28"/>
        <v>9.5732205501424916E-2</v>
      </c>
      <c r="P37" s="63">
        <f t="shared" si="28"/>
        <v>7.9606315232842118E-2</v>
      </c>
      <c r="R37" s="109"/>
      <c r="S37" s="109"/>
    </row>
    <row r="38" spans="1:19" x14ac:dyDescent="0.2">
      <c r="A38" s="68" t="s">
        <v>18</v>
      </c>
      <c r="B38" s="43">
        <f t="shared" ref="B38:P38" si="29">B30*B22</f>
        <v>0.15687027337835702</v>
      </c>
      <c r="C38" s="43">
        <f t="shared" si="29"/>
        <v>0.19551379673242489</v>
      </c>
      <c r="D38" s="43">
        <f t="shared" si="29"/>
        <v>0.23659820096755405</v>
      </c>
      <c r="E38" s="43">
        <f t="shared" si="29"/>
        <v>0.27123985980787119</v>
      </c>
      <c r="F38" s="43">
        <f t="shared" si="29"/>
        <v>0.29775055855201132</v>
      </c>
      <c r="G38" s="43">
        <f t="shared" si="29"/>
        <v>0.35309086043538396</v>
      </c>
      <c r="H38" s="43">
        <f t="shared" si="29"/>
        <v>0.39573623329238489</v>
      </c>
      <c r="I38" s="43">
        <f t="shared" si="29"/>
        <v>0.43698130969462623</v>
      </c>
      <c r="J38" s="43">
        <f t="shared" si="29"/>
        <v>0.47571843984184603</v>
      </c>
      <c r="K38" s="43">
        <f t="shared" si="29"/>
        <v>0.51178845641717086</v>
      </c>
      <c r="L38" s="43">
        <f t="shared" si="29"/>
        <v>0.53901617728696805</v>
      </c>
      <c r="M38" s="43">
        <f t="shared" si="29"/>
        <v>0.56924966739929217</v>
      </c>
      <c r="N38" s="43">
        <f t="shared" si="29"/>
        <v>0.59736391772767228</v>
      </c>
      <c r="O38" s="43">
        <f t="shared" si="29"/>
        <v>0.62157464875201529</v>
      </c>
      <c r="P38" s="43">
        <f t="shared" si="29"/>
        <v>0.6417125385308261</v>
      </c>
      <c r="R38" s="57">
        <f>(J38/D38)^(1/6)-1</f>
        <v>0.12345692257656915</v>
      </c>
      <c r="S38" s="57">
        <f>(P38/J38)^(1/6)-1</f>
        <v>5.1150956592965535E-2</v>
      </c>
    </row>
    <row r="39" spans="1:19" x14ac:dyDescent="0.2">
      <c r="A39" s="62" t="s">
        <v>4</v>
      </c>
      <c r="B39" s="75"/>
      <c r="C39" s="63">
        <f t="shared" ref="C39:P39" si="30">C38/B38-1</f>
        <v>0.24634063880836843</v>
      </c>
      <c r="D39" s="63">
        <f t="shared" si="30"/>
        <v>0.21013557570750985</v>
      </c>
      <c r="E39" s="63">
        <f t="shared" si="30"/>
        <v>0.14641556317272131</v>
      </c>
      <c r="F39" s="63">
        <f t="shared" si="30"/>
        <v>9.7738948703625761E-2</v>
      </c>
      <c r="G39" s="63">
        <f t="shared" si="30"/>
        <v>0.18586128654971357</v>
      </c>
      <c r="H39" s="63">
        <f t="shared" si="30"/>
        <v>0.12077733420915071</v>
      </c>
      <c r="I39" s="63">
        <f t="shared" si="30"/>
        <v>0.10422365437477632</v>
      </c>
      <c r="J39" s="63">
        <f t="shared" si="30"/>
        <v>8.8647109814125269E-2</v>
      </c>
      <c r="K39" s="63">
        <f t="shared" si="30"/>
        <v>7.5822195556086491E-2</v>
      </c>
      <c r="L39" s="63">
        <f t="shared" si="30"/>
        <v>5.3201123488418878E-2</v>
      </c>
      <c r="M39" s="63">
        <f t="shared" si="30"/>
        <v>5.6090134927857749E-2</v>
      </c>
      <c r="N39" s="63">
        <f t="shared" si="30"/>
        <v>4.9388259560738224E-2</v>
      </c>
      <c r="O39" s="63">
        <f t="shared" si="30"/>
        <v>4.0529282579434778E-2</v>
      </c>
      <c r="P39" s="63">
        <f t="shared" si="30"/>
        <v>3.2398183901552802E-2</v>
      </c>
      <c r="R39" s="109"/>
      <c r="S39" s="109"/>
    </row>
    <row r="40" spans="1:19" x14ac:dyDescent="0.2">
      <c r="A40" s="73" t="s">
        <v>19</v>
      </c>
      <c r="B40" s="56">
        <f t="shared" ref="B40:P40" si="31">B38+B36+B34</f>
        <v>43.237285196632335</v>
      </c>
      <c r="C40" s="56">
        <f t="shared" si="31"/>
        <v>49.984674919961058</v>
      </c>
      <c r="D40" s="56">
        <f t="shared" si="31"/>
        <v>57.102456830001081</v>
      </c>
      <c r="E40" s="56">
        <f t="shared" si="31"/>
        <v>64.543121680485399</v>
      </c>
      <c r="F40" s="56">
        <f t="shared" si="31"/>
        <v>71.086405945350307</v>
      </c>
      <c r="G40" s="56">
        <f t="shared" si="31"/>
        <v>80.111834512596872</v>
      </c>
      <c r="H40" s="56">
        <f t="shared" si="31"/>
        <v>93.228546519726621</v>
      </c>
      <c r="I40" s="56">
        <f t="shared" si="31"/>
        <v>105.09243367072719</v>
      </c>
      <c r="J40" s="56">
        <f t="shared" si="31"/>
        <v>115.04752241459911</v>
      </c>
      <c r="K40" s="56">
        <f t="shared" si="31"/>
        <v>126.50412172244276</v>
      </c>
      <c r="L40" s="56">
        <f t="shared" si="31"/>
        <v>139.26110706879572</v>
      </c>
      <c r="M40" s="56">
        <f t="shared" si="31"/>
        <v>152.83260343474524</v>
      </c>
      <c r="N40" s="56">
        <f t="shared" si="31"/>
        <v>168.1783898788629</v>
      </c>
      <c r="O40" s="56">
        <f t="shared" si="31"/>
        <v>184.56038829805033</v>
      </c>
      <c r="P40" s="56">
        <f t="shared" si="31"/>
        <v>201.72432598476749</v>
      </c>
      <c r="R40" s="57">
        <f>(J40/D40)^(1/6)-1</f>
        <v>0.1238380863555566</v>
      </c>
      <c r="S40" s="57">
        <f>(P40/J40)^(1/6)-1</f>
        <v>9.8112496330214016E-2</v>
      </c>
    </row>
    <row r="41" spans="1:19" x14ac:dyDescent="0.2">
      <c r="A41" s="74" t="s">
        <v>4</v>
      </c>
      <c r="B41" s="66"/>
      <c r="C41" s="59">
        <f t="shared" ref="C41:P41" si="32">C40/B40-1</f>
        <v>0.15605488856766292</v>
      </c>
      <c r="D41" s="59">
        <f t="shared" si="32"/>
        <v>0.14239928380923783</v>
      </c>
      <c r="E41" s="59">
        <f t="shared" si="32"/>
        <v>0.13030376035545754</v>
      </c>
      <c r="F41" s="59">
        <f t="shared" si="32"/>
        <v>0.10137849075935335</v>
      </c>
      <c r="G41" s="59">
        <f t="shared" si="32"/>
        <v>0.12696419867091202</v>
      </c>
      <c r="H41" s="59">
        <f t="shared" si="32"/>
        <v>0.16373001675635401</v>
      </c>
      <c r="I41" s="59">
        <f t="shared" si="32"/>
        <v>0.12725594888997049</v>
      </c>
      <c r="J41" s="59">
        <f t="shared" si="32"/>
        <v>9.4726978871408907E-2</v>
      </c>
      <c r="K41" s="59">
        <f t="shared" si="32"/>
        <v>9.9581451798303577E-2</v>
      </c>
      <c r="L41" s="59">
        <f t="shared" si="32"/>
        <v>0.10084244823534294</v>
      </c>
      <c r="M41" s="59">
        <f t="shared" si="32"/>
        <v>9.7453601020456748E-2</v>
      </c>
      <c r="N41" s="59">
        <f t="shared" si="32"/>
        <v>0.10040911493515092</v>
      </c>
      <c r="O41" s="59">
        <f t="shared" si="32"/>
        <v>9.7408462710263821E-2</v>
      </c>
      <c r="P41" s="59">
        <f t="shared" si="32"/>
        <v>9.2999033243248208E-2</v>
      </c>
      <c r="R41" s="109"/>
      <c r="S41" s="109"/>
    </row>
    <row r="42" spans="1:19" ht="17.100000000000001" customHeight="1" x14ac:dyDescent="0.2">
      <c r="R42" s="109"/>
      <c r="S42" s="109"/>
    </row>
    <row r="43" spans="1:19" x14ac:dyDescent="0.2">
      <c r="A43" s="76" t="s">
        <v>20</v>
      </c>
      <c r="B43" s="56">
        <f t="shared" ref="B43:O43" si="33">B55+B111</f>
        <v>24.796818533000003</v>
      </c>
      <c r="C43" s="56">
        <f t="shared" si="33"/>
        <v>31.518659705400005</v>
      </c>
      <c r="D43" s="56">
        <f t="shared" si="33"/>
        <v>40.128591000000029</v>
      </c>
      <c r="E43" s="56">
        <f t="shared" si="33"/>
        <v>50.782856229600021</v>
      </c>
      <c r="F43" s="56">
        <f t="shared" si="33"/>
        <v>62.608803444400039</v>
      </c>
      <c r="G43" s="56">
        <f t="shared" si="33"/>
        <v>80.31341985220007</v>
      </c>
      <c r="H43" s="56">
        <f t="shared" si="33"/>
        <v>104.71181553180014</v>
      </c>
      <c r="I43" s="56">
        <f t="shared" si="33"/>
        <v>129.34091368760022</v>
      </c>
      <c r="J43" s="56">
        <f t="shared" si="33"/>
        <v>157.23999559060024</v>
      </c>
      <c r="K43" s="56">
        <f t="shared" si="33"/>
        <v>187.41826674414477</v>
      </c>
      <c r="L43" s="56">
        <f t="shared" si="33"/>
        <v>217.15732535829528</v>
      </c>
      <c r="M43" s="56">
        <f t="shared" si="33"/>
        <v>248.82009696118499</v>
      </c>
      <c r="N43" s="56">
        <f t="shared" si="33"/>
        <v>285.32951893365896</v>
      </c>
      <c r="O43" s="56">
        <f t="shared" si="33"/>
        <v>329.49510505658242</v>
      </c>
      <c r="P43" s="56">
        <f>P55+P111</f>
        <v>380.74645003288202</v>
      </c>
      <c r="R43" s="57">
        <f>(J43/D43)^(1/6)-1</f>
        <v>0.25560061185913385</v>
      </c>
      <c r="S43" s="57">
        <f>(P43/J43)^(1/6)-1</f>
        <v>0.15880974827709271</v>
      </c>
    </row>
    <row r="44" spans="1:19" x14ac:dyDescent="0.2">
      <c r="A44" s="58" t="s">
        <v>4</v>
      </c>
      <c r="B44" s="66"/>
      <c r="C44" s="59">
        <f t="shared" ref="C44:P44" si="34">C43/B43-1</f>
        <v>0.27107675782901208</v>
      </c>
      <c r="D44" s="59">
        <f t="shared" si="34"/>
        <v>0.27316933445380309</v>
      </c>
      <c r="E44" s="59">
        <f t="shared" si="34"/>
        <v>0.2655030980180686</v>
      </c>
      <c r="F44" s="59">
        <f t="shared" si="34"/>
        <v>0.2328728254537793</v>
      </c>
      <c r="G44" s="59">
        <f t="shared" si="34"/>
        <v>0.28278158076479887</v>
      </c>
      <c r="H44" s="59">
        <f t="shared" si="34"/>
        <v>0.30378977416850361</v>
      </c>
      <c r="I44" s="59">
        <f t="shared" si="34"/>
        <v>0.23520839583113151</v>
      </c>
      <c r="J44" s="59">
        <f t="shared" si="34"/>
        <v>0.21570190829473534</v>
      </c>
      <c r="K44" s="59">
        <f t="shared" si="34"/>
        <v>0.19192490460326983</v>
      </c>
      <c r="L44" s="59">
        <f t="shared" si="34"/>
        <v>0.15867748182064334</v>
      </c>
      <c r="M44" s="59">
        <f t="shared" si="34"/>
        <v>0.14580568051594955</v>
      </c>
      <c r="N44" s="59">
        <f t="shared" si="34"/>
        <v>0.14673019751362482</v>
      </c>
      <c r="O44" s="59">
        <f t="shared" si="34"/>
        <v>0.15478800191434883</v>
      </c>
      <c r="P44" s="59">
        <f t="shared" si="34"/>
        <v>0.15554508758938468</v>
      </c>
      <c r="R44" s="109"/>
      <c r="S44" s="109"/>
    </row>
    <row r="45" spans="1:19" x14ac:dyDescent="0.2">
      <c r="A45" s="58"/>
      <c r="B45" s="66"/>
      <c r="C45" s="59"/>
      <c r="D45" s="59"/>
      <c r="E45" s="59"/>
      <c r="F45" s="59"/>
      <c r="G45" s="59"/>
      <c r="H45" s="59"/>
      <c r="I45" s="59"/>
      <c r="J45" s="59"/>
      <c r="K45" s="59"/>
      <c r="L45" s="59"/>
      <c r="M45" s="59"/>
      <c r="N45" s="59"/>
      <c r="O45" s="59"/>
      <c r="P45" s="59"/>
      <c r="R45" s="109"/>
      <c r="S45" s="109"/>
    </row>
    <row r="46" spans="1:19" x14ac:dyDescent="0.2">
      <c r="A46" s="67" t="s">
        <v>21</v>
      </c>
      <c r="R46" s="109"/>
      <c r="S46" s="109"/>
    </row>
    <row r="47" spans="1:19" x14ac:dyDescent="0.2">
      <c r="A47" s="68" t="s">
        <v>82</v>
      </c>
      <c r="B47" s="43">
        <v>2.0472115349316304</v>
      </c>
      <c r="C47" s="43">
        <v>2.6663457813250742</v>
      </c>
      <c r="D47" s="43">
        <v>3.4666094241002456</v>
      </c>
      <c r="E47" s="43">
        <v>4.5731041830929717</v>
      </c>
      <c r="F47" s="43">
        <v>5.9776599945723525</v>
      </c>
      <c r="G47" s="43">
        <v>7.9933158826794308</v>
      </c>
      <c r="H47" s="43">
        <v>10.645490369519846</v>
      </c>
      <c r="I47" s="43">
        <v>13.263519149036226</v>
      </c>
      <c r="J47" s="43">
        <v>16.049766411338094</v>
      </c>
      <c r="K47" s="43">
        <v>20.437360197196021</v>
      </c>
      <c r="L47" s="43">
        <v>24.309749593519452</v>
      </c>
      <c r="M47" s="43">
        <v>28.567682998725871</v>
      </c>
      <c r="N47" s="43">
        <v>33.716857799669306</v>
      </c>
      <c r="O47" s="43">
        <v>40.087504516365321</v>
      </c>
      <c r="P47" s="43">
        <v>47.843588915476779</v>
      </c>
      <c r="R47" s="57">
        <f>(J47/D47)^(1/6)-1</f>
        <v>0.29100314561317631</v>
      </c>
      <c r="S47" s="57">
        <f>(P47/J47)^(1/6)-1</f>
        <v>0.19966274530918438</v>
      </c>
    </row>
    <row r="48" spans="1:19" x14ac:dyDescent="0.2">
      <c r="A48" s="62" t="s">
        <v>4</v>
      </c>
      <c r="B48" s="63"/>
      <c r="C48" s="63">
        <f t="shared" ref="C48:P48" si="35">C47/B47-1</f>
        <v>0.30242807635124058</v>
      </c>
      <c r="D48" s="63">
        <f t="shared" si="35"/>
        <v>0.30013498188425891</v>
      </c>
      <c r="E48" s="63">
        <f t="shared" si="35"/>
        <v>0.31918645097433074</v>
      </c>
      <c r="F48" s="63">
        <f t="shared" si="35"/>
        <v>0.3071340068464008</v>
      </c>
      <c r="G48" s="63">
        <f t="shared" si="35"/>
        <v>0.33719814943259929</v>
      </c>
      <c r="H48" s="63">
        <f t="shared" si="35"/>
        <v>0.33179903381365961</v>
      </c>
      <c r="I48" s="63">
        <f t="shared" si="35"/>
        <v>0.24592843435491862</v>
      </c>
      <c r="J48" s="63">
        <f t="shared" si="35"/>
        <v>0.21006847662328942</v>
      </c>
      <c r="K48" s="63">
        <f t="shared" si="35"/>
        <v>0.27337430797487383</v>
      </c>
      <c r="L48" s="63">
        <f t="shared" si="35"/>
        <v>0.18947600663488418</v>
      </c>
      <c r="M48" s="63">
        <f t="shared" si="35"/>
        <v>0.17515332228438529</v>
      </c>
      <c r="N48" s="63">
        <f t="shared" si="35"/>
        <v>0.18024474722619566</v>
      </c>
      <c r="O48" s="63">
        <f t="shared" si="35"/>
        <v>0.18894544546670344</v>
      </c>
      <c r="P48" s="63">
        <f t="shared" si="35"/>
        <v>0.19347885314101099</v>
      </c>
      <c r="R48" s="109"/>
      <c r="S48" s="109"/>
    </row>
    <row r="49" spans="1:19" x14ac:dyDescent="0.2">
      <c r="A49" s="68" t="s">
        <v>10</v>
      </c>
      <c r="B49" s="43">
        <v>13.9520496197211</v>
      </c>
      <c r="C49" s="43">
        <v>17.086532285509339</v>
      </c>
      <c r="D49" s="43">
        <v>20.917085111298231</v>
      </c>
      <c r="E49" s="43">
        <v>25.605880289812397</v>
      </c>
      <c r="F49" s="43">
        <v>30.254964314323718</v>
      </c>
      <c r="G49" s="43">
        <v>37.354007291374664</v>
      </c>
      <c r="H49" s="43">
        <v>46.851364993041621</v>
      </c>
      <c r="I49" s="43">
        <v>56.679589827148746</v>
      </c>
      <c r="J49" s="43">
        <v>66.8298488773831</v>
      </c>
      <c r="K49" s="43">
        <v>75.970596985948063</v>
      </c>
      <c r="L49" s="43">
        <v>84.415201506231909</v>
      </c>
      <c r="M49" s="43">
        <v>92.589001868635506</v>
      </c>
      <c r="N49" s="43">
        <v>101.88739581195696</v>
      </c>
      <c r="O49" s="43">
        <v>112.80522438539927</v>
      </c>
      <c r="P49" s="43">
        <v>125.185205021954</v>
      </c>
      <c r="R49" s="57">
        <f>(J49/D49)^(1/6)-1</f>
        <v>0.21360740934259548</v>
      </c>
      <c r="S49" s="57">
        <f>(P49/J49)^(1/6)-1</f>
        <v>0.11027464219270611</v>
      </c>
    </row>
    <row r="50" spans="1:19" x14ac:dyDescent="0.2">
      <c r="A50" s="62" t="s">
        <v>4</v>
      </c>
      <c r="B50" s="63"/>
      <c r="C50" s="63">
        <f t="shared" ref="C50:P50" si="36">C49/B49-1</f>
        <v>0.22466108931820861</v>
      </c>
      <c r="D50" s="63">
        <f t="shared" si="36"/>
        <v>0.2241855024636854</v>
      </c>
      <c r="E50" s="63">
        <f t="shared" si="36"/>
        <v>0.22416102212929956</v>
      </c>
      <c r="F50" s="63">
        <f t="shared" si="36"/>
        <v>0.18156313986834549</v>
      </c>
      <c r="G50" s="63">
        <f t="shared" si="36"/>
        <v>0.23464059991272301</v>
      </c>
      <c r="H50" s="63">
        <f t="shared" si="36"/>
        <v>0.25425271317168607</v>
      </c>
      <c r="I50" s="63">
        <f t="shared" si="36"/>
        <v>0.20977456762608337</v>
      </c>
      <c r="J50" s="63">
        <f t="shared" si="36"/>
        <v>0.17908137799142154</v>
      </c>
      <c r="K50" s="63">
        <f t="shared" si="36"/>
        <v>0.13677642942655854</v>
      </c>
      <c r="L50" s="63">
        <f t="shared" si="36"/>
        <v>0.11115622168726413</v>
      </c>
      <c r="M50" s="63">
        <f t="shared" si="36"/>
        <v>9.6828535815319583E-2</v>
      </c>
      <c r="N50" s="63">
        <f t="shared" si="36"/>
        <v>0.1004265491112426</v>
      </c>
      <c r="O50" s="63">
        <f t="shared" si="36"/>
        <v>0.10715583106660431</v>
      </c>
      <c r="P50" s="63">
        <f t="shared" si="36"/>
        <v>0.10974651842594185</v>
      </c>
      <c r="R50" s="109"/>
      <c r="S50" s="109"/>
    </row>
    <row r="51" spans="1:19" x14ac:dyDescent="0.2">
      <c r="A51" s="68" t="s">
        <v>11</v>
      </c>
      <c r="B51" s="43">
        <v>2.3604010036847254</v>
      </c>
      <c r="C51" s="43">
        <v>3.3765098222730821</v>
      </c>
      <c r="D51" s="43">
        <v>4.8257949754983844</v>
      </c>
      <c r="E51" s="43">
        <v>6.6522372144766466</v>
      </c>
      <c r="F51" s="43">
        <v>8.9516332394920841</v>
      </c>
      <c r="G51" s="43">
        <v>12.544137178614678</v>
      </c>
      <c r="H51" s="43">
        <v>17.581762592641105</v>
      </c>
      <c r="I51" s="43">
        <v>22.578628933010663</v>
      </c>
      <c r="J51" s="43">
        <v>29.414364207270992</v>
      </c>
      <c r="K51" s="43">
        <v>37.699050437586834</v>
      </c>
      <c r="L51" s="43">
        <v>46.15837368449322</v>
      </c>
      <c r="M51" s="43">
        <v>55.70582753708883</v>
      </c>
      <c r="N51" s="43">
        <v>67.381387876239089</v>
      </c>
      <c r="O51" s="43">
        <v>81.95629161596969</v>
      </c>
      <c r="P51" s="43">
        <v>99.902619899895839</v>
      </c>
      <c r="R51" s="57">
        <f>(J51/D51)^(1/6)-1</f>
        <v>0.35154890944470418</v>
      </c>
      <c r="S51" s="57">
        <f>(P51/J51)^(1/6)-1</f>
        <v>0.2260350951493344</v>
      </c>
    </row>
    <row r="52" spans="1:19" x14ac:dyDescent="0.2">
      <c r="A52" s="62" t="s">
        <v>4</v>
      </c>
      <c r="B52" s="63"/>
      <c r="C52" s="63">
        <f t="shared" ref="C52:P52" si="37">C51/B51-1</f>
        <v>0.4304814381124864</v>
      </c>
      <c r="D52" s="63">
        <f t="shared" si="37"/>
        <v>0.42922580697533319</v>
      </c>
      <c r="E52" s="63">
        <f t="shared" si="37"/>
        <v>0.3784748934116573</v>
      </c>
      <c r="F52" s="63">
        <f t="shared" si="37"/>
        <v>0.34565755111851315</v>
      </c>
      <c r="G52" s="63">
        <f t="shared" si="37"/>
        <v>0.4013238526432783</v>
      </c>
      <c r="H52" s="63">
        <f t="shared" si="37"/>
        <v>0.40159202201763256</v>
      </c>
      <c r="I52" s="63">
        <f t="shared" si="37"/>
        <v>0.28420736055559126</v>
      </c>
      <c r="J52" s="63">
        <f t="shared" si="37"/>
        <v>0.3027524520882785</v>
      </c>
      <c r="K52" s="63">
        <f t="shared" si="37"/>
        <v>0.2816544383532158</v>
      </c>
      <c r="L52" s="63">
        <f t="shared" si="37"/>
        <v>0.22439088382110128</v>
      </c>
      <c r="M52" s="63">
        <f t="shared" si="37"/>
        <v>0.20684120974138764</v>
      </c>
      <c r="N52" s="63">
        <f t="shared" si="37"/>
        <v>0.20959315847837812</v>
      </c>
      <c r="O52" s="63">
        <f t="shared" si="37"/>
        <v>0.21630459388133483</v>
      </c>
      <c r="P52" s="63">
        <f t="shared" si="37"/>
        <v>0.21897438171091177</v>
      </c>
      <c r="R52" s="109"/>
      <c r="S52" s="109"/>
    </row>
    <row r="53" spans="1:19" x14ac:dyDescent="0.2">
      <c r="A53" s="68" t="s">
        <v>22</v>
      </c>
      <c r="B53" s="43">
        <v>0.83715637466254478</v>
      </c>
      <c r="C53" s="43">
        <v>1.0892718162925112</v>
      </c>
      <c r="D53" s="43">
        <v>1.4191014891031688</v>
      </c>
      <c r="E53" s="43">
        <v>1.8516345422180012</v>
      </c>
      <c r="F53" s="43">
        <v>2.3245458960118861</v>
      </c>
      <c r="G53" s="43">
        <v>3.0219594995313104</v>
      </c>
      <c r="H53" s="43">
        <v>4.0331975765975629</v>
      </c>
      <c r="I53" s="43">
        <v>5.019175778404569</v>
      </c>
      <c r="J53" s="43">
        <v>6.14601609460804</v>
      </c>
      <c r="K53" s="43">
        <v>7.6112591234137685</v>
      </c>
      <c r="L53" s="43">
        <v>8.9740005740507023</v>
      </c>
      <c r="M53" s="43">
        <v>10.457584556734753</v>
      </c>
      <c r="N53" s="43">
        <v>12.243877445793633</v>
      </c>
      <c r="O53" s="43">
        <v>14.446084538848146</v>
      </c>
      <c r="P53" s="43">
        <v>17.115036195555383</v>
      </c>
      <c r="R53" s="57">
        <f>(J53/D53)^(1/6)-1</f>
        <v>0.27672307063821733</v>
      </c>
      <c r="S53" s="57">
        <f>(P53/J53)^(1/6)-1</f>
        <v>0.18612562400781307</v>
      </c>
    </row>
    <row r="54" spans="1:19" x14ac:dyDescent="0.2">
      <c r="A54" s="62" t="s">
        <v>4</v>
      </c>
      <c r="C54" s="63">
        <f t="shared" ref="C54:P54" si="38">C53/B53-1</f>
        <v>0.30115692749946921</v>
      </c>
      <c r="D54" s="63">
        <f t="shared" si="38"/>
        <v>0.30279831707505189</v>
      </c>
      <c r="E54" s="63">
        <f t="shared" si="38"/>
        <v>0.30479360104694186</v>
      </c>
      <c r="F54" s="63">
        <f t="shared" si="38"/>
        <v>0.25540210177079703</v>
      </c>
      <c r="G54" s="63">
        <f t="shared" si="38"/>
        <v>0.30002143847361507</v>
      </c>
      <c r="H54" s="63">
        <f t="shared" si="38"/>
        <v>0.33462992380377377</v>
      </c>
      <c r="I54" s="63">
        <f t="shared" si="38"/>
        <v>0.24446563380085751</v>
      </c>
      <c r="J54" s="63">
        <f t="shared" si="38"/>
        <v>0.22450704377635011</v>
      </c>
      <c r="K54" s="63">
        <f t="shared" si="38"/>
        <v>0.23840533546457854</v>
      </c>
      <c r="L54" s="63">
        <f t="shared" si="38"/>
        <v>0.17904284015832106</v>
      </c>
      <c r="M54" s="63">
        <f t="shared" si="38"/>
        <v>0.16532024601981798</v>
      </c>
      <c r="N54" s="63">
        <f t="shared" si="38"/>
        <v>0.1708131432615092</v>
      </c>
      <c r="O54" s="63">
        <f t="shared" si="38"/>
        <v>0.1798619026369852</v>
      </c>
      <c r="P54" s="63">
        <f t="shared" si="38"/>
        <v>0.18475259850030246</v>
      </c>
      <c r="R54" s="109"/>
      <c r="S54" s="109"/>
    </row>
    <row r="55" spans="1:19" x14ac:dyDescent="0.2">
      <c r="A55" s="77" t="s">
        <v>23</v>
      </c>
      <c r="B55" s="56">
        <f t="shared" ref="B55:P55" si="39">B53+B51+B49+B47</f>
        <v>19.196818533000002</v>
      </c>
      <c r="C55" s="56">
        <f t="shared" si="39"/>
        <v>24.218659705400004</v>
      </c>
      <c r="D55" s="56">
        <f t="shared" si="39"/>
        <v>30.628591000000029</v>
      </c>
      <c r="E55" s="56">
        <f t="shared" si="39"/>
        <v>38.68285622960002</v>
      </c>
      <c r="F55" s="56">
        <f t="shared" si="39"/>
        <v>47.508803444400044</v>
      </c>
      <c r="G55" s="56">
        <f t="shared" si="39"/>
        <v>60.913419852200086</v>
      </c>
      <c r="H55" s="56">
        <f t="shared" si="39"/>
        <v>79.111815531800133</v>
      </c>
      <c r="I55" s="56">
        <f t="shared" si="39"/>
        <v>97.540913687600209</v>
      </c>
      <c r="J55" s="56">
        <f t="shared" si="39"/>
        <v>118.43999559060023</v>
      </c>
      <c r="K55" s="56">
        <f t="shared" si="39"/>
        <v>141.7182667441447</v>
      </c>
      <c r="L55" s="56">
        <f t="shared" si="39"/>
        <v>163.8573253582953</v>
      </c>
      <c r="M55" s="56">
        <f t="shared" si="39"/>
        <v>187.32009696118496</v>
      </c>
      <c r="N55" s="56">
        <f t="shared" si="39"/>
        <v>215.22951893365899</v>
      </c>
      <c r="O55" s="56">
        <f t="shared" si="39"/>
        <v>249.29510505658243</v>
      </c>
      <c r="P55" s="56">
        <f t="shared" si="39"/>
        <v>290.04645003288203</v>
      </c>
      <c r="R55" s="57">
        <f>(J55/D55)^(1/6)-1</f>
        <v>0.25283889364281897</v>
      </c>
      <c r="S55" s="57">
        <f>(P55/J55)^(1/6)-1</f>
        <v>0.16098924152386251</v>
      </c>
    </row>
    <row r="56" spans="1:19" x14ac:dyDescent="0.2">
      <c r="A56" s="74" t="s">
        <v>4</v>
      </c>
      <c r="B56" s="66"/>
      <c r="C56" s="59">
        <f>C55/B55-1</f>
        <v>0.26159757481518531</v>
      </c>
      <c r="D56" s="59">
        <f t="shared" ref="D56:P56" si="40">D55/C55-1</f>
        <v>0.26466911763786882</v>
      </c>
      <c r="E56" s="59">
        <f t="shared" si="40"/>
        <v>0.26296558106770185</v>
      </c>
      <c r="F56" s="59">
        <f t="shared" si="40"/>
        <v>0.22816172524629752</v>
      </c>
      <c r="G56" s="59">
        <f t="shared" si="40"/>
        <v>0.28215015820147049</v>
      </c>
      <c r="H56" s="59">
        <f t="shared" si="40"/>
        <v>0.29875839714395469</v>
      </c>
      <c r="I56" s="59">
        <f t="shared" si="40"/>
        <v>0.23295000919795905</v>
      </c>
      <c r="J56" s="59">
        <f t="shared" si="40"/>
        <v>0.21425964872478742</v>
      </c>
      <c r="K56" s="59">
        <f t="shared" si="40"/>
        <v>0.19654062833646302</v>
      </c>
      <c r="L56" s="59">
        <f t="shared" si="40"/>
        <v>0.15621880737590454</v>
      </c>
      <c r="M56" s="59">
        <f t="shared" si="40"/>
        <v>0.14319025134570751</v>
      </c>
      <c r="N56" s="59">
        <f t="shared" si="40"/>
        <v>0.14899320695022489</v>
      </c>
      <c r="O56" s="59">
        <f t="shared" si="40"/>
        <v>0.15827562265482542</v>
      </c>
      <c r="P56" s="59">
        <f t="shared" si="40"/>
        <v>0.16346628613927372</v>
      </c>
      <c r="R56" s="109"/>
      <c r="S56" s="109"/>
    </row>
    <row r="57" spans="1:19" ht="17.100000000000001" customHeight="1" x14ac:dyDescent="0.2">
      <c r="R57" s="109"/>
      <c r="S57" s="109"/>
    </row>
    <row r="58" spans="1:19" x14ac:dyDescent="0.2">
      <c r="A58" s="67" t="s">
        <v>24</v>
      </c>
      <c r="R58" s="109"/>
      <c r="S58" s="109"/>
    </row>
    <row r="59" spans="1:19" x14ac:dyDescent="0.2">
      <c r="A59" s="68" t="s">
        <v>82</v>
      </c>
      <c r="B59" s="112">
        <f t="shared" ref="B59:P59" si="41">(B47*1000000)/(B34*1000)</f>
        <v>50.170514781563043</v>
      </c>
      <c r="C59" s="112">
        <f t="shared" si="41"/>
        <v>56.623158772232266</v>
      </c>
      <c r="D59" s="112">
        <f t="shared" si="41"/>
        <v>64.414130670063187</v>
      </c>
      <c r="E59" s="112">
        <f t="shared" si="41"/>
        <v>75.025949365601321</v>
      </c>
      <c r="F59" s="112">
        <f t="shared" si="41"/>
        <v>88.765392965910678</v>
      </c>
      <c r="G59" s="112">
        <f t="shared" si="41"/>
        <v>105.59913525734854</v>
      </c>
      <c r="H59" s="112">
        <f t="shared" si="41"/>
        <v>120.83734556013685</v>
      </c>
      <c r="I59" s="112">
        <f t="shared" si="41"/>
        <v>133.34359127503461</v>
      </c>
      <c r="J59" s="112">
        <f>(J47*1000000)/(J34*1000)</f>
        <v>147.48748694880899</v>
      </c>
      <c r="K59" s="112">
        <f t="shared" si="41"/>
        <v>170.89262087236042</v>
      </c>
      <c r="L59" s="112">
        <f t="shared" si="41"/>
        <v>184.68411527113125</v>
      </c>
      <c r="M59" s="112">
        <f t="shared" si="41"/>
        <v>197.68537355475053</v>
      </c>
      <c r="N59" s="112">
        <f t="shared" si="41"/>
        <v>211.97074881300571</v>
      </c>
      <c r="O59" s="112">
        <f t="shared" si="41"/>
        <v>229.58817556718699</v>
      </c>
      <c r="P59" s="112">
        <f t="shared" si="41"/>
        <v>250.4808181047479</v>
      </c>
      <c r="R59" s="57">
        <f>(J59/D59)^(1/6)-1</f>
        <v>0.14805405698945973</v>
      </c>
      <c r="S59" s="57">
        <f>(P59/J59)^(1/6)-1</f>
        <v>9.228645848051853E-2</v>
      </c>
    </row>
    <row r="60" spans="1:19" x14ac:dyDescent="0.2">
      <c r="A60" s="62" t="s">
        <v>4</v>
      </c>
      <c r="C60" s="63">
        <f t="shared" ref="C60:P60" si="42">C59/B59-1</f>
        <v>0.12861426714003898</v>
      </c>
      <c r="D60" s="63">
        <f t="shared" si="42"/>
        <v>0.13759338169688218</v>
      </c>
      <c r="E60" s="63">
        <f t="shared" si="42"/>
        <v>0.16474364530188446</v>
      </c>
      <c r="F60" s="63">
        <f t="shared" si="42"/>
        <v>0.18312922017630284</v>
      </c>
      <c r="G60" s="63">
        <f t="shared" si="42"/>
        <v>0.18964307743111841</v>
      </c>
      <c r="H60" s="63">
        <f t="shared" si="42"/>
        <v>0.14430241559888057</v>
      </c>
      <c r="I60" s="63">
        <f t="shared" si="42"/>
        <v>0.10349652797258613</v>
      </c>
      <c r="J60" s="63">
        <f t="shared" si="42"/>
        <v>0.10607105702291442</v>
      </c>
      <c r="K60" s="63">
        <f t="shared" si="42"/>
        <v>0.1586923366025963</v>
      </c>
      <c r="L60" s="63">
        <f t="shared" si="42"/>
        <v>8.0702691130658533E-2</v>
      </c>
      <c r="M60" s="63">
        <f t="shared" si="42"/>
        <v>7.0397274094376572E-2</v>
      </c>
      <c r="N60" s="63">
        <f t="shared" si="42"/>
        <v>7.2263187717824362E-2</v>
      </c>
      <c r="O60" s="63">
        <f t="shared" si="42"/>
        <v>8.3112537238441586E-2</v>
      </c>
      <c r="P60" s="63">
        <f t="shared" si="42"/>
        <v>9.1000516407025778E-2</v>
      </c>
      <c r="R60" s="109"/>
      <c r="S60" s="109"/>
    </row>
    <row r="61" spans="1:19" x14ac:dyDescent="0.2">
      <c r="A61" s="68" t="s">
        <v>10</v>
      </c>
      <c r="B61" s="112">
        <f t="shared" ref="B61:P61" si="43">(B49*1000000)/(B36*1000)</f>
        <v>6131.8483754745239</v>
      </c>
      <c r="C61" s="112">
        <f t="shared" si="43"/>
        <v>6328.7068671075194</v>
      </c>
      <c r="D61" s="112">
        <f t="shared" si="43"/>
        <v>6861.8214058972699</v>
      </c>
      <c r="E61" s="112">
        <f t="shared" si="43"/>
        <v>7716.6848154248337</v>
      </c>
      <c r="F61" s="112">
        <f t="shared" si="43"/>
        <v>8778.6645366359462</v>
      </c>
      <c r="G61" s="112">
        <f t="shared" si="43"/>
        <v>9191.7902661214557</v>
      </c>
      <c r="H61" s="112">
        <f t="shared" si="43"/>
        <v>9894.4292329258951</v>
      </c>
      <c r="I61" s="112">
        <f t="shared" si="43"/>
        <v>10927.84738725615</v>
      </c>
      <c r="J61" s="112">
        <f t="shared" si="43"/>
        <v>11621.376741790617</v>
      </c>
      <c r="K61" s="112">
        <f t="shared" si="43"/>
        <v>11869.460846914102</v>
      </c>
      <c r="L61" s="112">
        <f t="shared" si="43"/>
        <v>11900.720702586763</v>
      </c>
      <c r="M61" s="112">
        <f t="shared" si="43"/>
        <v>11943.122293212164</v>
      </c>
      <c r="N61" s="112">
        <f t="shared" si="43"/>
        <v>11962.410064528462</v>
      </c>
      <c r="O61" s="112">
        <f t="shared" si="43"/>
        <v>12087.124928934378</v>
      </c>
      <c r="P61" s="112">
        <f t="shared" si="43"/>
        <v>12424.57052946321</v>
      </c>
      <c r="R61" s="57">
        <f>(J61/D61)^(1/6)-1</f>
        <v>9.1783085421950128E-2</v>
      </c>
      <c r="S61" s="57">
        <f>(P61/J61)^(1/6)-1</f>
        <v>1.1200558708929442E-2</v>
      </c>
    </row>
    <row r="62" spans="1:19" x14ac:dyDescent="0.2">
      <c r="A62" s="62" t="s">
        <v>4</v>
      </c>
      <c r="C62" s="63">
        <f t="shared" ref="C62:P62" si="44">C61/B61-1</f>
        <v>3.2104266051386388E-2</v>
      </c>
      <c r="D62" s="63">
        <f t="shared" si="44"/>
        <v>8.4237514864297314E-2</v>
      </c>
      <c r="E62" s="63">
        <f t="shared" si="44"/>
        <v>0.12458257931237715</v>
      </c>
      <c r="F62" s="63">
        <f t="shared" si="44"/>
        <v>0.13762123847384933</v>
      </c>
      <c r="G62" s="63">
        <f t="shared" si="44"/>
        <v>4.7060202353264025E-2</v>
      </c>
      <c r="H62" s="63">
        <f t="shared" si="44"/>
        <v>7.6442014717653439E-2</v>
      </c>
      <c r="I62" s="63">
        <f t="shared" si="44"/>
        <v>0.10444444343402126</v>
      </c>
      <c r="J62" s="63">
        <f t="shared" si="44"/>
        <v>6.3464407028894554E-2</v>
      </c>
      <c r="K62" s="63">
        <f t="shared" si="44"/>
        <v>2.1347221644693049E-2</v>
      </c>
      <c r="L62" s="63">
        <f t="shared" si="44"/>
        <v>2.6336373720621253E-3</v>
      </c>
      <c r="M62" s="63">
        <f t="shared" si="44"/>
        <v>3.5629430926973349E-3</v>
      </c>
      <c r="N62" s="63">
        <f t="shared" si="44"/>
        <v>1.6149689204187911E-3</v>
      </c>
      <c r="O62" s="63">
        <f t="shared" si="44"/>
        <v>1.0425563388411829E-2</v>
      </c>
      <c r="P62" s="63">
        <f t="shared" si="44"/>
        <v>2.7917772217365577E-2</v>
      </c>
      <c r="R62" s="109"/>
      <c r="S62" s="109"/>
    </row>
    <row r="63" spans="1:19" x14ac:dyDescent="0.2">
      <c r="A63" s="68" t="s">
        <v>11</v>
      </c>
      <c r="B63" s="112">
        <f t="shared" ref="B63:P63" si="45">(B51*1000000)/(B38*1000)</f>
        <v>15046.83425897812</v>
      </c>
      <c r="C63" s="112">
        <f t="shared" si="45"/>
        <v>17269.931220731629</v>
      </c>
      <c r="D63" s="112">
        <f t="shared" si="45"/>
        <v>20396.583557117458</v>
      </c>
      <c r="E63" s="112">
        <f t="shared" si="45"/>
        <v>24525.293661442909</v>
      </c>
      <c r="F63" s="112">
        <f t="shared" si="45"/>
        <v>30064.20301283299</v>
      </c>
      <c r="G63" s="112">
        <f t="shared" si="45"/>
        <v>35526.654989446462</v>
      </c>
      <c r="H63" s="112">
        <f t="shared" si="45"/>
        <v>44427.982867191829</v>
      </c>
      <c r="I63" s="112">
        <f t="shared" si="45"/>
        <v>51669.552981085595</v>
      </c>
      <c r="J63" s="112">
        <f t="shared" si="45"/>
        <v>61831.456895069867</v>
      </c>
      <c r="K63" s="112">
        <f t="shared" si="45"/>
        <v>73661.392641606304</v>
      </c>
      <c r="L63" s="112">
        <f t="shared" si="45"/>
        <v>85634.486736228064</v>
      </c>
      <c r="M63" s="112">
        <f t="shared" si="45"/>
        <v>97858.340069990329</v>
      </c>
      <c r="N63" s="112">
        <f t="shared" si="45"/>
        <v>112797.88731223147</v>
      </c>
      <c r="O63" s="112">
        <f t="shared" si="45"/>
        <v>131852.69344642648</v>
      </c>
      <c r="P63" s="112">
        <f t="shared" si="45"/>
        <v>155681.26521046119</v>
      </c>
      <c r="R63" s="57">
        <f>(J63/D63)^(1/6)-1</f>
        <v>0.2030269094297108</v>
      </c>
      <c r="S63" s="57">
        <f>(P63/J63)^(1/6)-1</f>
        <v>0.16637395177112402</v>
      </c>
    </row>
    <row r="64" spans="1:19" x14ac:dyDescent="0.2">
      <c r="A64" s="62" t="s">
        <v>4</v>
      </c>
      <c r="C64" s="63">
        <f t="shared" ref="C64:P64" si="46">C63/B63-1</f>
        <v>0.14774516177228669</v>
      </c>
      <c r="D64" s="63">
        <f t="shared" si="46"/>
        <v>0.18104602134329584</v>
      </c>
      <c r="E64" s="63">
        <f t="shared" si="46"/>
        <v>0.20242165031038861</v>
      </c>
      <c r="F64" s="63">
        <f t="shared" si="46"/>
        <v>0.22584477184458751</v>
      </c>
      <c r="G64" s="63">
        <f t="shared" si="46"/>
        <v>0.18169289151892065</v>
      </c>
      <c r="H64" s="63">
        <f t="shared" si="46"/>
        <v>0.25055350357047668</v>
      </c>
      <c r="I64" s="63">
        <f t="shared" si="46"/>
        <v>0.16299569880408304</v>
      </c>
      <c r="J64" s="63">
        <f t="shared" si="46"/>
        <v>0.19667102437879014</v>
      </c>
      <c r="K64" s="63">
        <f t="shared" si="46"/>
        <v>0.19132552167761863</v>
      </c>
      <c r="L64" s="63">
        <f t="shared" si="46"/>
        <v>0.16254232597632123</v>
      </c>
      <c r="M64" s="63">
        <f t="shared" si="46"/>
        <v>0.14274451566942026</v>
      </c>
      <c r="N64" s="63">
        <f t="shared" si="46"/>
        <v>0.15266503837645384</v>
      </c>
      <c r="O64" s="63">
        <f t="shared" si="46"/>
        <v>0.16892875024733511</v>
      </c>
      <c r="P64" s="63">
        <f t="shared" si="46"/>
        <v>0.18072116041919606</v>
      </c>
      <c r="R64" s="109"/>
      <c r="S64" s="109"/>
    </row>
    <row r="65" spans="1:19" x14ac:dyDescent="0.2">
      <c r="A65" s="77" t="s">
        <v>23</v>
      </c>
      <c r="B65" s="56">
        <f>(B55*1000000)/(B40*1000)</f>
        <v>443.98760111088575</v>
      </c>
      <c r="C65" s="56">
        <f t="shared" ref="C65:P65" si="47">(C55*1000000)/(C40*1000)</f>
        <v>484.52170078490275</v>
      </c>
      <c r="D65" s="56">
        <f t="shared" si="47"/>
        <v>536.37956578968181</v>
      </c>
      <c r="E65" s="56">
        <f t="shared" si="47"/>
        <v>599.3335187767309</v>
      </c>
      <c r="F65" s="56">
        <f t="shared" si="47"/>
        <v>668.32473540614478</v>
      </c>
      <c r="G65" s="56">
        <f t="shared" si="47"/>
        <v>760.35482426284955</v>
      </c>
      <c r="H65" s="56">
        <f t="shared" si="47"/>
        <v>848.57930843167799</v>
      </c>
      <c r="I65" s="56">
        <f t="shared" si="47"/>
        <v>928.14401837160608</v>
      </c>
      <c r="J65" s="56">
        <f t="shared" si="47"/>
        <v>1029.4875813472593</v>
      </c>
      <c r="K65" s="56">
        <f t="shared" si="47"/>
        <v>1120.2660025187372</v>
      </c>
      <c r="L65" s="56">
        <f t="shared" si="47"/>
        <v>1176.6194367343994</v>
      </c>
      <c r="M65" s="56">
        <f t="shared" si="47"/>
        <v>1225.6553428481297</v>
      </c>
      <c r="N65" s="56">
        <f t="shared" si="47"/>
        <v>1279.7691730113868</v>
      </c>
      <c r="O65" s="56">
        <f t="shared" si="47"/>
        <v>1350.7508699753637</v>
      </c>
      <c r="P65" s="56">
        <f t="shared" si="47"/>
        <v>1437.8357623303393</v>
      </c>
      <c r="R65" s="57">
        <f>(J65/D65)^(1/6)-1</f>
        <v>0.11478593656279545</v>
      </c>
      <c r="S65" s="57">
        <f>(P65/J65)^(1/6)-1</f>
        <v>5.7258928756185545E-2</v>
      </c>
    </row>
    <row r="66" spans="1:19" x14ac:dyDescent="0.2">
      <c r="A66" s="74" t="s">
        <v>4</v>
      </c>
      <c r="B66" s="66"/>
      <c r="C66" s="59">
        <f t="shared" ref="C66:P66" si="48">C65/B65-1</f>
        <v>9.1295566751409485E-2</v>
      </c>
      <c r="D66" s="59">
        <f t="shared" si="48"/>
        <v>0.10702898326488097</v>
      </c>
      <c r="E66" s="59">
        <f t="shared" si="48"/>
        <v>0.11736829104286528</v>
      </c>
      <c r="F66" s="59">
        <f t="shared" si="48"/>
        <v>0.11511322905855215</v>
      </c>
      <c r="G66" s="59">
        <f t="shared" si="48"/>
        <v>0.13770265258965386</v>
      </c>
      <c r="H66" s="59">
        <f t="shared" si="48"/>
        <v>0.11603067588130389</v>
      </c>
      <c r="I66" s="59">
        <f t="shared" si="48"/>
        <v>9.376225551266093E-2</v>
      </c>
      <c r="J66" s="59">
        <f t="shared" si="48"/>
        <v>0.10918948026347963</v>
      </c>
      <c r="K66" s="59">
        <f t="shared" si="48"/>
        <v>8.8178257626652323E-2</v>
      </c>
      <c r="L66" s="59">
        <f t="shared" si="48"/>
        <v>5.030361904133529E-2</v>
      </c>
      <c r="M66" s="59">
        <f t="shared" si="48"/>
        <v>4.1675247393350157E-2</v>
      </c>
      <c r="N66" s="59">
        <f t="shared" si="48"/>
        <v>4.4150935643546774E-2</v>
      </c>
      <c r="O66" s="59">
        <f t="shared" si="48"/>
        <v>5.5464452856722524E-2</v>
      </c>
      <c r="P66" s="59">
        <f t="shared" si="48"/>
        <v>6.4471468640670881E-2</v>
      </c>
      <c r="R66" s="109"/>
      <c r="S66" s="109"/>
    </row>
    <row r="67" spans="1:19" ht="17.100000000000001" customHeight="1" x14ac:dyDescent="0.2">
      <c r="R67" s="109"/>
      <c r="S67" s="109"/>
    </row>
    <row r="68" spans="1:19" x14ac:dyDescent="0.2">
      <c r="A68" s="67" t="s">
        <v>25</v>
      </c>
      <c r="R68" s="109"/>
      <c r="S68" s="109"/>
    </row>
    <row r="69" spans="1:19" x14ac:dyDescent="0.2">
      <c r="A69" s="68" t="s">
        <v>26</v>
      </c>
      <c r="B69" s="46">
        <v>13.393873077</v>
      </c>
      <c r="C69" s="46">
        <v>16.811315261000001</v>
      </c>
      <c r="D69" s="46">
        <v>21.115726996000024</v>
      </c>
      <c r="E69" s="46">
        <v>26.290003532000018</v>
      </c>
      <c r="F69" s="46">
        <v>32.332716702000027</v>
      </c>
      <c r="G69" s="46">
        <v>41.200536143000051</v>
      </c>
      <c r="H69" s="46">
        <v>53.201988359000126</v>
      </c>
      <c r="I69" s="46">
        <v>65.075701808000218</v>
      </c>
      <c r="J69" s="46">
        <v>78.509312193000213</v>
      </c>
      <c r="K69" s="46">
        <v>93.627079040383265</v>
      </c>
      <c r="L69" s="46">
        <v>107.7372247084719</v>
      </c>
      <c r="M69" s="46">
        <v>122.59667847956717</v>
      </c>
      <c r="N69" s="46">
        <v>140.3738872946993</v>
      </c>
      <c r="O69" s="46">
        <v>161.98245866980122</v>
      </c>
      <c r="P69" s="46">
        <v>188.71768953199083</v>
      </c>
      <c r="R69" s="57">
        <f>(J69/D69)^(1/6)-1</f>
        <v>0.24466512900709447</v>
      </c>
      <c r="S69" s="57">
        <f>(P69/J69)^(1/6)-1</f>
        <v>0.15739581153663651</v>
      </c>
    </row>
    <row r="70" spans="1:19" x14ac:dyDescent="0.2">
      <c r="A70" s="62" t="s">
        <v>4</v>
      </c>
      <c r="B70" s="63"/>
      <c r="C70" s="63">
        <f t="shared" ref="C70:P70" si="49">C69/B69-1</f>
        <v>0.2551496616664557</v>
      </c>
      <c r="D70" s="63">
        <f t="shared" si="49"/>
        <v>0.25604253255458742</v>
      </c>
      <c r="E70" s="63">
        <f t="shared" si="49"/>
        <v>0.24504373147939273</v>
      </c>
      <c r="F70" s="63">
        <f t="shared" si="49"/>
        <v>0.22984832096522378</v>
      </c>
      <c r="G70" s="63">
        <f t="shared" si="49"/>
        <v>0.27426768751700603</v>
      </c>
      <c r="H70" s="63">
        <f t="shared" si="49"/>
        <v>0.29129359322764814</v>
      </c>
      <c r="I70" s="63">
        <f t="shared" si="49"/>
        <v>0.22318176096874076</v>
      </c>
      <c r="J70" s="63">
        <f t="shared" si="49"/>
        <v>0.20643051110896371</v>
      </c>
      <c r="K70" s="63">
        <f t="shared" si="49"/>
        <v>0.19256017439331141</v>
      </c>
      <c r="L70" s="63">
        <f t="shared" si="49"/>
        <v>0.15070581943502304</v>
      </c>
      <c r="M70" s="63">
        <f t="shared" si="49"/>
        <v>0.13792311627948228</v>
      </c>
      <c r="N70" s="63">
        <f t="shared" si="49"/>
        <v>0.14500563176428138</v>
      </c>
      <c r="O70" s="63">
        <f t="shared" si="49"/>
        <v>0.15393583373335762</v>
      </c>
      <c r="P70" s="63">
        <f t="shared" si="49"/>
        <v>0.1650501608738324</v>
      </c>
      <c r="R70" s="109"/>
      <c r="S70" s="109"/>
    </row>
    <row r="71" spans="1:19" x14ac:dyDescent="0.2">
      <c r="A71" s="68" t="s">
        <v>27</v>
      </c>
      <c r="B71" s="46">
        <v>5.1067187471999995</v>
      </c>
      <c r="C71" s="46">
        <v>6.5097332580000078</v>
      </c>
      <c r="D71" s="46">
        <v>8.3482593072000082</v>
      </c>
      <c r="E71" s="46">
        <v>10.858582034399998</v>
      </c>
      <c r="F71" s="46">
        <v>13.283478636000016</v>
      </c>
      <c r="G71" s="46">
        <v>17.229810324000038</v>
      </c>
      <c r="H71" s="46">
        <v>22.599000144000019</v>
      </c>
      <c r="I71" s="46">
        <v>28.292420207999978</v>
      </c>
      <c r="J71" s="46">
        <v>34.753655351999996</v>
      </c>
      <c r="K71" s="46">
        <v>41.78762227357516</v>
      </c>
      <c r="L71" s="46">
        <v>48.699168448982981</v>
      </c>
      <c r="M71" s="46">
        <v>56.0771601646126</v>
      </c>
      <c r="N71" s="46">
        <v>64.727740245660314</v>
      </c>
      <c r="O71" s="46">
        <v>75.373209634341677</v>
      </c>
      <c r="P71" s="46">
        <v>87.325021850813897</v>
      </c>
      <c r="R71" s="57">
        <f>(J71/D71)^(1/6)-1</f>
        <v>0.26833533934445364</v>
      </c>
      <c r="S71" s="57">
        <f>(P71/J71)^(1/6)-1</f>
        <v>0.16597624432954827</v>
      </c>
    </row>
    <row r="72" spans="1:19" x14ac:dyDescent="0.2">
      <c r="A72" s="62" t="s">
        <v>4</v>
      </c>
      <c r="B72" s="63"/>
      <c r="C72" s="63">
        <f t="shared" ref="C72:P72" si="50">C71/B71-1</f>
        <v>0.27473894299921597</v>
      </c>
      <c r="D72" s="63">
        <f t="shared" si="50"/>
        <v>0.2824272479890908</v>
      </c>
      <c r="E72" s="63">
        <f t="shared" si="50"/>
        <v>0.30070013817550523</v>
      </c>
      <c r="F72" s="63">
        <f t="shared" si="50"/>
        <v>0.22331613777175918</v>
      </c>
      <c r="G72" s="63">
        <f t="shared" si="50"/>
        <v>0.2970857104632918</v>
      </c>
      <c r="H72" s="63">
        <f t="shared" si="50"/>
        <v>0.31162210837115478</v>
      </c>
      <c r="I72" s="63">
        <f t="shared" si="50"/>
        <v>0.251932387615456</v>
      </c>
      <c r="J72" s="63">
        <f t="shared" si="50"/>
        <v>0.22837336277696862</v>
      </c>
      <c r="K72" s="63">
        <f t="shared" si="50"/>
        <v>0.2023950243602326</v>
      </c>
      <c r="L72" s="63">
        <f t="shared" si="50"/>
        <v>0.16539697162378175</v>
      </c>
      <c r="M72" s="63">
        <f t="shared" si="50"/>
        <v>0.15150139007730212</v>
      </c>
      <c r="N72" s="63">
        <f t="shared" si="50"/>
        <v>0.15426209272463565</v>
      </c>
      <c r="O72" s="63">
        <f t="shared" si="50"/>
        <v>0.1644653335382753</v>
      </c>
      <c r="P72" s="63">
        <f t="shared" si="50"/>
        <v>0.15856843929632403</v>
      </c>
      <c r="R72" s="109"/>
      <c r="S72" s="109"/>
    </row>
    <row r="73" spans="1:19" x14ac:dyDescent="0.2">
      <c r="A73" s="68" t="s">
        <v>28</v>
      </c>
      <c r="B73" s="46">
        <v>0.69622670880000004</v>
      </c>
      <c r="C73" s="46">
        <v>0.89761118640000026</v>
      </c>
      <c r="D73" s="46">
        <v>1.1646046967999997</v>
      </c>
      <c r="E73" s="46">
        <v>1.5342706632000003</v>
      </c>
      <c r="F73" s="46">
        <v>1.8926081063999987</v>
      </c>
      <c r="G73" s="46">
        <v>2.483073385199996</v>
      </c>
      <c r="H73" s="46">
        <v>3.3108270287999946</v>
      </c>
      <c r="I73" s="46">
        <v>4.1727916715999918</v>
      </c>
      <c r="J73" s="46">
        <v>5.1770280455999984</v>
      </c>
      <c r="K73" s="46">
        <v>6.3035654301860307</v>
      </c>
      <c r="L73" s="46">
        <v>7.4209322008402534</v>
      </c>
      <c r="M73" s="46">
        <v>8.6462583170049054</v>
      </c>
      <c r="N73" s="46">
        <v>10.127891393299326</v>
      </c>
      <c r="O73" s="46">
        <v>11.939436752439127</v>
      </c>
      <c r="P73" s="46">
        <v>14.003738650076961</v>
      </c>
      <c r="R73" s="57">
        <f>(J73/D73)^(1/6)-1</f>
        <v>0.28228234690429188</v>
      </c>
      <c r="S73" s="57">
        <f>(P73/J73)^(1/6)-1</f>
        <v>0.18039468833546968</v>
      </c>
    </row>
    <row r="74" spans="1:19" x14ac:dyDescent="0.2">
      <c r="A74" s="62" t="s">
        <v>4</v>
      </c>
      <c r="B74" s="63"/>
      <c r="C74" s="63">
        <f t="shared" ref="C74:P74" si="51">C73/B73-1</f>
        <v>0.28925129566933983</v>
      </c>
      <c r="D74" s="63">
        <f t="shared" si="51"/>
        <v>0.29744895612410494</v>
      </c>
      <c r="E74" s="63">
        <f t="shared" si="51"/>
        <v>0.31741754727225202</v>
      </c>
      <c r="F74" s="63">
        <f t="shared" si="51"/>
        <v>0.23355555952078277</v>
      </c>
      <c r="G74" s="63">
        <f t="shared" si="51"/>
        <v>0.31198496762393324</v>
      </c>
      <c r="H74" s="63">
        <f t="shared" si="51"/>
        <v>0.33335850987478088</v>
      </c>
      <c r="I74" s="63">
        <f t="shared" si="51"/>
        <v>0.26034722904639795</v>
      </c>
      <c r="J74" s="63">
        <f t="shared" si="51"/>
        <v>0.24066295493130818</v>
      </c>
      <c r="K74" s="63">
        <f t="shared" si="51"/>
        <v>0.21760310638909641</v>
      </c>
      <c r="L74" s="63">
        <f t="shared" si="51"/>
        <v>0.17725948640168987</v>
      </c>
      <c r="M74" s="63">
        <f t="shared" si="51"/>
        <v>0.16511754628696274</v>
      </c>
      <c r="N74" s="63">
        <f t="shared" si="51"/>
        <v>0.17136118561024705</v>
      </c>
      <c r="O74" s="63">
        <f t="shared" si="51"/>
        <v>0.17886698117026922</v>
      </c>
      <c r="P74" s="63">
        <f t="shared" si="51"/>
        <v>0.17289776230156884</v>
      </c>
      <c r="R74" s="109"/>
      <c r="S74" s="109"/>
    </row>
    <row r="75" spans="1:19" x14ac:dyDescent="0.2">
      <c r="A75" s="77" t="s">
        <v>23</v>
      </c>
      <c r="B75" s="56">
        <f t="shared" ref="B75:P75" si="52">B69+B71+B73</f>
        <v>19.196818533000002</v>
      </c>
      <c r="C75" s="56">
        <f t="shared" si="52"/>
        <v>24.218659705400007</v>
      </c>
      <c r="D75" s="56">
        <f t="shared" si="52"/>
        <v>30.628591000000029</v>
      </c>
      <c r="E75" s="56">
        <f t="shared" si="52"/>
        <v>38.682856229600013</v>
      </c>
      <c r="F75" s="56">
        <f t="shared" si="52"/>
        <v>47.508803444400037</v>
      </c>
      <c r="G75" s="56">
        <f t="shared" si="52"/>
        <v>60.913419852200086</v>
      </c>
      <c r="H75" s="56">
        <f t="shared" si="52"/>
        <v>79.111815531800133</v>
      </c>
      <c r="I75" s="56">
        <f t="shared" si="52"/>
        <v>97.540913687600195</v>
      </c>
      <c r="J75" s="56">
        <f t="shared" si="52"/>
        <v>118.4399955906002</v>
      </c>
      <c r="K75" s="56">
        <f t="shared" si="52"/>
        <v>141.71826674414447</v>
      </c>
      <c r="L75" s="56">
        <f t="shared" si="52"/>
        <v>163.85732535829513</v>
      </c>
      <c r="M75" s="56">
        <f t="shared" si="52"/>
        <v>187.32009696118467</v>
      </c>
      <c r="N75" s="56">
        <f t="shared" si="52"/>
        <v>215.22951893365897</v>
      </c>
      <c r="O75" s="56">
        <f t="shared" si="52"/>
        <v>249.29510505658203</v>
      </c>
      <c r="P75" s="56">
        <f t="shared" si="52"/>
        <v>290.04645003288169</v>
      </c>
      <c r="R75" s="57">
        <f>(J75/D75)^(1/6)-1</f>
        <v>0.25283889364281897</v>
      </c>
      <c r="S75" s="57">
        <f>(P75/J75)^(1/6)-1</f>
        <v>0.16098924152386229</v>
      </c>
    </row>
    <row r="76" spans="1:19" x14ac:dyDescent="0.2">
      <c r="A76" s="74" t="s">
        <v>4</v>
      </c>
      <c r="B76" s="66"/>
      <c r="C76" s="59">
        <f t="shared" ref="C76:P76" si="53">C75/B75-1</f>
        <v>0.26159757481518531</v>
      </c>
      <c r="D76" s="59">
        <f t="shared" si="53"/>
        <v>0.2646691176378686</v>
      </c>
      <c r="E76" s="59">
        <f t="shared" si="53"/>
        <v>0.26296558106770163</v>
      </c>
      <c r="F76" s="59">
        <f t="shared" si="53"/>
        <v>0.22816172524629752</v>
      </c>
      <c r="G76" s="59">
        <f t="shared" si="53"/>
        <v>0.28215015820147071</v>
      </c>
      <c r="H76" s="59">
        <f t="shared" si="53"/>
        <v>0.29875839714395469</v>
      </c>
      <c r="I76" s="59">
        <f t="shared" si="53"/>
        <v>0.23295000919795883</v>
      </c>
      <c r="J76" s="59">
        <f t="shared" si="53"/>
        <v>0.2142596487247872</v>
      </c>
      <c r="K76" s="59">
        <f t="shared" si="53"/>
        <v>0.19654062833646124</v>
      </c>
      <c r="L76" s="59">
        <f t="shared" si="53"/>
        <v>0.15621880737590521</v>
      </c>
      <c r="M76" s="59">
        <f t="shared" si="53"/>
        <v>0.14319025134570684</v>
      </c>
      <c r="N76" s="59">
        <f t="shared" si="53"/>
        <v>0.14899320695022644</v>
      </c>
      <c r="O76" s="59">
        <f t="shared" si="53"/>
        <v>0.15827562265482387</v>
      </c>
      <c r="P76" s="59">
        <f t="shared" si="53"/>
        <v>0.16346628613927416</v>
      </c>
      <c r="R76" s="109"/>
      <c r="S76" s="109"/>
    </row>
    <row r="77" spans="1:19" ht="17.100000000000001" customHeight="1" x14ac:dyDescent="0.2">
      <c r="J77" s="108"/>
      <c r="R77" s="109"/>
      <c r="S77" s="109"/>
    </row>
    <row r="78" spans="1:19" x14ac:dyDescent="0.2">
      <c r="A78" s="67" t="s">
        <v>29</v>
      </c>
      <c r="R78" s="109"/>
      <c r="S78" s="109"/>
    </row>
    <row r="79" spans="1:19" x14ac:dyDescent="0.2">
      <c r="A79" s="68" t="s">
        <v>30</v>
      </c>
      <c r="B79" s="46">
        <v>9.0565758458560435</v>
      </c>
      <c r="C79" s="46">
        <v>11.112767570783005</v>
      </c>
      <c r="D79" s="46">
        <v>13.832204526438428</v>
      </c>
      <c r="E79" s="46">
        <v>17.228106055590327</v>
      </c>
      <c r="F79" s="46">
        <v>21.013711931403549</v>
      </c>
      <c r="G79" s="46">
        <v>25.659212284983095</v>
      </c>
      <c r="H79" s="46">
        <v>32.426879227116814</v>
      </c>
      <c r="I79" s="46">
        <v>39.396080487279299</v>
      </c>
      <c r="J79" s="46">
        <v>46.978556364844508</v>
      </c>
      <c r="K79" s="46">
        <v>54.834076712582416</v>
      </c>
      <c r="L79" s="46">
        <v>61.660823469542102</v>
      </c>
      <c r="M79" s="46">
        <v>68.453823468432944</v>
      </c>
      <c r="N79" s="46">
        <v>76.333163203316772</v>
      </c>
      <c r="O79" s="46">
        <v>85.620984252042234</v>
      </c>
      <c r="P79" s="46">
        <v>96.766435544344844</v>
      </c>
      <c r="R79" s="57">
        <f>(J79/D79)^(1/6)-1</f>
        <v>0.22603079142084748</v>
      </c>
      <c r="S79" s="57">
        <f>(P79/J79)^(1/6)-1</f>
        <v>0.12798722085016112</v>
      </c>
    </row>
    <row r="80" spans="1:19" x14ac:dyDescent="0.2">
      <c r="A80" s="62" t="s">
        <v>4</v>
      </c>
      <c r="B80" s="63"/>
      <c r="C80" s="63">
        <f t="shared" ref="C80:P80" si="54">C79/B79-1</f>
        <v>0.22703853640974025</v>
      </c>
      <c r="D80" s="63">
        <f t="shared" si="54"/>
        <v>0.24471284388285031</v>
      </c>
      <c r="E80" s="63">
        <f t="shared" si="54"/>
        <v>0.24550689101372702</v>
      </c>
      <c r="F80" s="63">
        <f t="shared" si="54"/>
        <v>0.21973430298130969</v>
      </c>
      <c r="G80" s="63">
        <f t="shared" si="54"/>
        <v>0.22106995511997884</v>
      </c>
      <c r="H80" s="63">
        <f t="shared" si="54"/>
        <v>0.26375193700293198</v>
      </c>
      <c r="I80" s="63">
        <f t="shared" si="54"/>
        <v>0.21492050503381543</v>
      </c>
      <c r="J80" s="63">
        <f t="shared" si="54"/>
        <v>0.19246777303172413</v>
      </c>
      <c r="K80" s="63">
        <f t="shared" si="54"/>
        <v>0.16721502224824514</v>
      </c>
      <c r="L80" s="63">
        <f t="shared" si="54"/>
        <v>0.12449825302507911</v>
      </c>
      <c r="M80" s="63">
        <f t="shared" si="54"/>
        <v>0.11016719558158838</v>
      </c>
      <c r="N80" s="63">
        <f t="shared" si="54"/>
        <v>0.11510445049891671</v>
      </c>
      <c r="O80" s="63">
        <f t="shared" si="54"/>
        <v>0.12167478274137467</v>
      </c>
      <c r="P80" s="63">
        <f t="shared" si="54"/>
        <v>0.13017195947542226</v>
      </c>
      <c r="R80" s="109"/>
      <c r="S80" s="109"/>
    </row>
    <row r="81" spans="1:19" x14ac:dyDescent="0.2">
      <c r="A81" s="68" t="s">
        <v>31</v>
      </c>
      <c r="B81" s="46">
        <v>4.3372972311439568</v>
      </c>
      <c r="C81" s="46">
        <v>5.698547690216996</v>
      </c>
      <c r="D81" s="46">
        <v>7.2835224695615963</v>
      </c>
      <c r="E81" s="46">
        <v>9.0618974764096905</v>
      </c>
      <c r="F81" s="46">
        <v>11.319004770596479</v>
      </c>
      <c r="G81" s="46">
        <v>15.541323858016955</v>
      </c>
      <c r="H81" s="46">
        <v>20.775109131883312</v>
      </c>
      <c r="I81" s="46">
        <v>25.679621320720919</v>
      </c>
      <c r="J81" s="46">
        <v>31.530755828155705</v>
      </c>
      <c r="K81" s="46">
        <v>38.793002327800849</v>
      </c>
      <c r="L81" s="46">
        <v>46.076401238929797</v>
      </c>
      <c r="M81" s="46">
        <v>54.14285501113423</v>
      </c>
      <c r="N81" s="46">
        <v>64.040724091382529</v>
      </c>
      <c r="O81" s="46">
        <v>76.361474417758984</v>
      </c>
      <c r="P81" s="46">
        <v>91.951253987645984</v>
      </c>
      <c r="R81" s="57">
        <f>(J81/D81)^(1/6)-1</f>
        <v>0.27663129432787326</v>
      </c>
      <c r="S81" s="57">
        <f>(P81/J81)^(1/6)-1</f>
        <v>0.1952824579606629</v>
      </c>
    </row>
    <row r="82" spans="1:19" x14ac:dyDescent="0.2">
      <c r="A82" s="62" t="s">
        <v>4</v>
      </c>
      <c r="B82" s="63"/>
      <c r="C82" s="63">
        <f t="shared" ref="C82:P82" si="55">C81/B81-1</f>
        <v>0.3138476305701583</v>
      </c>
      <c r="D82" s="63">
        <f t="shared" si="55"/>
        <v>0.27813661752197172</v>
      </c>
      <c r="E82" s="63">
        <f t="shared" si="55"/>
        <v>0.24416414094691974</v>
      </c>
      <c r="F82" s="63">
        <f t="shared" si="55"/>
        <v>0.24907667517344834</v>
      </c>
      <c r="G82" s="63">
        <f t="shared" si="55"/>
        <v>0.37302918171647459</v>
      </c>
      <c r="H82" s="63">
        <f t="shared" si="55"/>
        <v>0.33676572997779219</v>
      </c>
      <c r="I82" s="63">
        <f t="shared" si="55"/>
        <v>0.2360763622324713</v>
      </c>
      <c r="J82" s="63">
        <f t="shared" si="55"/>
        <v>0.22785127686884921</v>
      </c>
      <c r="K82" s="63">
        <f t="shared" si="55"/>
        <v>0.23032262655626701</v>
      </c>
      <c r="L82" s="63">
        <f t="shared" si="55"/>
        <v>0.18775032799947344</v>
      </c>
      <c r="M82" s="63">
        <f t="shared" si="55"/>
        <v>0.17506692266124979</v>
      </c>
      <c r="N82" s="63">
        <f t="shared" si="55"/>
        <v>0.1828102540623846</v>
      </c>
      <c r="O82" s="63">
        <f t="shared" si="55"/>
        <v>0.19238930385601871</v>
      </c>
      <c r="P82" s="63">
        <f t="shared" si="55"/>
        <v>0.20415765526734475</v>
      </c>
      <c r="R82" s="109"/>
      <c r="S82" s="109"/>
    </row>
    <row r="83" spans="1:19" x14ac:dyDescent="0.2">
      <c r="A83" s="77" t="s">
        <v>23</v>
      </c>
      <c r="B83" s="56">
        <f t="shared" ref="B83:P83" si="56">B79+B81</f>
        <v>13.393873077</v>
      </c>
      <c r="C83" s="56">
        <f t="shared" si="56"/>
        <v>16.811315261000001</v>
      </c>
      <c r="D83" s="56">
        <f t="shared" si="56"/>
        <v>21.115726996000024</v>
      </c>
      <c r="E83" s="56">
        <f t="shared" si="56"/>
        <v>26.290003532000018</v>
      </c>
      <c r="F83" s="56">
        <f t="shared" si="56"/>
        <v>32.332716702000027</v>
      </c>
      <c r="G83" s="56">
        <f t="shared" si="56"/>
        <v>41.200536143000051</v>
      </c>
      <c r="H83" s="56">
        <f t="shared" si="56"/>
        <v>53.201988359000126</v>
      </c>
      <c r="I83" s="56">
        <f t="shared" si="56"/>
        <v>65.075701808000218</v>
      </c>
      <c r="J83" s="56">
        <f t="shared" si="56"/>
        <v>78.509312193000213</v>
      </c>
      <c r="K83" s="56">
        <f t="shared" si="56"/>
        <v>93.627079040383265</v>
      </c>
      <c r="L83" s="56">
        <f t="shared" si="56"/>
        <v>107.7372247084719</v>
      </c>
      <c r="M83" s="56">
        <f t="shared" si="56"/>
        <v>122.59667847956717</v>
      </c>
      <c r="N83" s="56">
        <f t="shared" si="56"/>
        <v>140.3738872946993</v>
      </c>
      <c r="O83" s="56">
        <f t="shared" si="56"/>
        <v>161.98245866980122</v>
      </c>
      <c r="P83" s="56">
        <f t="shared" si="56"/>
        <v>188.71768953199083</v>
      </c>
      <c r="R83" s="57">
        <f>(J83/D83)^(1/6)-1</f>
        <v>0.24466512900709447</v>
      </c>
      <c r="S83" s="57">
        <f>(P83/J83)^(1/6)-1</f>
        <v>0.15739581153663651</v>
      </c>
    </row>
    <row r="84" spans="1:19" x14ac:dyDescent="0.2">
      <c r="A84" s="74" t="s">
        <v>4</v>
      </c>
      <c r="B84" s="66"/>
      <c r="C84" s="59">
        <f t="shared" ref="C84:P84" si="57">C83/B83-1</f>
        <v>0.2551496616664557</v>
      </c>
      <c r="D84" s="59">
        <f t="shared" si="57"/>
        <v>0.25604253255458742</v>
      </c>
      <c r="E84" s="59">
        <f t="shared" si="57"/>
        <v>0.24504373147939273</v>
      </c>
      <c r="F84" s="59">
        <f t="shared" si="57"/>
        <v>0.22984832096522378</v>
      </c>
      <c r="G84" s="59">
        <f t="shared" si="57"/>
        <v>0.27426768751700603</v>
      </c>
      <c r="H84" s="59">
        <f t="shared" si="57"/>
        <v>0.29129359322764814</v>
      </c>
      <c r="I84" s="59">
        <f t="shared" si="57"/>
        <v>0.22318176096874076</v>
      </c>
      <c r="J84" s="59">
        <f t="shared" si="57"/>
        <v>0.20643051110896371</v>
      </c>
      <c r="K84" s="59">
        <f t="shared" si="57"/>
        <v>0.19256017439331141</v>
      </c>
      <c r="L84" s="59">
        <f t="shared" si="57"/>
        <v>0.15070581943502304</v>
      </c>
      <c r="M84" s="59">
        <f t="shared" si="57"/>
        <v>0.13792311627948228</v>
      </c>
      <c r="N84" s="59">
        <f t="shared" si="57"/>
        <v>0.14500563176428138</v>
      </c>
      <c r="O84" s="59">
        <f t="shared" si="57"/>
        <v>0.15393583373335762</v>
      </c>
      <c r="P84" s="59">
        <f t="shared" si="57"/>
        <v>0.1650501608738324</v>
      </c>
      <c r="R84" s="109"/>
      <c r="S84" s="109"/>
    </row>
    <row r="85" spans="1:19" ht="17.100000000000001" customHeight="1" x14ac:dyDescent="0.2">
      <c r="G85" s="108"/>
      <c r="H85" s="108"/>
      <c r="I85" s="108"/>
      <c r="J85" s="108"/>
      <c r="K85" s="108"/>
      <c r="L85" s="108"/>
      <c r="M85" s="108"/>
      <c r="N85" s="108"/>
      <c r="O85" s="108"/>
      <c r="P85" s="108"/>
      <c r="R85" s="109"/>
      <c r="S85" s="109"/>
    </row>
    <row r="86" spans="1:19" ht="17.100000000000001" customHeight="1" x14ac:dyDescent="0.2">
      <c r="A86" s="67" t="s">
        <v>47</v>
      </c>
      <c r="R86" s="109"/>
      <c r="S86" s="109"/>
    </row>
    <row r="87" spans="1:19" ht="17.100000000000001" customHeight="1" x14ac:dyDescent="0.2">
      <c r="A87" s="68" t="s">
        <v>48</v>
      </c>
      <c r="B87" s="46">
        <v>1.0213437494399999</v>
      </c>
      <c r="C87" s="46">
        <v>1.3410050511480016</v>
      </c>
      <c r="D87" s="46">
        <v>1.771333659801698</v>
      </c>
      <c r="E87" s="46">
        <v>2.3730931541407614</v>
      </c>
      <c r="F87" s="46">
        <v>2.9901344464529602</v>
      </c>
      <c r="G87" s="46">
        <v>3.994814482743946</v>
      </c>
      <c r="H87" s="46">
        <v>5.396877604240486</v>
      </c>
      <c r="I87" s="46">
        <v>6.9254390113638031</v>
      </c>
      <c r="J87" s="46">
        <v>8.634630179202194</v>
      </c>
      <c r="K87" s="46">
        <v>10.486058728310056</v>
      </c>
      <c r="L87" s="46">
        <v>12.220421086241664</v>
      </c>
      <c r="M87" s="46">
        <v>14.071831868137251</v>
      </c>
      <c r="N87" s="46">
        <v>16.242582100585324</v>
      </c>
      <c r="O87" s="46">
        <v>18.913923783280907</v>
      </c>
      <c r="P87" s="46">
        <v>21.913075158565388</v>
      </c>
      <c r="R87" s="57">
        <f>(J87/D87)^(1/6)-1</f>
        <v>0.3021386436618585</v>
      </c>
      <c r="S87" s="57">
        <f>(P87/J87)^(1/6)-1</f>
        <v>0.16791149014702977</v>
      </c>
    </row>
    <row r="88" spans="1:19" ht="17.100000000000001" customHeight="1" x14ac:dyDescent="0.2">
      <c r="A88" s="62" t="s">
        <v>4</v>
      </c>
      <c r="B88" s="63"/>
      <c r="C88" s="63">
        <f t="shared" ref="C88:P88" si="58">C87/B87-1</f>
        <v>0.31298111128919248</v>
      </c>
      <c r="D88" s="63">
        <f t="shared" si="58"/>
        <v>0.3209000654287637</v>
      </c>
      <c r="E88" s="63">
        <f t="shared" si="58"/>
        <v>0.33972114232077022</v>
      </c>
      <c r="F88" s="63">
        <f t="shared" si="58"/>
        <v>0.2600156219049119</v>
      </c>
      <c r="G88" s="63">
        <f t="shared" si="58"/>
        <v>0.33599828177719071</v>
      </c>
      <c r="H88" s="63">
        <f t="shared" si="58"/>
        <v>0.3509707716222894</v>
      </c>
      <c r="I88" s="63">
        <f t="shared" si="58"/>
        <v>0.28323069730584249</v>
      </c>
      <c r="J88" s="63">
        <f t="shared" si="58"/>
        <v>0.24679896321862294</v>
      </c>
      <c r="K88" s="63">
        <f t="shared" si="58"/>
        <v>0.21441897460383497</v>
      </c>
      <c r="L88" s="63">
        <f t="shared" si="58"/>
        <v>0.16539697162378197</v>
      </c>
      <c r="M88" s="63">
        <f t="shared" si="58"/>
        <v>0.15150139007730212</v>
      </c>
      <c r="N88" s="63">
        <f t="shared" si="58"/>
        <v>0.15426209272463587</v>
      </c>
      <c r="O88" s="63">
        <f t="shared" si="58"/>
        <v>0.16446533353827508</v>
      </c>
      <c r="P88" s="63">
        <f t="shared" si="58"/>
        <v>0.15856843929632425</v>
      </c>
      <c r="R88" s="109"/>
      <c r="S88" s="109"/>
    </row>
    <row r="89" spans="1:19" ht="17.100000000000001" customHeight="1" x14ac:dyDescent="0.2">
      <c r="A89" s="68" t="s">
        <v>49</v>
      </c>
      <c r="B89" s="46">
        <v>4.0853749977599998</v>
      </c>
      <c r="C89" s="46">
        <v>5.1687282068520064</v>
      </c>
      <c r="D89" s="46">
        <v>6.5769256473983102</v>
      </c>
      <c r="E89" s="46">
        <v>8.4854888802592363</v>
      </c>
      <c r="F89" s="46">
        <v>10.293344189547055</v>
      </c>
      <c r="G89" s="46">
        <v>13.234995841256092</v>
      </c>
      <c r="H89" s="46">
        <v>17.202122539759532</v>
      </c>
      <c r="I89" s="46">
        <v>21.366981196636175</v>
      </c>
      <c r="J89" s="46">
        <v>26.119025172797798</v>
      </c>
      <c r="K89" s="46">
        <v>31.301563545265104</v>
      </c>
      <c r="L89" s="46">
        <v>36.478747362741316</v>
      </c>
      <c r="M89" s="46">
        <v>42.005328296475348</v>
      </c>
      <c r="N89" s="46">
        <v>48.48515814507499</v>
      </c>
      <c r="O89" s="46">
        <v>56.45928585106077</v>
      </c>
      <c r="P89" s="46">
        <v>65.411946692248506</v>
      </c>
      <c r="R89" s="57">
        <f>(J89/D89)^(1/6)-1</f>
        <v>0.25841051538616266</v>
      </c>
      <c r="S89" s="57">
        <f>(P89/J89)^(1/6)-1</f>
        <v>0.1653329284880467</v>
      </c>
    </row>
    <row r="90" spans="1:19" ht="17.100000000000001" customHeight="1" x14ac:dyDescent="0.2">
      <c r="A90" s="62" t="s">
        <v>4</v>
      </c>
      <c r="B90" s="63"/>
      <c r="C90" s="63">
        <f t="shared" ref="C90:P90" si="59">C89/B89-1</f>
        <v>0.26517840092672196</v>
      </c>
      <c r="D90" s="63">
        <f t="shared" si="59"/>
        <v>0.27244563540398681</v>
      </c>
      <c r="E90" s="63">
        <f t="shared" si="59"/>
        <v>0.29019078748684235</v>
      </c>
      <c r="F90" s="63">
        <f t="shared" si="59"/>
        <v>0.21305258127126181</v>
      </c>
      <c r="G90" s="63">
        <f t="shared" si="59"/>
        <v>0.28578191863984292</v>
      </c>
      <c r="H90" s="63">
        <f t="shared" si="59"/>
        <v>0.2997452168543282</v>
      </c>
      <c r="I90" s="63">
        <f t="shared" si="59"/>
        <v>0.24211306757351259</v>
      </c>
      <c r="J90" s="63">
        <f t="shared" si="59"/>
        <v>0.22240128038815987</v>
      </c>
      <c r="K90" s="63">
        <f t="shared" si="59"/>
        <v>0.19842005351198044</v>
      </c>
      <c r="L90" s="63">
        <f t="shared" si="59"/>
        <v>0.16539697162378175</v>
      </c>
      <c r="M90" s="63">
        <f t="shared" si="59"/>
        <v>0.15150139007730212</v>
      </c>
      <c r="N90" s="63">
        <f t="shared" si="59"/>
        <v>0.15426209272463565</v>
      </c>
      <c r="O90" s="63">
        <f t="shared" si="59"/>
        <v>0.1644653335382753</v>
      </c>
      <c r="P90" s="63">
        <f t="shared" si="59"/>
        <v>0.15856843929632403</v>
      </c>
      <c r="R90" s="109"/>
      <c r="S90" s="109"/>
    </row>
    <row r="91" spans="1:19" ht="17.100000000000001" customHeight="1" x14ac:dyDescent="0.2">
      <c r="A91" s="77" t="s">
        <v>23</v>
      </c>
      <c r="B91" s="56">
        <f t="shared" ref="B91:P91" si="60">B89+B87</f>
        <v>5.1067187471999995</v>
      </c>
      <c r="C91" s="56">
        <f t="shared" si="60"/>
        <v>6.5097332580000078</v>
      </c>
      <c r="D91" s="56">
        <f t="shared" si="60"/>
        <v>8.3482593072000082</v>
      </c>
      <c r="E91" s="56">
        <f t="shared" si="60"/>
        <v>10.858582034399998</v>
      </c>
      <c r="F91" s="56">
        <f t="shared" si="60"/>
        <v>13.283478636000016</v>
      </c>
      <c r="G91" s="56">
        <f t="shared" si="60"/>
        <v>17.229810324000038</v>
      </c>
      <c r="H91" s="56">
        <f t="shared" si="60"/>
        <v>22.599000144000019</v>
      </c>
      <c r="I91" s="56">
        <f t="shared" si="60"/>
        <v>28.292420207999978</v>
      </c>
      <c r="J91" s="56">
        <f t="shared" si="60"/>
        <v>34.753655351999996</v>
      </c>
      <c r="K91" s="56">
        <f t="shared" si="60"/>
        <v>41.78762227357516</v>
      </c>
      <c r="L91" s="56">
        <f t="shared" si="60"/>
        <v>48.699168448982981</v>
      </c>
      <c r="M91" s="56">
        <f t="shared" si="60"/>
        <v>56.0771601646126</v>
      </c>
      <c r="N91" s="56">
        <f t="shared" si="60"/>
        <v>64.727740245660314</v>
      </c>
      <c r="O91" s="56">
        <f t="shared" si="60"/>
        <v>75.373209634341677</v>
      </c>
      <c r="P91" s="56">
        <f t="shared" si="60"/>
        <v>87.325021850813897</v>
      </c>
      <c r="R91" s="57">
        <f>(J91/D91)^(1/6)-1</f>
        <v>0.26833533934445364</v>
      </c>
      <c r="S91" s="57">
        <f>(P91/J91)^(1/6)-1</f>
        <v>0.16597624432954827</v>
      </c>
    </row>
    <row r="92" spans="1:19" ht="17.100000000000001" customHeight="1" x14ac:dyDescent="0.2">
      <c r="A92" s="74" t="s">
        <v>4</v>
      </c>
      <c r="B92" s="66"/>
      <c r="C92" s="59">
        <f t="shared" ref="C92:P92" si="61">C91/B91-1</f>
        <v>0.27473894299921597</v>
      </c>
      <c r="D92" s="59">
        <f t="shared" si="61"/>
        <v>0.2824272479890908</v>
      </c>
      <c r="E92" s="59">
        <f t="shared" si="61"/>
        <v>0.30070013817550523</v>
      </c>
      <c r="F92" s="59">
        <f t="shared" si="61"/>
        <v>0.22331613777175918</v>
      </c>
      <c r="G92" s="59">
        <f t="shared" si="61"/>
        <v>0.2970857104632918</v>
      </c>
      <c r="H92" s="59">
        <f t="shared" si="61"/>
        <v>0.31162210837115478</v>
      </c>
      <c r="I92" s="59">
        <f t="shared" si="61"/>
        <v>0.251932387615456</v>
      </c>
      <c r="J92" s="59">
        <f t="shared" si="61"/>
        <v>0.22837336277696862</v>
      </c>
      <c r="K92" s="59">
        <f t="shared" si="61"/>
        <v>0.2023950243602326</v>
      </c>
      <c r="L92" s="59">
        <f t="shared" si="61"/>
        <v>0.16539697162378175</v>
      </c>
      <c r="M92" s="59">
        <f t="shared" si="61"/>
        <v>0.15150139007730212</v>
      </c>
      <c r="N92" s="59">
        <f t="shared" si="61"/>
        <v>0.15426209272463565</v>
      </c>
      <c r="O92" s="59">
        <f t="shared" si="61"/>
        <v>0.1644653335382753</v>
      </c>
      <c r="P92" s="59">
        <f t="shared" si="61"/>
        <v>0.15856843929632403</v>
      </c>
      <c r="R92" s="109"/>
      <c r="S92" s="109"/>
    </row>
    <row r="93" spans="1:19" ht="17.100000000000001" customHeight="1" x14ac:dyDescent="0.2">
      <c r="R93" s="109"/>
      <c r="S93" s="109"/>
    </row>
    <row r="94" spans="1:19" ht="17.100000000000001" customHeight="1" x14ac:dyDescent="0.2">
      <c r="A94" s="67" t="s">
        <v>50</v>
      </c>
      <c r="R94" s="109"/>
      <c r="S94" s="109"/>
    </row>
    <row r="95" spans="1:19" ht="17.100000000000001" customHeight="1" x14ac:dyDescent="0.2">
      <c r="A95" s="68" t="s">
        <v>48</v>
      </c>
      <c r="B95" s="46">
        <v>0.31330201895999998</v>
      </c>
      <c r="C95" s="46">
        <v>0.42008203523520016</v>
      </c>
      <c r="D95" s="46">
        <v>0.56683639802649588</v>
      </c>
      <c r="E95" s="46">
        <v>0.77663062588041243</v>
      </c>
      <c r="F95" s="46">
        <v>0.99633770729884341</v>
      </c>
      <c r="G95" s="46">
        <v>1.3594672984390963</v>
      </c>
      <c r="H95" s="46">
        <v>1.8851635829210576</v>
      </c>
      <c r="I95" s="46">
        <v>2.4709991259550836</v>
      </c>
      <c r="J95" s="46">
        <v>3.188304160329718</v>
      </c>
      <c r="K95" s="46">
        <v>4.0373726117199746</v>
      </c>
      <c r="L95" s="46">
        <v>4.9431566155771351</v>
      </c>
      <c r="M95" s="46">
        <v>5.9897328471275353</v>
      </c>
      <c r="N95" s="46">
        <v>7.2967861920719477</v>
      </c>
      <c r="O95" s="46">
        <v>8.9460179229124712</v>
      </c>
      <c r="P95" s="46">
        <v>10.912474979425518</v>
      </c>
      <c r="R95" s="57">
        <f>(J95/D95)^(1/6)-1</f>
        <v>0.33357364078046348</v>
      </c>
      <c r="S95" s="57">
        <f>(P95/J95)^(1/6)-1</f>
        <v>0.22761047586888838</v>
      </c>
    </row>
    <row r="96" spans="1:19" ht="17.100000000000001" customHeight="1" x14ac:dyDescent="0.2">
      <c r="A96" s="62" t="s">
        <v>4</v>
      </c>
      <c r="B96" s="63"/>
      <c r="C96" s="63">
        <f t="shared" ref="C96:P96" si="62">C95/B95-1</f>
        <v>0.3408213474961137</v>
      </c>
      <c r="D96" s="63">
        <f t="shared" si="62"/>
        <v>0.34934691436906906</v>
      </c>
      <c r="E96" s="63">
        <f t="shared" si="62"/>
        <v>0.37011424916314217</v>
      </c>
      <c r="F96" s="63">
        <f t="shared" si="62"/>
        <v>0.28289778190161408</v>
      </c>
      <c r="G96" s="63">
        <f t="shared" si="62"/>
        <v>0.3644643663288909</v>
      </c>
      <c r="H96" s="63">
        <f t="shared" si="62"/>
        <v>0.38669285026977218</v>
      </c>
      <c r="I96" s="63">
        <f t="shared" si="62"/>
        <v>0.31076111820825392</v>
      </c>
      <c r="J96" s="63">
        <f t="shared" si="62"/>
        <v>0.29028947312856035</v>
      </c>
      <c r="K96" s="63">
        <f t="shared" si="62"/>
        <v>0.26630723064466055</v>
      </c>
      <c r="L96" s="63">
        <f t="shared" si="62"/>
        <v>0.22434986585775762</v>
      </c>
      <c r="M96" s="63">
        <f t="shared" si="62"/>
        <v>0.21172224813844132</v>
      </c>
      <c r="N96" s="63">
        <f t="shared" si="62"/>
        <v>0.21821563303465674</v>
      </c>
      <c r="O96" s="63">
        <f t="shared" si="62"/>
        <v>0.22602166041707994</v>
      </c>
      <c r="P96" s="63">
        <f t="shared" si="62"/>
        <v>0.21981367279363173</v>
      </c>
      <c r="R96" s="109"/>
      <c r="S96" s="109"/>
    </row>
    <row r="97" spans="1:19" ht="17.100000000000001" customHeight="1" x14ac:dyDescent="0.2">
      <c r="A97" s="68" t="s">
        <v>49</v>
      </c>
      <c r="B97" s="46">
        <v>0.38292468984</v>
      </c>
      <c r="C97" s="46">
        <v>0.47752915116480016</v>
      </c>
      <c r="D97" s="46">
        <v>0.59776829877350379</v>
      </c>
      <c r="E97" s="46">
        <v>0.75764003731958784</v>
      </c>
      <c r="F97" s="46">
        <v>0.89627039910115525</v>
      </c>
      <c r="G97" s="46">
        <v>1.1236060867608997</v>
      </c>
      <c r="H97" s="46">
        <v>1.425663445878937</v>
      </c>
      <c r="I97" s="46">
        <v>1.7017925456449081</v>
      </c>
      <c r="J97" s="46">
        <v>1.9887238852702802</v>
      </c>
      <c r="K97" s="46">
        <v>2.266192818466056</v>
      </c>
      <c r="L97" s="46">
        <v>2.4777755852631183</v>
      </c>
      <c r="M97" s="46">
        <v>2.6565254698773706</v>
      </c>
      <c r="N97" s="46">
        <v>2.8311052012273774</v>
      </c>
      <c r="O97" s="46">
        <v>2.9934188295266551</v>
      </c>
      <c r="P97" s="46">
        <v>3.0912636706514443</v>
      </c>
      <c r="R97" s="57">
        <f>(J97/D97)^(1/6)-1</f>
        <v>0.22181917066341073</v>
      </c>
      <c r="S97" s="57">
        <f>(P97/J97)^(1/6)-1</f>
        <v>7.6284105521567946E-2</v>
      </c>
    </row>
    <row r="98" spans="1:19" ht="17.100000000000001" customHeight="1" x14ac:dyDescent="0.2">
      <c r="A98" s="62" t="s">
        <v>4</v>
      </c>
      <c r="B98" s="63"/>
      <c r="C98" s="63">
        <f t="shared" ref="C98:P98" si="63">C97/B97-1</f>
        <v>0.2470576169019798</v>
      </c>
      <c r="D98" s="63">
        <f t="shared" si="63"/>
        <v>0.25179436127703103</v>
      </c>
      <c r="E98" s="63">
        <f t="shared" si="63"/>
        <v>0.26744766973107748</v>
      </c>
      <c r="F98" s="63">
        <f t="shared" si="63"/>
        <v>0.18297655212628405</v>
      </c>
      <c r="G98" s="63">
        <f t="shared" si="63"/>
        <v>0.25364631911054203</v>
      </c>
      <c r="H98" s="63">
        <f t="shared" si="63"/>
        <v>0.26882851799850949</v>
      </c>
      <c r="I98" s="63">
        <f t="shared" si="63"/>
        <v>0.19368463192639029</v>
      </c>
      <c r="J98" s="63">
        <f t="shared" si="63"/>
        <v>0.16860535695708845</v>
      </c>
      <c r="K98" s="63">
        <f t="shared" si="63"/>
        <v>0.13952109453247008</v>
      </c>
      <c r="L98" s="63">
        <f t="shared" si="63"/>
        <v>9.3364856279210429E-2</v>
      </c>
      <c r="M98" s="63">
        <f t="shared" si="63"/>
        <v>7.2141272872890516E-2</v>
      </c>
      <c r="N98" s="63">
        <f t="shared" si="63"/>
        <v>6.5717318854867202E-2</v>
      </c>
      <c r="O98" s="63">
        <f t="shared" si="63"/>
        <v>5.7332248984922618E-2</v>
      </c>
      <c r="P98" s="63">
        <f t="shared" si="63"/>
        <v>3.2686652519073434E-2</v>
      </c>
      <c r="R98" s="109"/>
      <c r="S98" s="109"/>
    </row>
    <row r="99" spans="1:19" ht="17.100000000000001" customHeight="1" x14ac:dyDescent="0.2">
      <c r="A99" s="77" t="s">
        <v>23</v>
      </c>
      <c r="B99" s="56">
        <f t="shared" ref="B99:P99" si="64">B97+B95</f>
        <v>0.69622670880000004</v>
      </c>
      <c r="C99" s="56">
        <f t="shared" si="64"/>
        <v>0.89761118640000026</v>
      </c>
      <c r="D99" s="56">
        <f t="shared" si="64"/>
        <v>1.1646046967999997</v>
      </c>
      <c r="E99" s="56">
        <f t="shared" si="64"/>
        <v>1.5342706632000003</v>
      </c>
      <c r="F99" s="56">
        <f t="shared" si="64"/>
        <v>1.8926081063999987</v>
      </c>
      <c r="G99" s="56">
        <f t="shared" si="64"/>
        <v>2.483073385199996</v>
      </c>
      <c r="H99" s="56">
        <f t="shared" si="64"/>
        <v>3.3108270287999946</v>
      </c>
      <c r="I99" s="56">
        <f t="shared" si="64"/>
        <v>4.1727916715999918</v>
      </c>
      <c r="J99" s="56">
        <f t="shared" si="64"/>
        <v>5.1770280455999984</v>
      </c>
      <c r="K99" s="56">
        <f t="shared" si="64"/>
        <v>6.3035654301860307</v>
      </c>
      <c r="L99" s="56">
        <f t="shared" si="64"/>
        <v>7.4209322008402534</v>
      </c>
      <c r="M99" s="56">
        <f t="shared" si="64"/>
        <v>8.6462583170049054</v>
      </c>
      <c r="N99" s="56">
        <f t="shared" si="64"/>
        <v>10.127891393299326</v>
      </c>
      <c r="O99" s="56">
        <f t="shared" si="64"/>
        <v>11.939436752439127</v>
      </c>
      <c r="P99" s="56">
        <f t="shared" si="64"/>
        <v>14.003738650076961</v>
      </c>
      <c r="R99" s="57">
        <f>(J99/D99)^(1/6)-1</f>
        <v>0.28228234690429188</v>
      </c>
      <c r="S99" s="57">
        <f>(P99/J99)^(1/6)-1</f>
        <v>0.18039468833546968</v>
      </c>
    </row>
    <row r="100" spans="1:19" ht="17.100000000000001" customHeight="1" x14ac:dyDescent="0.2">
      <c r="A100" s="74" t="s">
        <v>4</v>
      </c>
      <c r="B100" s="66"/>
      <c r="C100" s="59">
        <f t="shared" ref="C100:P100" si="65">C99/B99-1</f>
        <v>0.28925129566933983</v>
      </c>
      <c r="D100" s="59">
        <f t="shared" si="65"/>
        <v>0.29744895612410494</v>
      </c>
      <c r="E100" s="59">
        <f t="shared" si="65"/>
        <v>0.31741754727225202</v>
      </c>
      <c r="F100" s="59">
        <f t="shared" si="65"/>
        <v>0.23355555952078277</v>
      </c>
      <c r="G100" s="59">
        <f t="shared" si="65"/>
        <v>0.31198496762393324</v>
      </c>
      <c r="H100" s="59">
        <f t="shared" si="65"/>
        <v>0.33335850987478088</v>
      </c>
      <c r="I100" s="59">
        <f t="shared" si="65"/>
        <v>0.26034722904639795</v>
      </c>
      <c r="J100" s="59">
        <f t="shared" si="65"/>
        <v>0.24066295493130818</v>
      </c>
      <c r="K100" s="59">
        <f t="shared" si="65"/>
        <v>0.21760310638909641</v>
      </c>
      <c r="L100" s="59">
        <f t="shared" si="65"/>
        <v>0.17725948640168987</v>
      </c>
      <c r="M100" s="59">
        <f t="shared" si="65"/>
        <v>0.16511754628696274</v>
      </c>
      <c r="N100" s="59">
        <f t="shared" si="65"/>
        <v>0.17136118561024705</v>
      </c>
      <c r="O100" s="59">
        <f t="shared" si="65"/>
        <v>0.17886698117026922</v>
      </c>
      <c r="P100" s="59">
        <f t="shared" si="65"/>
        <v>0.17289776230156884</v>
      </c>
      <c r="R100" s="109"/>
      <c r="S100" s="109"/>
    </row>
    <row r="101" spans="1:19" ht="17.100000000000001" customHeight="1" x14ac:dyDescent="0.2">
      <c r="R101" s="109"/>
      <c r="S101" s="109"/>
    </row>
    <row r="102" spans="1:19" x14ac:dyDescent="0.2">
      <c r="A102" s="67" t="s">
        <v>32</v>
      </c>
      <c r="R102" s="109"/>
      <c r="S102" s="109"/>
    </row>
    <row r="103" spans="1:19" x14ac:dyDescent="0.2">
      <c r="A103" s="68" t="s">
        <v>82</v>
      </c>
      <c r="B103" s="43">
        <v>4.7149730063127061E-4</v>
      </c>
      <c r="C103" s="43">
        <v>6.6735919200086634E-4</v>
      </c>
      <c r="D103" s="43">
        <v>9.4094587177687551E-4</v>
      </c>
      <c r="E103" s="43">
        <v>1.3515076562040803E-3</v>
      </c>
      <c r="F103" s="43">
        <v>1.9162511422919279E-3</v>
      </c>
      <c r="G103" s="43">
        <v>2.6122829743604318E-3</v>
      </c>
      <c r="H103" s="43">
        <v>3.6529316808881444E-3</v>
      </c>
      <c r="I103" s="43">
        <v>4.7478546578427986E-3</v>
      </c>
      <c r="J103" s="43">
        <v>5.9462691051639831E-3</v>
      </c>
      <c r="K103" s="43">
        <v>7.6840407076490501E-3</v>
      </c>
      <c r="L103" s="43">
        <v>9.4595007075411654E-3</v>
      </c>
      <c r="M103" s="43">
        <v>1.1488949544308295E-2</v>
      </c>
      <c r="N103" s="43">
        <v>1.374996178296017E-2</v>
      </c>
      <c r="O103" s="43">
        <v>1.6479771960404316E-2</v>
      </c>
      <c r="P103" s="43">
        <v>1.9484089422071409E-2</v>
      </c>
      <c r="R103" s="57">
        <f>(J103/D103)^(1/6)-1</f>
        <v>0.35971113184890458</v>
      </c>
      <c r="S103" s="57">
        <f>(P103/J103)^(1/6)-1</f>
        <v>0.21872557725259756</v>
      </c>
    </row>
    <row r="104" spans="1:19" x14ac:dyDescent="0.2">
      <c r="A104" s="62" t="s">
        <v>4</v>
      </c>
      <c r="B104" s="75"/>
      <c r="C104" s="63">
        <f t="shared" ref="C104:P104" si="66">C103/B103-1</f>
        <v>0.41540405662421254</v>
      </c>
      <c r="D104" s="63">
        <f t="shared" si="66"/>
        <v>0.40995416419716291</v>
      </c>
      <c r="E104" s="63">
        <f t="shared" si="66"/>
        <v>0.43632880141330843</v>
      </c>
      <c r="F104" s="63">
        <f t="shared" si="66"/>
        <v>0.41786184746745536</v>
      </c>
      <c r="G104" s="63">
        <f t="shared" si="66"/>
        <v>0.36322578847155529</v>
      </c>
      <c r="H104" s="63">
        <f t="shared" si="66"/>
        <v>0.3983675263138351</v>
      </c>
      <c r="I104" s="63">
        <f t="shared" si="66"/>
        <v>0.29973814804235355</v>
      </c>
      <c r="J104" s="63">
        <f t="shared" si="66"/>
        <v>0.25241178041151069</v>
      </c>
      <c r="K104" s="63">
        <f t="shared" si="66"/>
        <v>0.29224570428134755</v>
      </c>
      <c r="L104" s="63">
        <f t="shared" si="66"/>
        <v>0.2310581199973003</v>
      </c>
      <c r="M104" s="63">
        <f t="shared" si="66"/>
        <v>0.21454079866490638</v>
      </c>
      <c r="N104" s="63">
        <f t="shared" si="66"/>
        <v>0.19679886572154004</v>
      </c>
      <c r="O104" s="63">
        <f t="shared" si="66"/>
        <v>0.19853220107324954</v>
      </c>
      <c r="P104" s="63">
        <f t="shared" si="66"/>
        <v>0.18230333944459409</v>
      </c>
      <c r="R104" s="109"/>
      <c r="S104" s="109"/>
    </row>
    <row r="105" spans="1:19" x14ac:dyDescent="0.2">
      <c r="A105" s="68" t="s">
        <v>10</v>
      </c>
      <c r="B105" s="43">
        <v>1.1622897912253898</v>
      </c>
      <c r="C105" s="43">
        <v>1.4602142578663937</v>
      </c>
      <c r="D105" s="43">
        <v>1.8310159419827259</v>
      </c>
      <c r="E105" s="43">
        <v>2.2918065369335747</v>
      </c>
      <c r="F105" s="43">
        <v>2.7551169116946759</v>
      </c>
      <c r="G105" s="43">
        <v>3.4390271891591282</v>
      </c>
      <c r="H105" s="43">
        <v>4.4298122809758471</v>
      </c>
      <c r="I105" s="43">
        <v>5.457345599908451</v>
      </c>
      <c r="J105" s="43">
        <v>6.5157605537464161</v>
      </c>
      <c r="K105" s="43">
        <v>7.3150256486540099</v>
      </c>
      <c r="L105" s="43">
        <v>8.269241971430132</v>
      </c>
      <c r="M105" s="43">
        <v>9.2387943725498509</v>
      </c>
      <c r="N105" s="43">
        <v>10.185764465854314</v>
      </c>
      <c r="O105" s="43">
        <v>11.258667736335793</v>
      </c>
      <c r="P105" s="43">
        <v>12.28635231057148</v>
      </c>
      <c r="R105" s="57">
        <f>(J105/D105)^(1/6)-1</f>
        <v>0.23560265199135411</v>
      </c>
      <c r="S105" s="57">
        <f>(P105/J105)^(1/6)-1</f>
        <v>0.11150044625590105</v>
      </c>
    </row>
    <row r="106" spans="1:19" x14ac:dyDescent="0.2">
      <c r="A106" s="62" t="s">
        <v>4</v>
      </c>
      <c r="B106" s="75"/>
      <c r="C106" s="63">
        <f t="shared" ref="C106:P106" si="67">C105/B105-1</f>
        <v>0.25632546107705667</v>
      </c>
      <c r="D106" s="63">
        <f t="shared" si="67"/>
        <v>0.25393649056552348</v>
      </c>
      <c r="E106" s="63">
        <f t="shared" si="67"/>
        <v>0.25165842873649646</v>
      </c>
      <c r="F106" s="63">
        <f t="shared" si="67"/>
        <v>0.2021594612348947</v>
      </c>
      <c r="G106" s="63">
        <f t="shared" si="67"/>
        <v>0.24823276085361412</v>
      </c>
      <c r="H106" s="63">
        <f t="shared" si="67"/>
        <v>0.28810039505938723</v>
      </c>
      <c r="I106" s="63">
        <f t="shared" si="67"/>
        <v>0.2319586595904799</v>
      </c>
      <c r="J106" s="63">
        <f t="shared" si="67"/>
        <v>0.19394317886991064</v>
      </c>
      <c r="K106" s="63">
        <f t="shared" si="67"/>
        <v>0.12266643138812627</v>
      </c>
      <c r="L106" s="63">
        <f t="shared" si="67"/>
        <v>0.1304460665769096</v>
      </c>
      <c r="M106" s="63">
        <f t="shared" si="67"/>
        <v>0.11724803851060117</v>
      </c>
      <c r="N106" s="63">
        <f t="shared" si="67"/>
        <v>0.1024993148584501</v>
      </c>
      <c r="O106" s="63">
        <f t="shared" si="67"/>
        <v>0.10533360299839711</v>
      </c>
      <c r="P106" s="63">
        <f t="shared" si="67"/>
        <v>9.1279412298399976E-2</v>
      </c>
      <c r="R106" s="109"/>
      <c r="S106" s="109"/>
    </row>
    <row r="107" spans="1:19" x14ac:dyDescent="0.2">
      <c r="A107" s="68" t="s">
        <v>11</v>
      </c>
      <c r="B107" s="43">
        <v>3.8869694581017944</v>
      </c>
      <c r="C107" s="43">
        <v>5.1004572569961528</v>
      </c>
      <c r="D107" s="43">
        <v>6.6782704281820244</v>
      </c>
      <c r="E107" s="43">
        <v>8.512717284403255</v>
      </c>
      <c r="F107" s="43">
        <v>10.691165025908989</v>
      </c>
      <c r="G107" s="43">
        <v>13.777198915486071</v>
      </c>
      <c r="H107" s="43">
        <v>18.195536521381307</v>
      </c>
      <c r="I107" s="43">
        <v>22.596656960155325</v>
      </c>
      <c r="J107" s="43">
        <v>27.675972916116347</v>
      </c>
      <c r="K107" s="43">
        <v>32.767640202410384</v>
      </c>
      <c r="L107" s="43">
        <v>38.336601593717752</v>
      </c>
      <c r="M107" s="43">
        <v>44.372584486046065</v>
      </c>
      <c r="N107" s="43">
        <v>50.734879185082384</v>
      </c>
      <c r="O107" s="43">
        <v>58.22477338457778</v>
      </c>
      <c r="P107" s="43">
        <v>66.051304646940125</v>
      </c>
      <c r="R107" s="57">
        <f>(J107/D107)^(1/6)-1</f>
        <v>0.2673789295445943</v>
      </c>
      <c r="S107" s="57">
        <f>(P107/J107)^(1/6)-1</f>
        <v>0.15601397393873473</v>
      </c>
    </row>
    <row r="108" spans="1:19" x14ac:dyDescent="0.2">
      <c r="A108" s="62" t="s">
        <v>4</v>
      </c>
      <c r="B108" s="75"/>
      <c r="C108" s="63">
        <f t="shared" ref="C108:P108" si="68">C107/B107-1</f>
        <v>0.31219380856338574</v>
      </c>
      <c r="D108" s="63">
        <f t="shared" si="68"/>
        <v>0.30934739606368233</v>
      </c>
      <c r="E108" s="63">
        <f t="shared" si="68"/>
        <v>0.27468891473456081</v>
      </c>
      <c r="F108" s="63">
        <f t="shared" si="68"/>
        <v>0.25590509689509133</v>
      </c>
      <c r="G108" s="63">
        <f t="shared" si="68"/>
        <v>0.28865272232711603</v>
      </c>
      <c r="H108" s="63">
        <f t="shared" si="68"/>
        <v>0.32069926789899683</v>
      </c>
      <c r="I108" s="63">
        <f t="shared" si="68"/>
        <v>0.24187912423479929</v>
      </c>
      <c r="J108" s="63">
        <f t="shared" si="68"/>
        <v>0.22478174381800708</v>
      </c>
      <c r="K108" s="63">
        <f t="shared" si="68"/>
        <v>0.18397428345975309</v>
      </c>
      <c r="L108" s="63">
        <f t="shared" si="68"/>
        <v>0.16995308044482615</v>
      </c>
      <c r="M108" s="63">
        <f t="shared" si="68"/>
        <v>0.15744699950966523</v>
      </c>
      <c r="N108" s="63">
        <f t="shared" si="68"/>
        <v>0.14338346014163506</v>
      </c>
      <c r="O108" s="63">
        <f t="shared" si="68"/>
        <v>0.1476281075228747</v>
      </c>
      <c r="P108" s="63">
        <f t="shared" si="68"/>
        <v>0.13441926533002846</v>
      </c>
      <c r="R108" s="109"/>
      <c r="S108" s="109"/>
    </row>
    <row r="109" spans="1:19" x14ac:dyDescent="0.2">
      <c r="A109" s="68" t="s">
        <v>22</v>
      </c>
      <c r="B109" s="43">
        <v>0.5502692533721858</v>
      </c>
      <c r="C109" s="43">
        <v>0.73866112594545263</v>
      </c>
      <c r="D109" s="43">
        <v>0.98977268396347295</v>
      </c>
      <c r="E109" s="43">
        <v>1.2941246710069672</v>
      </c>
      <c r="F109" s="43">
        <v>1.6518018112540394</v>
      </c>
      <c r="G109" s="43">
        <v>2.1811616123804312</v>
      </c>
      <c r="H109" s="43">
        <v>2.9709982659619691</v>
      </c>
      <c r="I109" s="43">
        <v>3.7412495852783914</v>
      </c>
      <c r="J109" s="43">
        <v>4.6023202610320721</v>
      </c>
      <c r="K109" s="43">
        <v>5.6096501082280152</v>
      </c>
      <c r="L109" s="43">
        <v>6.6846969341445419</v>
      </c>
      <c r="M109" s="43">
        <v>7.8771321918597943</v>
      </c>
      <c r="N109" s="43">
        <v>9.1656063872803308</v>
      </c>
      <c r="O109" s="43">
        <v>10.700079107126001</v>
      </c>
      <c r="P109" s="43">
        <v>12.342858953066319</v>
      </c>
      <c r="R109" s="57">
        <f>(J109/D109)^(1/6)-1</f>
        <v>0.29193370554435782</v>
      </c>
      <c r="S109" s="57">
        <f>(P109/J109)^(1/6)-1</f>
        <v>0.17870869785875221</v>
      </c>
    </row>
    <row r="110" spans="1:19" x14ac:dyDescent="0.2">
      <c r="A110" s="62" t="s">
        <v>4</v>
      </c>
      <c r="B110" s="63"/>
      <c r="C110" s="63">
        <f t="shared" ref="C110:P110" si="69">C109/B109-1</f>
        <v>0.34236307302062574</v>
      </c>
      <c r="D110" s="63">
        <f t="shared" si="69"/>
        <v>0.33995502023557678</v>
      </c>
      <c r="E110" s="63">
        <f t="shared" si="69"/>
        <v>0.30749685455526898</v>
      </c>
      <c r="F110" s="63">
        <f t="shared" si="69"/>
        <v>0.27638538099174115</v>
      </c>
      <c r="G110" s="63">
        <f t="shared" si="69"/>
        <v>0.32047416192412603</v>
      </c>
      <c r="H110" s="63">
        <f t="shared" si="69"/>
        <v>0.36211743737757351</v>
      </c>
      <c r="I110" s="63">
        <f t="shared" si="69"/>
        <v>0.25925673809406447</v>
      </c>
      <c r="J110" s="63">
        <f t="shared" si="69"/>
        <v>0.23015590276092412</v>
      </c>
      <c r="K110" s="63">
        <f t="shared" si="69"/>
        <v>0.21887434816847118</v>
      </c>
      <c r="L110" s="63">
        <f t="shared" si="69"/>
        <v>0.19164240285498191</v>
      </c>
      <c r="M110" s="63">
        <f t="shared" si="69"/>
        <v>0.17838284509570679</v>
      </c>
      <c r="N110" s="63">
        <f t="shared" si="69"/>
        <v>0.1635714831283448</v>
      </c>
      <c r="O110" s="63">
        <f t="shared" si="69"/>
        <v>0.16741638850814611</v>
      </c>
      <c r="P110" s="63">
        <f t="shared" si="69"/>
        <v>0.15352969164931363</v>
      </c>
      <c r="R110" s="109"/>
      <c r="S110" s="109"/>
    </row>
    <row r="111" spans="1:19" x14ac:dyDescent="0.2">
      <c r="A111" s="77" t="s">
        <v>23</v>
      </c>
      <c r="B111" s="56">
        <f t="shared" ref="B111:P111" si="70">B109+B107+B105+B103</f>
        <v>5.6000000000000005</v>
      </c>
      <c r="C111" s="56">
        <f t="shared" si="70"/>
        <v>7.3</v>
      </c>
      <c r="D111" s="56">
        <f t="shared" si="70"/>
        <v>9.5</v>
      </c>
      <c r="E111" s="56">
        <f t="shared" si="70"/>
        <v>12.100000000000001</v>
      </c>
      <c r="F111" s="56">
        <f t="shared" si="70"/>
        <v>15.099999999999996</v>
      </c>
      <c r="G111" s="56">
        <f t="shared" si="70"/>
        <v>19.399999999999991</v>
      </c>
      <c r="H111" s="56">
        <f t="shared" si="70"/>
        <v>25.600000000000016</v>
      </c>
      <c r="I111" s="56">
        <f t="shared" si="70"/>
        <v>31.800000000000011</v>
      </c>
      <c r="J111" s="56">
        <f t="shared" si="70"/>
        <v>38.800000000000004</v>
      </c>
      <c r="K111" s="56">
        <f t="shared" si="70"/>
        <v>45.70000000000006</v>
      </c>
      <c r="L111" s="56">
        <f t="shared" si="70"/>
        <v>53.299999999999969</v>
      </c>
      <c r="M111" s="56">
        <f t="shared" si="70"/>
        <v>61.500000000000021</v>
      </c>
      <c r="N111" s="56">
        <f t="shared" si="70"/>
        <v>70.099999999999994</v>
      </c>
      <c r="O111" s="56">
        <f t="shared" si="70"/>
        <v>80.199999999999974</v>
      </c>
      <c r="P111" s="56">
        <f t="shared" si="70"/>
        <v>90.699999999999989</v>
      </c>
      <c r="R111" s="57">
        <f>(J111/D111)^(1/6)-1</f>
        <v>0.26430353836099707</v>
      </c>
      <c r="S111" s="57">
        <f>(P111/J111)^(1/6)-1</f>
        <v>0.15202682978756044</v>
      </c>
    </row>
    <row r="112" spans="1:19" x14ac:dyDescent="0.2">
      <c r="A112" s="74" t="s">
        <v>4</v>
      </c>
      <c r="B112" s="66"/>
      <c r="C112" s="59">
        <f t="shared" ref="C112:P112" si="71">C111/B111-1</f>
        <v>0.30357142857142838</v>
      </c>
      <c r="D112" s="59">
        <f t="shared" si="71"/>
        <v>0.30136986301369872</v>
      </c>
      <c r="E112" s="59">
        <f t="shared" si="71"/>
        <v>0.27368421052631597</v>
      </c>
      <c r="F112" s="59">
        <f t="shared" si="71"/>
        <v>0.24793388429752028</v>
      </c>
      <c r="G112" s="59">
        <f t="shared" si="71"/>
        <v>0.28476821192052948</v>
      </c>
      <c r="H112" s="59">
        <f t="shared" si="71"/>
        <v>0.31958762886598069</v>
      </c>
      <c r="I112" s="59">
        <f t="shared" si="71"/>
        <v>0.24218749999999978</v>
      </c>
      <c r="J112" s="59">
        <f t="shared" si="71"/>
        <v>0.22012578616352174</v>
      </c>
      <c r="K112" s="59">
        <f t="shared" si="71"/>
        <v>0.17783505154639312</v>
      </c>
      <c r="L112" s="59">
        <f t="shared" si="71"/>
        <v>0.16630196936542441</v>
      </c>
      <c r="M112" s="59">
        <f t="shared" si="71"/>
        <v>0.15384615384615485</v>
      </c>
      <c r="N112" s="59">
        <f t="shared" si="71"/>
        <v>0.13983739837398335</v>
      </c>
      <c r="O112" s="59">
        <f t="shared" si="71"/>
        <v>0.14407988587731779</v>
      </c>
      <c r="P112" s="59">
        <f t="shared" si="71"/>
        <v>0.13092269326683303</v>
      </c>
      <c r="R112" s="109"/>
      <c r="S112" s="109"/>
    </row>
    <row r="113" spans="1:19" ht="17.100000000000001" customHeight="1" x14ac:dyDescent="0.2">
      <c r="R113" s="109"/>
      <c r="S113" s="109"/>
    </row>
    <row r="114" spans="1:19" x14ac:dyDescent="0.2">
      <c r="A114" s="67" t="s">
        <v>33</v>
      </c>
      <c r="R114" s="109"/>
      <c r="S114" s="109"/>
    </row>
    <row r="115" spans="1:19" x14ac:dyDescent="0.2">
      <c r="A115" s="68" t="s">
        <v>82</v>
      </c>
      <c r="B115" s="112">
        <f t="shared" ref="B115:P115" si="72">(B103*1000000)/(B34*1000)</f>
        <v>1.1554869580967967E-2</v>
      </c>
      <c r="C115" s="112">
        <f t="shared" si="72"/>
        <v>1.4172199926745611E-2</v>
      </c>
      <c r="D115" s="112">
        <f t="shared" si="72"/>
        <v>1.748400322133881E-2</v>
      </c>
      <c r="E115" s="112">
        <f t="shared" si="72"/>
        <v>2.2172717025880279E-2</v>
      </c>
      <c r="F115" s="112">
        <f t="shared" si="72"/>
        <v>2.845541329238601E-2</v>
      </c>
      <c r="G115" s="112">
        <f t="shared" si="72"/>
        <v>3.4510687077649552E-2</v>
      </c>
      <c r="H115" s="112">
        <f t="shared" si="72"/>
        <v>4.1464559405821118E-2</v>
      </c>
      <c r="I115" s="112">
        <f t="shared" si="72"/>
        <v>4.773212778711617E-2</v>
      </c>
      <c r="J115" s="112">
        <f t="shared" si="72"/>
        <v>5.4642557689963428E-2</v>
      </c>
      <c r="K115" s="112">
        <f t="shared" si="72"/>
        <v>6.4252224492291093E-2</v>
      </c>
      <c r="L115" s="112">
        <f t="shared" si="72"/>
        <v>7.1864973859895473E-2</v>
      </c>
      <c r="M115" s="112">
        <f t="shared" si="72"/>
        <v>7.9502327245774954E-2</v>
      </c>
      <c r="N115" s="112">
        <f t="shared" si="72"/>
        <v>8.644309954983008E-2</v>
      </c>
      <c r="O115" s="112">
        <f t="shared" si="72"/>
        <v>9.4382546975652001E-2</v>
      </c>
      <c r="P115" s="112">
        <f t="shared" si="72"/>
        <v>0.10200720240884287</v>
      </c>
      <c r="R115" s="57">
        <f>(J115/D115)^(1/6)-1</f>
        <v>0.20915420427689213</v>
      </c>
      <c r="S115" s="57">
        <f>(P115/J115)^(1/6)-1</f>
        <v>0.10964306413781411</v>
      </c>
    </row>
    <row r="116" spans="1:19" x14ac:dyDescent="0.2">
      <c r="A116" s="62" t="s">
        <v>4</v>
      </c>
      <c r="B116" s="75"/>
      <c r="C116" s="13">
        <f>C115/B115-1</f>
        <v>0.22651318800591658</v>
      </c>
      <c r="D116" s="13">
        <f t="shared" ref="D116:P116" si="73">D115/C115-1</f>
        <v>0.23368307755405016</v>
      </c>
      <c r="E116" s="13">
        <f t="shared" si="73"/>
        <v>0.26817163925130183</v>
      </c>
      <c r="F116" s="13">
        <f t="shared" si="73"/>
        <v>0.2833525660915841</v>
      </c>
      <c r="G116" s="13">
        <f t="shared" si="73"/>
        <v>0.2127986588366928</v>
      </c>
      <c r="H116" s="13">
        <f t="shared" si="73"/>
        <v>0.20149909830903256</v>
      </c>
      <c r="I116" s="13">
        <f t="shared" si="73"/>
        <v>0.15115482887333331</v>
      </c>
      <c r="J116" s="13">
        <f t="shared" si="73"/>
        <v>0.14477523259946778</v>
      </c>
      <c r="K116" s="13">
        <f t="shared" si="73"/>
        <v>0.1758641470783997</v>
      </c>
      <c r="L116" s="13">
        <f t="shared" si="73"/>
        <v>0.11848226933400174</v>
      </c>
      <c r="M116" s="13">
        <f t="shared" si="73"/>
        <v>0.10627365426680457</v>
      </c>
      <c r="N116" s="13">
        <f t="shared" si="73"/>
        <v>8.7302756340682963E-2</v>
      </c>
      <c r="O116" s="13">
        <f t="shared" si="73"/>
        <v>9.1845936427178199E-2</v>
      </c>
      <c r="P116" s="13">
        <f t="shared" si="73"/>
        <v>8.0784590769285014E-2</v>
      </c>
      <c r="R116" s="109"/>
      <c r="S116" s="109"/>
    </row>
    <row r="117" spans="1:19" x14ac:dyDescent="0.2">
      <c r="A117" s="68" t="s">
        <v>10</v>
      </c>
      <c r="B117" s="112">
        <f t="shared" ref="B117:P117" si="74">(B105*1000000)/(B36*1000)</f>
        <v>510.81991265871784</v>
      </c>
      <c r="C117" s="112">
        <f t="shared" si="74"/>
        <v>540.85099578951099</v>
      </c>
      <c r="D117" s="112">
        <f t="shared" si="74"/>
        <v>600.66229679630646</v>
      </c>
      <c r="E117" s="112">
        <f t="shared" si="74"/>
        <v>690.66747572364989</v>
      </c>
      <c r="F117" s="112">
        <f t="shared" si="74"/>
        <v>799.41416805867516</v>
      </c>
      <c r="G117" s="112">
        <f t="shared" si="74"/>
        <v>846.24967799744195</v>
      </c>
      <c r="H117" s="112">
        <f t="shared" si="74"/>
        <v>935.52160402949369</v>
      </c>
      <c r="I117" s="112">
        <f t="shared" si="74"/>
        <v>1052.1783950304468</v>
      </c>
      <c r="J117" s="112">
        <f t="shared" si="74"/>
        <v>1133.0581981910125</v>
      </c>
      <c r="K117" s="112">
        <f t="shared" si="74"/>
        <v>1142.8817723642599</v>
      </c>
      <c r="L117" s="112">
        <f t="shared" si="74"/>
        <v>1165.7845668571067</v>
      </c>
      <c r="M117" s="112">
        <f t="shared" si="74"/>
        <v>1191.7187657963173</v>
      </c>
      <c r="N117" s="112">
        <f t="shared" si="74"/>
        <v>1195.8917036816911</v>
      </c>
      <c r="O117" s="112">
        <f t="shared" si="74"/>
        <v>1206.3707528076816</v>
      </c>
      <c r="P117" s="112">
        <f t="shared" si="74"/>
        <v>1219.4144731860094</v>
      </c>
      <c r="R117" s="57">
        <f>(J117/D117)^(1/6)-1</f>
        <v>0.11157040189579592</v>
      </c>
      <c r="S117" s="57">
        <f>(P117/J117)^(1/6)-1</f>
        <v>1.2316979553345542E-2</v>
      </c>
    </row>
    <row r="118" spans="1:19" x14ac:dyDescent="0.2">
      <c r="A118" s="62" t="s">
        <v>4</v>
      </c>
      <c r="B118" s="75"/>
      <c r="C118" s="13">
        <f>C117/B117-1</f>
        <v>5.8789961758709097E-2</v>
      </c>
      <c r="D118" s="13">
        <f t="shared" ref="D118:P118" si="75">D117/C117-1</f>
        <v>0.1105873918554694</v>
      </c>
      <c r="E118" s="13">
        <f t="shared" si="75"/>
        <v>0.14984323039317626</v>
      </c>
      <c r="F118" s="13">
        <f t="shared" si="75"/>
        <v>0.15745159017526555</v>
      </c>
      <c r="G118" s="13">
        <f t="shared" si="75"/>
        <v>5.8587290305979645E-2</v>
      </c>
      <c r="H118" s="13">
        <f t="shared" si="75"/>
        <v>0.10549123781447589</v>
      </c>
      <c r="I118" s="13">
        <f t="shared" si="75"/>
        <v>0.12469705723361924</v>
      </c>
      <c r="J118" s="13">
        <f t="shared" si="75"/>
        <v>7.686890696726878E-2</v>
      </c>
      <c r="K118" s="13">
        <f t="shared" si="75"/>
        <v>8.6699643398115978E-3</v>
      </c>
      <c r="L118" s="13">
        <f t="shared" si="75"/>
        <v>2.003951331332221E-2</v>
      </c>
      <c r="M118" s="13">
        <f t="shared" si="75"/>
        <v>2.224613335646386E-2</v>
      </c>
      <c r="N118" s="13">
        <f t="shared" si="75"/>
        <v>3.5016129687153175E-3</v>
      </c>
      <c r="O118" s="13">
        <f t="shared" si="75"/>
        <v>8.7625401980209183E-3</v>
      </c>
      <c r="P118" s="13">
        <f t="shared" si="75"/>
        <v>1.0812364563688392E-2</v>
      </c>
      <c r="R118" s="109"/>
      <c r="S118" s="109"/>
    </row>
    <row r="119" spans="1:19" x14ac:dyDescent="0.2">
      <c r="A119" s="68" t="s">
        <v>11</v>
      </c>
      <c r="B119" s="112">
        <f t="shared" ref="B119:P119" si="76">(B107*1000000)/(B38*1000)</f>
        <v>24778.24111855006</v>
      </c>
      <c r="C119" s="112">
        <f t="shared" si="76"/>
        <v>26087.454400860042</v>
      </c>
      <c r="D119" s="112">
        <f t="shared" si="76"/>
        <v>28226.209670536973</v>
      </c>
      <c r="E119" s="112">
        <f t="shared" si="76"/>
        <v>31384.462779302106</v>
      </c>
      <c r="F119" s="112">
        <f t="shared" si="76"/>
        <v>35906.448262939011</v>
      </c>
      <c r="G119" s="112">
        <f t="shared" si="76"/>
        <v>39018.84885521503</v>
      </c>
      <c r="H119" s="112">
        <f t="shared" si="76"/>
        <v>45978.950095119937</v>
      </c>
      <c r="I119" s="112">
        <f t="shared" si="76"/>
        <v>51710.808812272662</v>
      </c>
      <c r="J119" s="112">
        <f t="shared" si="76"/>
        <v>58177.212817979693</v>
      </c>
      <c r="K119" s="112">
        <f t="shared" si="76"/>
        <v>64025.750857695602</v>
      </c>
      <c r="L119" s="112">
        <f t="shared" si="76"/>
        <v>71123.285736390142</v>
      </c>
      <c r="M119" s="112">
        <f t="shared" si="76"/>
        <v>77949.249735655161</v>
      </c>
      <c r="N119" s="112">
        <f t="shared" si="76"/>
        <v>84931.275022559232</v>
      </c>
      <c r="O119" s="112">
        <f t="shared" si="76"/>
        <v>93673.018198989099</v>
      </c>
      <c r="P119" s="112">
        <f t="shared" si="76"/>
        <v>102929.73984607159</v>
      </c>
      <c r="R119" s="57">
        <f>(J119/D119)^(1/6)-1</f>
        <v>0.12810638670323926</v>
      </c>
      <c r="S119" s="57">
        <f>(P119/J119)^(1/6)-1</f>
        <v>9.9760188285092477E-2</v>
      </c>
    </row>
    <row r="120" spans="1:19" x14ac:dyDescent="0.2">
      <c r="A120" s="62" t="s">
        <v>4</v>
      </c>
      <c r="B120" s="75"/>
      <c r="C120" s="13">
        <f>C119/B119-1</f>
        <v>5.2837216170676715E-2</v>
      </c>
      <c r="D120" s="13">
        <f t="shared" ref="D120:P120" si="77">D119/C119-1</f>
        <v>8.1984053975248106E-2</v>
      </c>
      <c r="E120" s="13">
        <f t="shared" si="77"/>
        <v>0.11189079744071262</v>
      </c>
      <c r="F120" s="13">
        <f t="shared" si="77"/>
        <v>0.14408357139760031</v>
      </c>
      <c r="G120" s="13">
        <f t="shared" si="77"/>
        <v>8.6680825947591522E-2</v>
      </c>
      <c r="H120" s="13">
        <f t="shared" si="77"/>
        <v>0.17837792359614069</v>
      </c>
      <c r="I120" s="13">
        <f t="shared" si="77"/>
        <v>0.1246626707503069</v>
      </c>
      <c r="J120" s="13">
        <f t="shared" si="77"/>
        <v>0.12504936886951845</v>
      </c>
      <c r="K120" s="13">
        <f t="shared" si="77"/>
        <v>0.10052970495534663</v>
      </c>
      <c r="L120" s="13">
        <f t="shared" si="77"/>
        <v>0.11085437942726517</v>
      </c>
      <c r="M120" s="13">
        <f t="shared" si="77"/>
        <v>9.5973687500386706E-2</v>
      </c>
      <c r="N120" s="13">
        <f t="shared" si="77"/>
        <v>8.9571423850541398E-2</v>
      </c>
      <c r="O120" s="13">
        <f t="shared" si="77"/>
        <v>0.10292725705704875</v>
      </c>
      <c r="P120" s="13">
        <f t="shared" si="77"/>
        <v>9.8819508809020018E-2</v>
      </c>
      <c r="R120" s="109"/>
      <c r="S120" s="109"/>
    </row>
    <row r="121" spans="1:19" x14ac:dyDescent="0.2">
      <c r="A121" s="77" t="s">
        <v>23</v>
      </c>
      <c r="B121" s="56">
        <f t="shared" ref="B121:P121" si="78">(B111*1000000)/(B40*1000)</f>
        <v>129.51784494638378</v>
      </c>
      <c r="C121" s="56">
        <f t="shared" si="78"/>
        <v>146.04476295363065</v>
      </c>
      <c r="D121" s="56">
        <f t="shared" si="78"/>
        <v>166.36762282019347</v>
      </c>
      <c r="E121" s="56">
        <f t="shared" si="78"/>
        <v>187.4715645131003</v>
      </c>
      <c r="F121" s="56">
        <f t="shared" si="78"/>
        <v>212.41754733821469</v>
      </c>
      <c r="G121" s="56">
        <f t="shared" si="78"/>
        <v>242.16147486860402</v>
      </c>
      <c r="H121" s="56">
        <f t="shared" si="78"/>
        <v>274.59400533057976</v>
      </c>
      <c r="I121" s="56">
        <f t="shared" si="78"/>
        <v>302.59076595023885</v>
      </c>
      <c r="J121" s="56">
        <f t="shared" si="78"/>
        <v>337.25193890030636</v>
      </c>
      <c r="K121" s="56">
        <f t="shared" si="78"/>
        <v>361.25305150347953</v>
      </c>
      <c r="L121" s="56">
        <f t="shared" si="78"/>
        <v>382.73428326021775</v>
      </c>
      <c r="M121" s="56">
        <f t="shared" si="78"/>
        <v>402.40104936940764</v>
      </c>
      <c r="N121" s="56">
        <f t="shared" si="78"/>
        <v>416.81930746567542</v>
      </c>
      <c r="O121" s="56">
        <f t="shared" si="78"/>
        <v>434.54611652898865</v>
      </c>
      <c r="P121" s="56">
        <f t="shared" si="78"/>
        <v>449.62351247042403</v>
      </c>
      <c r="R121" s="109"/>
      <c r="S121" s="109"/>
    </row>
    <row r="122" spans="1:19" x14ac:dyDescent="0.2">
      <c r="A122" s="74" t="s">
        <v>4</v>
      </c>
      <c r="B122" s="66"/>
      <c r="C122" s="59">
        <f t="shared" ref="C122:P122" si="79">C121/B121-1</f>
        <v>0.12760340487512356</v>
      </c>
      <c r="D122" s="59">
        <f t="shared" si="79"/>
        <v>0.13915500601014608</v>
      </c>
      <c r="E122" s="59">
        <f t="shared" si="79"/>
        <v>0.12685125468021807</v>
      </c>
      <c r="F122" s="59">
        <f t="shared" si="79"/>
        <v>0.13306542189426906</v>
      </c>
      <c r="G122" s="59">
        <f t="shared" si="79"/>
        <v>0.14002575541949258</v>
      </c>
      <c r="H122" s="59">
        <f t="shared" si="79"/>
        <v>0.13392935635023506</v>
      </c>
      <c r="I122" s="59">
        <f t="shared" si="79"/>
        <v>0.1019569257746693</v>
      </c>
      <c r="J122" s="59">
        <f t="shared" si="79"/>
        <v>0.11454801947184179</v>
      </c>
      <c r="K122" s="59">
        <f t="shared" si="79"/>
        <v>7.1166714953321719E-2</v>
      </c>
      <c r="L122" s="59">
        <f t="shared" si="79"/>
        <v>5.9463115030687241E-2</v>
      </c>
      <c r="M122" s="59">
        <f t="shared" si="79"/>
        <v>5.1384908458327549E-2</v>
      </c>
      <c r="N122" s="59">
        <f t="shared" si="79"/>
        <v>3.5830567834905569E-2</v>
      </c>
      <c r="O122" s="59">
        <f t="shared" si="79"/>
        <v>4.2528761853895203E-2</v>
      </c>
      <c r="P122" s="59">
        <f t="shared" si="79"/>
        <v>3.4696883409909729E-2</v>
      </c>
      <c r="R122" s="109"/>
      <c r="S122" s="109"/>
    </row>
    <row r="123" spans="1:19" x14ac:dyDescent="0.2">
      <c r="R123" s="109"/>
      <c r="S123" s="109"/>
    </row>
    <row r="124" spans="1:19" x14ac:dyDescent="0.2">
      <c r="A124" s="67" t="s">
        <v>51</v>
      </c>
      <c r="R124" s="109"/>
      <c r="S124" s="109"/>
    </row>
    <row r="125" spans="1:19" x14ac:dyDescent="0.2">
      <c r="A125" s="68" t="s">
        <v>52</v>
      </c>
      <c r="B125" s="46">
        <v>2.5206915497511169</v>
      </c>
      <c r="C125" s="46">
        <v>3.4084600603768815</v>
      </c>
      <c r="D125" s="46">
        <v>4.6011100971820511</v>
      </c>
      <c r="E125" s="46">
        <v>6.0789428600360473</v>
      </c>
      <c r="F125" s="46">
        <v>7.8690681940419163</v>
      </c>
      <c r="G125" s="46">
        <v>10.487011938196193</v>
      </c>
      <c r="H125" s="46">
        <v>14.354685060210571</v>
      </c>
      <c r="I125" s="46">
        <v>18.49628437945265</v>
      </c>
      <c r="J125" s="46">
        <v>23.409534103579055</v>
      </c>
      <c r="K125" s="46">
        <v>28.60098009463875</v>
      </c>
      <c r="L125" s="46">
        <v>34.601553325561248</v>
      </c>
      <c r="M125" s="46">
        <v>41.41399941547914</v>
      </c>
      <c r="N125" s="46">
        <v>48.965900531616342</v>
      </c>
      <c r="O125" s="46">
        <v>58.110386920110713</v>
      </c>
      <c r="P125" s="46">
        <v>68.169538944118614</v>
      </c>
      <c r="R125" s="57">
        <f>(J125/D125)^(1/6)-1</f>
        <v>0.31145992508546083</v>
      </c>
      <c r="S125" s="57">
        <f>(P125/J125)^(1/6)-1</f>
        <v>0.19499548490407315</v>
      </c>
    </row>
    <row r="126" spans="1:19" x14ac:dyDescent="0.2">
      <c r="A126" s="62" t="s">
        <v>4</v>
      </c>
      <c r="B126" s="75"/>
      <c r="C126" s="63">
        <f t="shared" ref="C126:P126" si="80">C125/B125-1</f>
        <v>0.35219244128200433</v>
      </c>
      <c r="D126" s="63">
        <f t="shared" si="80"/>
        <v>0.3499087610471503</v>
      </c>
      <c r="E126" s="63">
        <f t="shared" si="80"/>
        <v>0.32119048047972054</v>
      </c>
      <c r="F126" s="63">
        <f t="shared" si="80"/>
        <v>0.29447971057179068</v>
      </c>
      <c r="G126" s="63">
        <f t="shared" si="80"/>
        <v>0.33268789640639529</v>
      </c>
      <c r="H126" s="63">
        <f t="shared" si="80"/>
        <v>0.36880601879810881</v>
      </c>
      <c r="I126" s="63">
        <f t="shared" si="80"/>
        <v>0.28851899584492346</v>
      </c>
      <c r="J126" s="63">
        <f t="shared" si="80"/>
        <v>0.2656344173419225</v>
      </c>
      <c r="K126" s="63">
        <f t="shared" si="80"/>
        <v>0.22176630974753064</v>
      </c>
      <c r="L126" s="63">
        <f t="shared" si="80"/>
        <v>0.20980306307920205</v>
      </c>
      <c r="M126" s="63">
        <f t="shared" si="80"/>
        <v>0.19688266667743282</v>
      </c>
      <c r="N126" s="63">
        <f t="shared" si="80"/>
        <v>0.18235140828525154</v>
      </c>
      <c r="O126" s="63">
        <f t="shared" si="80"/>
        <v>0.18675213340740981</v>
      </c>
      <c r="P126" s="63">
        <f t="shared" si="80"/>
        <v>0.17310419973346702</v>
      </c>
      <c r="R126" s="109"/>
      <c r="S126" s="109"/>
    </row>
    <row r="127" spans="1:19" x14ac:dyDescent="0.2">
      <c r="A127" s="68" t="s">
        <v>53</v>
      </c>
      <c r="B127" s="46">
        <v>3.0793084502488828</v>
      </c>
      <c r="C127" s="46">
        <v>3.8915399396231183</v>
      </c>
      <c r="D127" s="46">
        <v>4.8988899028179489</v>
      </c>
      <c r="E127" s="46">
        <v>6.0210571399639523</v>
      </c>
      <c r="F127" s="46">
        <v>7.2309318059580834</v>
      </c>
      <c r="G127" s="46">
        <v>8.9129880618038051</v>
      </c>
      <c r="H127" s="46">
        <v>11.245314939789431</v>
      </c>
      <c r="I127" s="46">
        <v>13.303715620547351</v>
      </c>
      <c r="J127" s="46">
        <v>15.390465896420942</v>
      </c>
      <c r="K127" s="46">
        <v>17.099019905361253</v>
      </c>
      <c r="L127" s="46">
        <v>18.698446674438749</v>
      </c>
      <c r="M127" s="46">
        <v>20.08600058452086</v>
      </c>
      <c r="N127" s="46">
        <v>21.134099468383653</v>
      </c>
      <c r="O127" s="46">
        <v>22.08961307988929</v>
      </c>
      <c r="P127" s="46">
        <v>22.530461055881389</v>
      </c>
      <c r="R127" s="57">
        <f>(J127/D127)^(1/6)-1</f>
        <v>0.21020519980150332</v>
      </c>
      <c r="S127" s="57">
        <f>(P127/J127)^(1/6)-1</f>
        <v>6.5580796894801452E-2</v>
      </c>
    </row>
    <row r="128" spans="1:19" x14ac:dyDescent="0.2">
      <c r="A128" s="62" t="s">
        <v>4</v>
      </c>
      <c r="B128" s="63"/>
      <c r="C128" s="63">
        <f t="shared" ref="C128:P128" si="81">C127/B127-1</f>
        <v>0.26377074674301881</v>
      </c>
      <c r="D128" s="63">
        <f t="shared" si="81"/>
        <v>0.25885638560152846</v>
      </c>
      <c r="E128" s="63">
        <f t="shared" si="81"/>
        <v>0.22906561678402038</v>
      </c>
      <c r="F128" s="63">
        <f t="shared" si="81"/>
        <v>0.20094057204070559</v>
      </c>
      <c r="G128" s="63">
        <f t="shared" si="81"/>
        <v>0.23261957116782028</v>
      </c>
      <c r="H128" s="63">
        <f t="shared" si="81"/>
        <v>0.26167732547300315</v>
      </c>
      <c r="I128" s="63">
        <f t="shared" si="81"/>
        <v>0.18304517852805136</v>
      </c>
      <c r="J128" s="63">
        <f t="shared" si="81"/>
        <v>0.15685469649175632</v>
      </c>
      <c r="K128" s="63">
        <f t="shared" si="81"/>
        <v>0.11101379389285637</v>
      </c>
      <c r="L128" s="63">
        <f t="shared" si="81"/>
        <v>9.3539090423305993E-2</v>
      </c>
      <c r="M128" s="63">
        <f t="shared" si="81"/>
        <v>7.4206907891388285E-2</v>
      </c>
      <c r="N128" s="63">
        <f t="shared" si="81"/>
        <v>5.2180566233305026E-2</v>
      </c>
      <c r="O128" s="63">
        <f t="shared" si="81"/>
        <v>4.521193878807428E-2</v>
      </c>
      <c r="P128" s="63">
        <f t="shared" si="81"/>
        <v>1.995725205315857E-2</v>
      </c>
      <c r="R128" s="109"/>
      <c r="S128" s="109"/>
    </row>
    <row r="129" spans="1:19" x14ac:dyDescent="0.2">
      <c r="A129" s="77" t="s">
        <v>23</v>
      </c>
      <c r="B129" s="56">
        <f t="shared" ref="B129:P129" si="82">B125+B127</f>
        <v>5.6</v>
      </c>
      <c r="C129" s="56">
        <f t="shared" si="82"/>
        <v>7.3</v>
      </c>
      <c r="D129" s="56">
        <f t="shared" si="82"/>
        <v>9.5</v>
      </c>
      <c r="E129" s="56">
        <f t="shared" si="82"/>
        <v>12.1</v>
      </c>
      <c r="F129" s="56">
        <f t="shared" si="82"/>
        <v>15.1</v>
      </c>
      <c r="G129" s="56">
        <f t="shared" si="82"/>
        <v>19.399999999999999</v>
      </c>
      <c r="H129" s="56">
        <f t="shared" si="82"/>
        <v>25.6</v>
      </c>
      <c r="I129" s="56">
        <f t="shared" si="82"/>
        <v>31.8</v>
      </c>
      <c r="J129" s="56">
        <f t="shared" si="82"/>
        <v>38.799999999999997</v>
      </c>
      <c r="K129" s="56">
        <f t="shared" si="82"/>
        <v>45.7</v>
      </c>
      <c r="L129" s="56">
        <f t="shared" si="82"/>
        <v>53.3</v>
      </c>
      <c r="M129" s="56">
        <f t="shared" si="82"/>
        <v>61.5</v>
      </c>
      <c r="N129" s="56">
        <f t="shared" si="82"/>
        <v>70.099999999999994</v>
      </c>
      <c r="O129" s="56">
        <f t="shared" si="82"/>
        <v>80.2</v>
      </c>
      <c r="P129" s="56">
        <f t="shared" si="82"/>
        <v>90.7</v>
      </c>
      <c r="R129" s="57">
        <f>(J129/D129)^(1/6)-1</f>
        <v>0.26430353836099707</v>
      </c>
      <c r="S129" s="57">
        <f>(P129/J129)^(1/6)-1</f>
        <v>0.15202682978756044</v>
      </c>
    </row>
    <row r="130" spans="1:19" x14ac:dyDescent="0.2">
      <c r="A130" s="74" t="s">
        <v>4</v>
      </c>
      <c r="B130" s="66"/>
      <c r="C130" s="59">
        <f>C129/B129-1</f>
        <v>0.3035714285714286</v>
      </c>
      <c r="D130" s="59">
        <f t="shared" ref="D130:P130" si="83">D129/C129-1</f>
        <v>0.30136986301369872</v>
      </c>
      <c r="E130" s="59">
        <f t="shared" si="83"/>
        <v>0.27368421052631575</v>
      </c>
      <c r="F130" s="59">
        <f t="shared" si="83"/>
        <v>0.24793388429752072</v>
      </c>
      <c r="G130" s="59">
        <f t="shared" si="83"/>
        <v>0.2847682119205297</v>
      </c>
      <c r="H130" s="59">
        <f t="shared" si="83"/>
        <v>0.31958762886597958</v>
      </c>
      <c r="I130" s="59">
        <f t="shared" si="83"/>
        <v>0.2421875</v>
      </c>
      <c r="J130" s="59">
        <f t="shared" si="83"/>
        <v>0.22012578616352196</v>
      </c>
      <c r="K130" s="59">
        <f t="shared" si="83"/>
        <v>0.17783505154639201</v>
      </c>
      <c r="L130" s="59">
        <f t="shared" si="83"/>
        <v>0.16630196936542663</v>
      </c>
      <c r="M130" s="59">
        <f t="shared" si="83"/>
        <v>0.15384615384615397</v>
      </c>
      <c r="N130" s="59">
        <f t="shared" si="83"/>
        <v>0.13983739837398357</v>
      </c>
      <c r="O130" s="59">
        <f t="shared" si="83"/>
        <v>0.14407988587731824</v>
      </c>
      <c r="P130" s="59">
        <f t="shared" si="83"/>
        <v>0.13092269326683281</v>
      </c>
      <c r="R130" s="109"/>
      <c r="S130" s="109"/>
    </row>
    <row r="131" spans="1:19" x14ac:dyDescent="0.2">
      <c r="R131" s="109"/>
      <c r="S131" s="109"/>
    </row>
    <row r="132" spans="1:19" x14ac:dyDescent="0.2">
      <c r="A132" s="67" t="s">
        <v>34</v>
      </c>
      <c r="R132" s="109"/>
      <c r="S132" s="109"/>
    </row>
    <row r="133" spans="1:19" x14ac:dyDescent="0.2">
      <c r="A133" s="79" t="s">
        <v>35</v>
      </c>
      <c r="B133" s="45">
        <v>19073.709079999986</v>
      </c>
      <c r="C133" s="45">
        <v>19579.231799999994</v>
      </c>
      <c r="D133" s="45">
        <v>20273.482989999997</v>
      </c>
      <c r="E133" s="45">
        <v>20967.734189999992</v>
      </c>
      <c r="F133" s="45">
        <v>21586.493989999988</v>
      </c>
      <c r="G133" s="45">
        <v>22129.762399999996</v>
      </c>
      <c r="H133" s="45">
        <v>22635.285119999993</v>
      </c>
      <c r="I133" s="45">
        <v>23334.92856</v>
      </c>
      <c r="J133" s="45">
        <v>23945.600000000002</v>
      </c>
      <c r="K133" s="45">
        <v>24598.926321961873</v>
      </c>
      <c r="L133" s="45">
        <v>25165.867795900256</v>
      </c>
      <c r="M133" s="45">
        <v>25667.328485907266</v>
      </c>
      <c r="N133" s="45">
        <v>26276.744409022882</v>
      </c>
      <c r="O133" s="45">
        <v>26946.444312385385</v>
      </c>
      <c r="P133" s="45">
        <v>27568.214350604576</v>
      </c>
      <c r="R133" s="57">
        <f>(J133/D133)^(1/6)-1</f>
        <v>2.8133616678686968E-2</v>
      </c>
      <c r="S133" s="57">
        <f>(P133/J133)^(1/6)-1</f>
        <v>2.375763158676536E-2</v>
      </c>
    </row>
    <row r="134" spans="1:19" x14ac:dyDescent="0.2">
      <c r="A134" s="80" t="s">
        <v>36</v>
      </c>
      <c r="B134" s="75"/>
      <c r="C134" s="63">
        <f t="shared" ref="C134:P134" si="84">C133/B133-1</f>
        <v>2.650364005656769E-2</v>
      </c>
      <c r="D134" s="63">
        <f t="shared" si="84"/>
        <v>3.5458551034673436E-2</v>
      </c>
      <c r="E134" s="63">
        <f t="shared" si="84"/>
        <v>3.4244298344908941E-2</v>
      </c>
      <c r="F134" s="63">
        <f t="shared" si="84"/>
        <v>2.9510093670259252E-2</v>
      </c>
      <c r="G134" s="63">
        <f t="shared" si="84"/>
        <v>2.5167051687581932E-2</v>
      </c>
      <c r="H134" s="63">
        <f t="shared" si="84"/>
        <v>2.2843567448333602E-2</v>
      </c>
      <c r="I134" s="63">
        <f t="shared" si="84"/>
        <v>3.0909415820957298E-2</v>
      </c>
      <c r="J134" s="63">
        <f t="shared" si="84"/>
        <v>2.6169843992871478E-2</v>
      </c>
      <c r="K134" s="63">
        <f t="shared" si="84"/>
        <v>2.7283773301227443E-2</v>
      </c>
      <c r="L134" s="63">
        <f t="shared" si="84"/>
        <v>2.3047407294041866E-2</v>
      </c>
      <c r="M134" s="63">
        <f t="shared" si="84"/>
        <v>1.9926222853666298E-2</v>
      </c>
      <c r="N134" s="63">
        <f t="shared" si="84"/>
        <v>2.3742865310280248E-2</v>
      </c>
      <c r="O134" s="63">
        <f t="shared" si="84"/>
        <v>2.5486410833015727E-2</v>
      </c>
      <c r="P134" s="63">
        <f t="shared" si="84"/>
        <v>2.3074288800819964E-2</v>
      </c>
      <c r="R134" s="109"/>
      <c r="S134" s="109"/>
    </row>
    <row r="135" spans="1:19" x14ac:dyDescent="0.2">
      <c r="A135" s="79" t="s">
        <v>37</v>
      </c>
      <c r="B135" s="45">
        <v>9060.4902080000029</v>
      </c>
      <c r="C135" s="45">
        <v>9260.3011140000053</v>
      </c>
      <c r="D135" s="45">
        <v>9580.8610560000034</v>
      </c>
      <c r="E135" s="45">
        <v>9820.9216410000045</v>
      </c>
      <c r="F135" s="45">
        <v>10020.732550000002</v>
      </c>
      <c r="G135" s="45">
        <v>10260.79313</v>
      </c>
      <c r="H135" s="45">
        <v>10460.604040000002</v>
      </c>
      <c r="I135" s="45">
        <v>10729.41439</v>
      </c>
      <c r="J135" s="45">
        <v>10966.599999999999</v>
      </c>
      <c r="K135" s="45">
        <v>11256.810625372167</v>
      </c>
      <c r="L135" s="45">
        <v>11488.612752397858</v>
      </c>
      <c r="M135" s="45">
        <v>11685.091541521178</v>
      </c>
      <c r="N135" s="45">
        <v>11954.654005155489</v>
      </c>
      <c r="O135" s="45">
        <v>12253.516665561636</v>
      </c>
      <c r="P135" s="45">
        <v>12525.939890053261</v>
      </c>
      <c r="R135" s="57">
        <f>(J135/D135)^(1/6)-1</f>
        <v>2.2769833797513073E-2</v>
      </c>
      <c r="S135" s="57">
        <f>(P135/J135)^(1/6)-1</f>
        <v>2.2405208693681455E-2</v>
      </c>
    </row>
    <row r="136" spans="1:19" x14ac:dyDescent="0.2">
      <c r="A136" s="80" t="s">
        <v>36</v>
      </c>
      <c r="B136" s="75"/>
      <c r="C136" s="63">
        <f t="shared" ref="C136:P136" si="85">C135/B135-1</f>
        <v>2.2052990667500438E-2</v>
      </c>
      <c r="D136" s="63">
        <f t="shared" si="85"/>
        <v>3.4616578667767683E-2</v>
      </c>
      <c r="E136" s="63">
        <f t="shared" si="85"/>
        <v>2.5056264107876203E-2</v>
      </c>
      <c r="F136" s="63">
        <f t="shared" si="85"/>
        <v>2.0345433585971628E-2</v>
      </c>
      <c r="G136" s="63">
        <f t="shared" si="85"/>
        <v>2.395639029404073E-2</v>
      </c>
      <c r="H136" s="63">
        <f t="shared" si="85"/>
        <v>1.9473242220994003E-2</v>
      </c>
      <c r="I136" s="63">
        <f t="shared" si="85"/>
        <v>2.5697402269706515E-2</v>
      </c>
      <c r="J136" s="63">
        <f t="shared" si="85"/>
        <v>2.2106109558137632E-2</v>
      </c>
      <c r="K136" s="63">
        <f t="shared" si="85"/>
        <v>2.6463135828075135E-2</v>
      </c>
      <c r="L136" s="63">
        <f t="shared" si="85"/>
        <v>2.0592167243466131E-2</v>
      </c>
      <c r="M136" s="63">
        <f t="shared" si="85"/>
        <v>1.7102046466168197E-2</v>
      </c>
      <c r="N136" s="63">
        <f t="shared" si="85"/>
        <v>2.3068921854523916E-2</v>
      </c>
      <c r="O136" s="63">
        <f t="shared" si="85"/>
        <v>2.4999691356793807E-2</v>
      </c>
      <c r="P136" s="63">
        <f t="shared" si="85"/>
        <v>2.223224825386394E-2</v>
      </c>
      <c r="R136" s="109"/>
      <c r="S136" s="109"/>
    </row>
    <row r="137" spans="1:19" x14ac:dyDescent="0.2">
      <c r="A137" s="79" t="s">
        <v>38</v>
      </c>
      <c r="B137" s="39">
        <v>45.196818532999998</v>
      </c>
      <c r="C137" s="39">
        <v>53.418659705400003</v>
      </c>
      <c r="D137" s="39">
        <v>63.428591000000026</v>
      </c>
      <c r="E137" s="39">
        <v>75.582856229600011</v>
      </c>
      <c r="F137" s="39">
        <v>88.908803444400036</v>
      </c>
      <c r="G137" s="142">
        <v>108.21341985220008</v>
      </c>
      <c r="H137" s="142">
        <v>134.21181553180014</v>
      </c>
      <c r="I137" s="142">
        <v>159.6409136876002</v>
      </c>
      <c r="J137" s="142">
        <v>188.5399955906002</v>
      </c>
      <c r="K137" s="142">
        <v>220.41826674414449</v>
      </c>
      <c r="L137" s="142">
        <v>251.8573253582951</v>
      </c>
      <c r="M137" s="142">
        <v>285.02009696118466</v>
      </c>
      <c r="N137" s="142">
        <v>323.32951893365896</v>
      </c>
      <c r="O137" s="142">
        <v>369.395105056582</v>
      </c>
      <c r="P137" s="142">
        <v>422.44645003288167</v>
      </c>
      <c r="R137" s="57">
        <f>(J137/D137)^(1/6)-1</f>
        <v>0.19909356249424626</v>
      </c>
      <c r="S137" s="57">
        <f>(P137/J137)^(1/6)-1</f>
        <v>0.14391747728633675</v>
      </c>
    </row>
    <row r="138" spans="1:19" x14ac:dyDescent="0.2">
      <c r="A138" s="80" t="s">
        <v>36</v>
      </c>
      <c r="B138" s="75"/>
      <c r="C138" s="63">
        <f t="shared" ref="C138:P138" si="86">C137/B137-1</f>
        <v>0.18191194511615705</v>
      </c>
      <c r="D138" s="63">
        <f t="shared" si="86"/>
        <v>0.18738641796338706</v>
      </c>
      <c r="E138" s="63">
        <f t="shared" si="86"/>
        <v>0.19162123953849108</v>
      </c>
      <c r="F138" s="63">
        <f t="shared" si="86"/>
        <v>0.17630912457607373</v>
      </c>
      <c r="G138" s="63">
        <f t="shared" si="86"/>
        <v>0.21712828943730367</v>
      </c>
      <c r="H138" s="63">
        <f t="shared" si="86"/>
        <v>0.24025112333672816</v>
      </c>
      <c r="I138" s="63">
        <f t="shared" si="86"/>
        <v>0.18946989171586681</v>
      </c>
      <c r="J138" s="63">
        <f t="shared" si="86"/>
        <v>0.18102553559391632</v>
      </c>
      <c r="K138" s="63">
        <f t="shared" si="86"/>
        <v>0.16907962182605241</v>
      </c>
      <c r="L138" s="63">
        <f t="shared" si="86"/>
        <v>0.14263363503644744</v>
      </c>
      <c r="M138" s="63">
        <f t="shared" si="86"/>
        <v>0.131672849124844</v>
      </c>
      <c r="N138" s="63">
        <f t="shared" si="86"/>
        <v>0.13440954648784453</v>
      </c>
      <c r="O138" s="63">
        <f t="shared" si="86"/>
        <v>0.14247256568112743</v>
      </c>
      <c r="P138" s="63">
        <f t="shared" si="86"/>
        <v>0.14361680555613621</v>
      </c>
      <c r="R138" s="109"/>
      <c r="S138" s="109"/>
    </row>
    <row r="139" spans="1:19" x14ac:dyDescent="0.2">
      <c r="A139" s="79" t="s">
        <v>60</v>
      </c>
      <c r="B139" s="39">
        <v>20.399999999999999</v>
      </c>
      <c r="C139" s="39">
        <v>21.9</v>
      </c>
      <c r="D139" s="39">
        <v>23.3</v>
      </c>
      <c r="E139" s="39">
        <v>24.8</v>
      </c>
      <c r="F139" s="39">
        <v>26.3</v>
      </c>
      <c r="G139" s="39">
        <v>27.9</v>
      </c>
      <c r="H139" s="39">
        <v>29.5</v>
      </c>
      <c r="I139" s="39">
        <v>30.3</v>
      </c>
      <c r="J139" s="39">
        <v>31.3</v>
      </c>
      <c r="K139" s="39">
        <v>33</v>
      </c>
      <c r="L139" s="39">
        <v>34.700000000000003</v>
      </c>
      <c r="M139" s="39">
        <v>36.200000000000003</v>
      </c>
      <c r="N139" s="39">
        <v>38</v>
      </c>
      <c r="O139" s="39">
        <v>39.9</v>
      </c>
      <c r="P139" s="39">
        <v>41.7</v>
      </c>
      <c r="R139" s="57">
        <f>(J139/D139)^(1/6)-1</f>
        <v>5.0424242275026954E-2</v>
      </c>
      <c r="S139" s="57">
        <f>(P139/J139)^(1/6)-1</f>
        <v>4.8975358365694222E-2</v>
      </c>
    </row>
    <row r="140" spans="1:19" x14ac:dyDescent="0.2">
      <c r="A140" s="80" t="s">
        <v>36</v>
      </c>
      <c r="B140" s="75"/>
      <c r="C140" s="63">
        <f t="shared" ref="C140:P140" si="87">C139/B139-1</f>
        <v>7.3529411764705843E-2</v>
      </c>
      <c r="D140" s="63">
        <f t="shared" si="87"/>
        <v>6.3926940639269514E-2</v>
      </c>
      <c r="E140" s="63">
        <f t="shared" si="87"/>
        <v>6.4377682403433445E-2</v>
      </c>
      <c r="F140" s="63">
        <f t="shared" si="87"/>
        <v>6.0483870967741993E-2</v>
      </c>
      <c r="G140" s="63">
        <f t="shared" si="87"/>
        <v>6.0836501901140538E-2</v>
      </c>
      <c r="H140" s="63">
        <f t="shared" si="87"/>
        <v>5.7347670250896154E-2</v>
      </c>
      <c r="I140" s="63">
        <f t="shared" si="87"/>
        <v>2.7118644067796627E-2</v>
      </c>
      <c r="J140" s="63">
        <f t="shared" si="87"/>
        <v>3.3003300330032959E-2</v>
      </c>
      <c r="K140" s="63">
        <f t="shared" si="87"/>
        <v>5.4313099041533475E-2</v>
      </c>
      <c r="L140" s="63">
        <f t="shared" si="87"/>
        <v>5.1515151515151514E-2</v>
      </c>
      <c r="M140" s="63">
        <f t="shared" si="87"/>
        <v>4.3227665706051965E-2</v>
      </c>
      <c r="N140" s="63">
        <f t="shared" si="87"/>
        <v>4.9723756906077332E-2</v>
      </c>
      <c r="O140" s="63">
        <f t="shared" si="87"/>
        <v>5.0000000000000044E-2</v>
      </c>
      <c r="P140" s="63">
        <f t="shared" si="87"/>
        <v>4.5112781954887327E-2</v>
      </c>
      <c r="R140" s="109"/>
      <c r="S140" s="109"/>
    </row>
    <row r="141" spans="1:19" x14ac:dyDescent="0.2">
      <c r="A141" s="79" t="s">
        <v>39</v>
      </c>
      <c r="B141" s="39">
        <v>20.3</v>
      </c>
      <c r="C141" s="39">
        <v>20.8</v>
      </c>
      <c r="D141" s="39">
        <v>21.5</v>
      </c>
      <c r="E141" s="39">
        <v>22.3</v>
      </c>
      <c r="F141" s="39">
        <v>23</v>
      </c>
      <c r="G141" s="39">
        <v>24</v>
      </c>
      <c r="H141" s="39">
        <v>24.9</v>
      </c>
      <c r="I141" s="39">
        <v>25.5</v>
      </c>
      <c r="J141" s="39">
        <v>26.3</v>
      </c>
      <c r="K141" s="39">
        <v>27.1</v>
      </c>
      <c r="L141" s="39">
        <v>27.9</v>
      </c>
      <c r="M141" s="39">
        <v>28.6</v>
      </c>
      <c r="N141" s="39">
        <v>29.5</v>
      </c>
      <c r="O141" s="39">
        <v>30.5</v>
      </c>
      <c r="P141" s="39">
        <v>31.4</v>
      </c>
      <c r="R141" s="57">
        <f>(J141/D141)^(1/6)-1</f>
        <v>3.4156378048603164E-2</v>
      </c>
      <c r="S141" s="57">
        <f>(P141/J141)^(1/6)-1</f>
        <v>2.9980454267066303E-2</v>
      </c>
    </row>
    <row r="142" spans="1:19" x14ac:dyDescent="0.2">
      <c r="A142" s="80" t="s">
        <v>36</v>
      </c>
      <c r="B142" s="75"/>
      <c r="C142" s="63">
        <f t="shared" ref="C142:P142" si="88">C141/B141-1</f>
        <v>2.4630541871921263E-2</v>
      </c>
      <c r="D142" s="63">
        <f t="shared" si="88"/>
        <v>3.3653846153846034E-2</v>
      </c>
      <c r="E142" s="63">
        <f t="shared" si="88"/>
        <v>3.7209302325581506E-2</v>
      </c>
      <c r="F142" s="63">
        <f t="shared" si="88"/>
        <v>3.1390134529147851E-2</v>
      </c>
      <c r="G142" s="63">
        <f t="shared" si="88"/>
        <v>4.3478260869565188E-2</v>
      </c>
      <c r="H142" s="63">
        <f t="shared" si="88"/>
        <v>3.7499999999999867E-2</v>
      </c>
      <c r="I142" s="63">
        <f t="shared" si="88"/>
        <v>2.4096385542168752E-2</v>
      </c>
      <c r="J142" s="63">
        <f t="shared" si="88"/>
        <v>3.1372549019607954E-2</v>
      </c>
      <c r="K142" s="63">
        <f t="shared" si="88"/>
        <v>3.041825095057038E-2</v>
      </c>
      <c r="L142" s="63">
        <f t="shared" si="88"/>
        <v>2.9520295202951852E-2</v>
      </c>
      <c r="M142" s="63">
        <f t="shared" si="88"/>
        <v>2.5089605734767151E-2</v>
      </c>
      <c r="N142" s="63">
        <f t="shared" si="88"/>
        <v>3.1468531468531458E-2</v>
      </c>
      <c r="O142" s="63">
        <f t="shared" si="88"/>
        <v>3.3898305084745672E-2</v>
      </c>
      <c r="P142" s="63">
        <f t="shared" si="88"/>
        <v>2.9508196721311331E-2</v>
      </c>
      <c r="R142" s="109"/>
      <c r="S142" s="109"/>
    </row>
    <row r="143" spans="1:19" x14ac:dyDescent="0.2">
      <c r="R143" s="109"/>
      <c r="S143" s="109"/>
    </row>
    <row r="144" spans="1:19" x14ac:dyDescent="0.2">
      <c r="A144" s="67" t="s">
        <v>176</v>
      </c>
      <c r="R144" s="109"/>
      <c r="S144" s="109"/>
    </row>
    <row r="145" spans="1:19" x14ac:dyDescent="0.2">
      <c r="A145" s="76" t="s">
        <v>178</v>
      </c>
      <c r="B145" s="56">
        <f t="shared" ref="B145:P145" si="89">B147+B153+B159+B165+B171</f>
        <v>45.196818532999998</v>
      </c>
      <c r="C145" s="56">
        <f t="shared" si="89"/>
        <v>53.41865970540001</v>
      </c>
      <c r="D145" s="56">
        <f t="shared" si="89"/>
        <v>63.428591000000026</v>
      </c>
      <c r="E145" s="56">
        <f t="shared" si="89"/>
        <v>75.582856229600011</v>
      </c>
      <c r="F145" s="56">
        <f t="shared" si="89"/>
        <v>88.90880344440005</v>
      </c>
      <c r="G145" s="56">
        <f t="shared" si="89"/>
        <v>108.21341985220008</v>
      </c>
      <c r="H145" s="56">
        <f t="shared" si="89"/>
        <v>134.21181553180014</v>
      </c>
      <c r="I145" s="56">
        <f t="shared" si="89"/>
        <v>159.6409136876002</v>
      </c>
      <c r="J145" s="56">
        <f t="shared" si="89"/>
        <v>188.5399955906002</v>
      </c>
      <c r="K145" s="56">
        <f t="shared" si="89"/>
        <v>220.41826674414443</v>
      </c>
      <c r="L145" s="56">
        <f t="shared" si="89"/>
        <v>251.8573253582951</v>
      </c>
      <c r="M145" s="56">
        <f t="shared" si="89"/>
        <v>285.02009696118466</v>
      </c>
      <c r="N145" s="56">
        <f t="shared" si="89"/>
        <v>323.32951893365896</v>
      </c>
      <c r="O145" s="56">
        <f t="shared" si="89"/>
        <v>369.395105056582</v>
      </c>
      <c r="P145" s="56">
        <f t="shared" si="89"/>
        <v>422.44645003288167</v>
      </c>
      <c r="R145" s="57">
        <f>(J145/D145)^(1/6)-1</f>
        <v>0.19909356249424626</v>
      </c>
      <c r="S145" s="57">
        <f>(P145/J145)^(1/6)-1</f>
        <v>0.14391747728633675</v>
      </c>
    </row>
    <row r="146" spans="1:19" x14ac:dyDescent="0.2">
      <c r="A146" s="58" t="s">
        <v>4</v>
      </c>
      <c r="B146" s="66"/>
      <c r="C146" s="59">
        <f t="shared" ref="C146:P146" si="90">C145/B145-1</f>
        <v>0.18191194511615727</v>
      </c>
      <c r="D146" s="59">
        <f t="shared" si="90"/>
        <v>0.18738641796338684</v>
      </c>
      <c r="E146" s="59">
        <f t="shared" si="90"/>
        <v>0.19162123953849108</v>
      </c>
      <c r="F146" s="59">
        <f t="shared" si="90"/>
        <v>0.17630912457607395</v>
      </c>
      <c r="G146" s="59">
        <f t="shared" si="90"/>
        <v>0.21712828943730367</v>
      </c>
      <c r="H146" s="59">
        <f t="shared" si="90"/>
        <v>0.24025112333672816</v>
      </c>
      <c r="I146" s="59">
        <f t="shared" si="90"/>
        <v>0.18946989171586681</v>
      </c>
      <c r="J146" s="59">
        <f t="shared" si="90"/>
        <v>0.18102553559391632</v>
      </c>
      <c r="K146" s="59">
        <f t="shared" si="90"/>
        <v>0.16907962182605218</v>
      </c>
      <c r="L146" s="59">
        <f t="shared" si="90"/>
        <v>0.14263363503644766</v>
      </c>
      <c r="M146" s="59">
        <f t="shared" si="90"/>
        <v>0.131672849124844</v>
      </c>
      <c r="N146" s="59">
        <f t="shared" si="90"/>
        <v>0.13440954648784453</v>
      </c>
      <c r="O146" s="59">
        <f t="shared" si="90"/>
        <v>0.14247256568112743</v>
      </c>
      <c r="P146" s="59">
        <f t="shared" si="90"/>
        <v>0.14361680555613621</v>
      </c>
      <c r="R146" s="109"/>
      <c r="S146" s="109"/>
    </row>
    <row r="147" spans="1:19" x14ac:dyDescent="0.2">
      <c r="A147" s="68" t="s">
        <v>26</v>
      </c>
      <c r="B147" s="46">
        <f t="shared" ref="B147:P147" si="91">B149+B151</f>
        <v>13.393873077</v>
      </c>
      <c r="C147" s="46">
        <f t="shared" si="91"/>
        <v>16.811315261000001</v>
      </c>
      <c r="D147" s="46">
        <f t="shared" si="91"/>
        <v>21.115726996000024</v>
      </c>
      <c r="E147" s="46">
        <f t="shared" si="91"/>
        <v>26.290003532000018</v>
      </c>
      <c r="F147" s="46">
        <f t="shared" si="91"/>
        <v>32.332716702000027</v>
      </c>
      <c r="G147" s="46">
        <f t="shared" si="91"/>
        <v>41.200536143000051</v>
      </c>
      <c r="H147" s="46">
        <f t="shared" si="91"/>
        <v>53.201988359000126</v>
      </c>
      <c r="I147" s="46">
        <f t="shared" si="91"/>
        <v>65.075701808000218</v>
      </c>
      <c r="J147" s="46">
        <f t="shared" si="91"/>
        <v>78.509312193000213</v>
      </c>
      <c r="K147" s="46">
        <f t="shared" si="91"/>
        <v>93.627079040383265</v>
      </c>
      <c r="L147" s="46">
        <f t="shared" si="91"/>
        <v>107.7372247084719</v>
      </c>
      <c r="M147" s="46">
        <f t="shared" si="91"/>
        <v>122.59667847956717</v>
      </c>
      <c r="N147" s="46">
        <f t="shared" si="91"/>
        <v>140.3738872946993</v>
      </c>
      <c r="O147" s="46">
        <f t="shared" si="91"/>
        <v>161.98245866980122</v>
      </c>
      <c r="P147" s="46">
        <f t="shared" si="91"/>
        <v>188.71768953199083</v>
      </c>
      <c r="R147" s="57">
        <f>(J147/D147)^(1/6)-1</f>
        <v>0.24466512900709447</v>
      </c>
      <c r="S147" s="57">
        <f>(P147/J147)^(1/6)-1</f>
        <v>0.15739581153663651</v>
      </c>
    </row>
    <row r="148" spans="1:19" x14ac:dyDescent="0.2">
      <c r="A148" s="62" t="s">
        <v>4</v>
      </c>
      <c r="B148" s="75"/>
      <c r="C148" s="63">
        <f t="shared" ref="C148:P148" si="92">C147/B147-1</f>
        <v>0.2551496616664557</v>
      </c>
      <c r="D148" s="63">
        <f t="shared" si="92"/>
        <v>0.25604253255458742</v>
      </c>
      <c r="E148" s="63">
        <f t="shared" si="92"/>
        <v>0.24504373147939273</v>
      </c>
      <c r="F148" s="63">
        <f t="shared" si="92"/>
        <v>0.22984832096522378</v>
      </c>
      <c r="G148" s="63">
        <f t="shared" si="92"/>
        <v>0.27426768751700603</v>
      </c>
      <c r="H148" s="63">
        <f t="shared" si="92"/>
        <v>0.29129359322764814</v>
      </c>
      <c r="I148" s="63">
        <f t="shared" si="92"/>
        <v>0.22318176096874076</v>
      </c>
      <c r="J148" s="63">
        <f t="shared" si="92"/>
        <v>0.20643051110896371</v>
      </c>
      <c r="K148" s="63">
        <f t="shared" si="92"/>
        <v>0.19256017439331141</v>
      </c>
      <c r="L148" s="63">
        <f t="shared" si="92"/>
        <v>0.15070581943502304</v>
      </c>
      <c r="M148" s="63">
        <f t="shared" si="92"/>
        <v>0.13792311627948228</v>
      </c>
      <c r="N148" s="63">
        <f t="shared" si="92"/>
        <v>0.14500563176428138</v>
      </c>
      <c r="O148" s="63">
        <f t="shared" si="92"/>
        <v>0.15393583373335762</v>
      </c>
      <c r="P148" s="63">
        <f t="shared" si="92"/>
        <v>0.1650501608738324</v>
      </c>
      <c r="R148" s="109"/>
      <c r="S148" s="109"/>
    </row>
    <row r="149" spans="1:19" x14ac:dyDescent="0.2">
      <c r="A149" s="82" t="s">
        <v>30</v>
      </c>
      <c r="B149" s="46">
        <f t="shared" ref="B149:P149" si="93">B79</f>
        <v>9.0565758458560435</v>
      </c>
      <c r="C149" s="46">
        <f t="shared" si="93"/>
        <v>11.112767570783005</v>
      </c>
      <c r="D149" s="46">
        <f t="shared" si="93"/>
        <v>13.832204526438428</v>
      </c>
      <c r="E149" s="46">
        <f t="shared" si="93"/>
        <v>17.228106055590327</v>
      </c>
      <c r="F149" s="46">
        <f t="shared" si="93"/>
        <v>21.013711931403549</v>
      </c>
      <c r="G149" s="46">
        <f t="shared" si="93"/>
        <v>25.659212284983095</v>
      </c>
      <c r="H149" s="46">
        <f t="shared" si="93"/>
        <v>32.426879227116814</v>
      </c>
      <c r="I149" s="46">
        <f t="shared" si="93"/>
        <v>39.396080487279299</v>
      </c>
      <c r="J149" s="46">
        <f t="shared" si="93"/>
        <v>46.978556364844508</v>
      </c>
      <c r="K149" s="46">
        <f t="shared" si="93"/>
        <v>54.834076712582416</v>
      </c>
      <c r="L149" s="46">
        <f t="shared" si="93"/>
        <v>61.660823469542102</v>
      </c>
      <c r="M149" s="46">
        <f t="shared" si="93"/>
        <v>68.453823468432944</v>
      </c>
      <c r="N149" s="46">
        <f t="shared" si="93"/>
        <v>76.333163203316772</v>
      </c>
      <c r="O149" s="46">
        <f t="shared" si="93"/>
        <v>85.620984252042234</v>
      </c>
      <c r="P149" s="46">
        <f t="shared" si="93"/>
        <v>96.766435544344844</v>
      </c>
      <c r="R149" s="57">
        <f>(J149/D149)^(1/6)-1</f>
        <v>0.22603079142084748</v>
      </c>
      <c r="S149" s="57">
        <f>(P149/J149)^(1/6)-1</f>
        <v>0.12798722085016112</v>
      </c>
    </row>
    <row r="150" spans="1:19" x14ac:dyDescent="0.2">
      <c r="A150" s="83" t="s">
        <v>4</v>
      </c>
      <c r="B150" s="75"/>
      <c r="C150" s="63">
        <f t="shared" ref="C150:P150" si="94">C149/B149-1</f>
        <v>0.22703853640974025</v>
      </c>
      <c r="D150" s="63">
        <f t="shared" si="94"/>
        <v>0.24471284388285031</v>
      </c>
      <c r="E150" s="63">
        <f t="shared" si="94"/>
        <v>0.24550689101372702</v>
      </c>
      <c r="F150" s="63">
        <f t="shared" si="94"/>
        <v>0.21973430298130969</v>
      </c>
      <c r="G150" s="63">
        <f t="shared" si="94"/>
        <v>0.22106995511997884</v>
      </c>
      <c r="H150" s="63">
        <f t="shared" si="94"/>
        <v>0.26375193700293198</v>
      </c>
      <c r="I150" s="63">
        <f t="shared" si="94"/>
        <v>0.21492050503381543</v>
      </c>
      <c r="J150" s="63">
        <f t="shared" si="94"/>
        <v>0.19246777303172413</v>
      </c>
      <c r="K150" s="63">
        <f t="shared" si="94"/>
        <v>0.16721502224824514</v>
      </c>
      <c r="L150" s="63">
        <f t="shared" si="94"/>
        <v>0.12449825302507911</v>
      </c>
      <c r="M150" s="63">
        <f t="shared" si="94"/>
        <v>0.11016719558158838</v>
      </c>
      <c r="N150" s="63">
        <f t="shared" si="94"/>
        <v>0.11510445049891671</v>
      </c>
      <c r="O150" s="63">
        <f t="shared" si="94"/>
        <v>0.12167478274137467</v>
      </c>
      <c r="P150" s="63">
        <f t="shared" si="94"/>
        <v>0.13017195947542226</v>
      </c>
      <c r="R150" s="109"/>
      <c r="S150" s="109"/>
    </row>
    <row r="151" spans="1:19" x14ac:dyDescent="0.2">
      <c r="A151" s="82" t="s">
        <v>31</v>
      </c>
      <c r="B151" s="46">
        <f t="shared" ref="B151:P151" si="95">B81</f>
        <v>4.3372972311439568</v>
      </c>
      <c r="C151" s="46">
        <f t="shared" si="95"/>
        <v>5.698547690216996</v>
      </c>
      <c r="D151" s="46">
        <f t="shared" si="95"/>
        <v>7.2835224695615963</v>
      </c>
      <c r="E151" s="46">
        <f t="shared" si="95"/>
        <v>9.0618974764096905</v>
      </c>
      <c r="F151" s="46">
        <f t="shared" si="95"/>
        <v>11.319004770596479</v>
      </c>
      <c r="G151" s="46">
        <f t="shared" si="95"/>
        <v>15.541323858016955</v>
      </c>
      <c r="H151" s="46">
        <f t="shared" si="95"/>
        <v>20.775109131883312</v>
      </c>
      <c r="I151" s="46">
        <f t="shared" si="95"/>
        <v>25.679621320720919</v>
      </c>
      <c r="J151" s="46">
        <f t="shared" si="95"/>
        <v>31.530755828155705</v>
      </c>
      <c r="K151" s="46">
        <f t="shared" si="95"/>
        <v>38.793002327800849</v>
      </c>
      <c r="L151" s="46">
        <f t="shared" si="95"/>
        <v>46.076401238929797</v>
      </c>
      <c r="M151" s="46">
        <f t="shared" si="95"/>
        <v>54.14285501113423</v>
      </c>
      <c r="N151" s="46">
        <f t="shared" si="95"/>
        <v>64.040724091382529</v>
      </c>
      <c r="O151" s="46">
        <f t="shared" si="95"/>
        <v>76.361474417758984</v>
      </c>
      <c r="P151" s="46">
        <f t="shared" si="95"/>
        <v>91.951253987645984</v>
      </c>
      <c r="R151" s="57">
        <f>(J151/D151)^(1/6)-1</f>
        <v>0.27663129432787326</v>
      </c>
      <c r="S151" s="57">
        <f>(P151/J151)^(1/6)-1</f>
        <v>0.1952824579606629</v>
      </c>
    </row>
    <row r="152" spans="1:19" x14ac:dyDescent="0.2">
      <c r="A152" s="83" t="s">
        <v>4</v>
      </c>
      <c r="B152" s="75"/>
      <c r="C152" s="63">
        <f t="shared" ref="C152:P152" si="96">C151/B151-1</f>
        <v>0.3138476305701583</v>
      </c>
      <c r="D152" s="63">
        <f t="shared" si="96"/>
        <v>0.27813661752197172</v>
      </c>
      <c r="E152" s="63">
        <f t="shared" si="96"/>
        <v>0.24416414094691974</v>
      </c>
      <c r="F152" s="63">
        <f t="shared" si="96"/>
        <v>0.24907667517344834</v>
      </c>
      <c r="G152" s="63">
        <f t="shared" si="96"/>
        <v>0.37302918171647459</v>
      </c>
      <c r="H152" s="63">
        <f t="shared" si="96"/>
        <v>0.33676572997779219</v>
      </c>
      <c r="I152" s="63">
        <f t="shared" si="96"/>
        <v>0.2360763622324713</v>
      </c>
      <c r="J152" s="63">
        <f t="shared" si="96"/>
        <v>0.22785127686884921</v>
      </c>
      <c r="K152" s="63">
        <f t="shared" si="96"/>
        <v>0.23032262655626701</v>
      </c>
      <c r="L152" s="63">
        <f t="shared" si="96"/>
        <v>0.18775032799947344</v>
      </c>
      <c r="M152" s="63">
        <f t="shared" si="96"/>
        <v>0.17506692266124979</v>
      </c>
      <c r="N152" s="63">
        <f t="shared" si="96"/>
        <v>0.1828102540623846</v>
      </c>
      <c r="O152" s="63">
        <f t="shared" si="96"/>
        <v>0.19238930385601871</v>
      </c>
      <c r="P152" s="63">
        <f t="shared" si="96"/>
        <v>0.20415765526734475</v>
      </c>
      <c r="R152" s="109"/>
      <c r="S152" s="109"/>
    </row>
    <row r="153" spans="1:19" x14ac:dyDescent="0.2">
      <c r="A153" s="68" t="s">
        <v>55</v>
      </c>
      <c r="B153" s="46">
        <f t="shared" ref="B153:P153" si="97">B155+B157</f>
        <v>1.3346457683999999</v>
      </c>
      <c r="C153" s="46">
        <f t="shared" si="97"/>
        <v>1.7610870863832018</v>
      </c>
      <c r="D153" s="46">
        <f t="shared" si="97"/>
        <v>2.3381700578281936</v>
      </c>
      <c r="E153" s="46">
        <f t="shared" si="97"/>
        <v>3.1497237800211737</v>
      </c>
      <c r="F153" s="46">
        <f t="shared" si="97"/>
        <v>3.9864721537518037</v>
      </c>
      <c r="G153" s="46">
        <f t="shared" si="97"/>
        <v>5.3542817811830421</v>
      </c>
      <c r="H153" s="46">
        <f t="shared" si="97"/>
        <v>7.2820411871615436</v>
      </c>
      <c r="I153" s="46">
        <f t="shared" si="97"/>
        <v>9.3964381373188868</v>
      </c>
      <c r="J153" s="46">
        <f t="shared" si="97"/>
        <v>11.822934339531912</v>
      </c>
      <c r="K153" s="46">
        <f t="shared" si="97"/>
        <v>14.523431340030029</v>
      </c>
      <c r="L153" s="46">
        <f t="shared" si="97"/>
        <v>17.163577701818799</v>
      </c>
      <c r="M153" s="46">
        <f t="shared" si="97"/>
        <v>20.061564715264787</v>
      </c>
      <c r="N153" s="46">
        <f t="shared" si="97"/>
        <v>23.539368292657272</v>
      </c>
      <c r="O153" s="46">
        <f t="shared" si="97"/>
        <v>27.859941706193379</v>
      </c>
      <c r="P153" s="46">
        <f t="shared" si="97"/>
        <v>32.825550137990902</v>
      </c>
      <c r="R153" s="57">
        <f>(J153/D153)^(1/6)-1</f>
        <v>0.31011131392416358</v>
      </c>
      <c r="S153" s="57">
        <f>(P153/J153)^(1/6)-1</f>
        <v>0.18553520738127549</v>
      </c>
    </row>
    <row r="154" spans="1:19" x14ac:dyDescent="0.2">
      <c r="A154" s="62" t="s">
        <v>4</v>
      </c>
      <c r="B154" s="75"/>
      <c r="C154" s="63">
        <f t="shared" ref="C154:P154" si="98">C153/B153-1</f>
        <v>0.31951648001284139</v>
      </c>
      <c r="D154" s="63">
        <f t="shared" si="98"/>
        <v>0.32768565274654571</v>
      </c>
      <c r="E154" s="63">
        <f t="shared" si="98"/>
        <v>0.34708926302254972</v>
      </c>
      <c r="F154" s="63">
        <f t="shared" si="98"/>
        <v>0.26565769958564589</v>
      </c>
      <c r="G154" s="63">
        <f t="shared" si="98"/>
        <v>0.34311280116278908</v>
      </c>
      <c r="H154" s="63">
        <f t="shared" si="98"/>
        <v>0.36004070849490444</v>
      </c>
      <c r="I154" s="63">
        <f t="shared" si="98"/>
        <v>0.29035773017668287</v>
      </c>
      <c r="J154" s="63">
        <f t="shared" si="98"/>
        <v>0.25823574494424162</v>
      </c>
      <c r="K154" s="63">
        <f t="shared" si="98"/>
        <v>0.22841173967012263</v>
      </c>
      <c r="L154" s="63">
        <f t="shared" si="98"/>
        <v>0.18178530265860093</v>
      </c>
      <c r="M154" s="63">
        <f t="shared" si="98"/>
        <v>0.16884515942960387</v>
      </c>
      <c r="N154" s="63">
        <f t="shared" si="98"/>
        <v>0.17335654654824784</v>
      </c>
      <c r="O154" s="63">
        <f t="shared" si="98"/>
        <v>0.18354670184092581</v>
      </c>
      <c r="P154" s="63">
        <f t="shared" si="98"/>
        <v>0.17823470286348986</v>
      </c>
      <c r="R154" s="109"/>
      <c r="S154" s="109"/>
    </row>
    <row r="155" spans="1:19" x14ac:dyDescent="0.2">
      <c r="A155" s="82" t="s">
        <v>28</v>
      </c>
      <c r="B155" s="46">
        <f t="shared" ref="B155:P155" si="99">B95</f>
        <v>0.31330201895999998</v>
      </c>
      <c r="C155" s="46">
        <f t="shared" si="99"/>
        <v>0.42008203523520016</v>
      </c>
      <c r="D155" s="46">
        <f t="shared" si="99"/>
        <v>0.56683639802649588</v>
      </c>
      <c r="E155" s="46">
        <f t="shared" si="99"/>
        <v>0.77663062588041243</v>
      </c>
      <c r="F155" s="46">
        <f t="shared" si="99"/>
        <v>0.99633770729884341</v>
      </c>
      <c r="G155" s="46">
        <f t="shared" si="99"/>
        <v>1.3594672984390963</v>
      </c>
      <c r="H155" s="46">
        <f t="shared" si="99"/>
        <v>1.8851635829210576</v>
      </c>
      <c r="I155" s="46">
        <f t="shared" si="99"/>
        <v>2.4709991259550836</v>
      </c>
      <c r="J155" s="46">
        <f t="shared" si="99"/>
        <v>3.188304160329718</v>
      </c>
      <c r="K155" s="46">
        <f t="shared" si="99"/>
        <v>4.0373726117199746</v>
      </c>
      <c r="L155" s="46">
        <f t="shared" si="99"/>
        <v>4.9431566155771351</v>
      </c>
      <c r="M155" s="46">
        <f t="shared" si="99"/>
        <v>5.9897328471275353</v>
      </c>
      <c r="N155" s="46">
        <f t="shared" si="99"/>
        <v>7.2967861920719477</v>
      </c>
      <c r="O155" s="46">
        <f t="shared" si="99"/>
        <v>8.9460179229124712</v>
      </c>
      <c r="P155" s="46">
        <f t="shared" si="99"/>
        <v>10.912474979425518</v>
      </c>
      <c r="R155" s="57">
        <f>(J155/D155)^(1/6)-1</f>
        <v>0.33357364078046348</v>
      </c>
      <c r="S155" s="57">
        <f>(P155/J155)^(1/6)-1</f>
        <v>0.22761047586888838</v>
      </c>
    </row>
    <row r="156" spans="1:19" x14ac:dyDescent="0.2">
      <c r="A156" s="83" t="s">
        <v>4</v>
      </c>
      <c r="B156" s="75"/>
      <c r="C156" s="63">
        <f t="shared" ref="C156:P156" si="100">C155/B155-1</f>
        <v>0.3408213474961137</v>
      </c>
      <c r="D156" s="63">
        <f t="shared" si="100"/>
        <v>0.34934691436906906</v>
      </c>
      <c r="E156" s="63">
        <f t="shared" si="100"/>
        <v>0.37011424916314217</v>
      </c>
      <c r="F156" s="63">
        <f t="shared" si="100"/>
        <v>0.28289778190161408</v>
      </c>
      <c r="G156" s="63">
        <f t="shared" si="100"/>
        <v>0.3644643663288909</v>
      </c>
      <c r="H156" s="63">
        <f t="shared" si="100"/>
        <v>0.38669285026977218</v>
      </c>
      <c r="I156" s="63">
        <f t="shared" si="100"/>
        <v>0.31076111820825392</v>
      </c>
      <c r="J156" s="63">
        <f t="shared" si="100"/>
        <v>0.29028947312856035</v>
      </c>
      <c r="K156" s="63">
        <f t="shared" si="100"/>
        <v>0.26630723064466055</v>
      </c>
      <c r="L156" s="63">
        <f t="shared" si="100"/>
        <v>0.22434986585775762</v>
      </c>
      <c r="M156" s="63">
        <f t="shared" si="100"/>
        <v>0.21172224813844132</v>
      </c>
      <c r="N156" s="63">
        <f t="shared" si="100"/>
        <v>0.21821563303465674</v>
      </c>
      <c r="O156" s="63">
        <f t="shared" si="100"/>
        <v>0.22602166041707994</v>
      </c>
      <c r="P156" s="63">
        <f t="shared" si="100"/>
        <v>0.21981367279363173</v>
      </c>
      <c r="R156" s="109"/>
      <c r="S156" s="109"/>
    </row>
    <row r="157" spans="1:19" x14ac:dyDescent="0.2">
      <c r="A157" s="82" t="s">
        <v>27</v>
      </c>
      <c r="B157" s="46">
        <f t="shared" ref="B157:P157" si="101">B87</f>
        <v>1.0213437494399999</v>
      </c>
      <c r="C157" s="46">
        <f t="shared" si="101"/>
        <v>1.3410050511480016</v>
      </c>
      <c r="D157" s="46">
        <f t="shared" si="101"/>
        <v>1.771333659801698</v>
      </c>
      <c r="E157" s="46">
        <f t="shared" si="101"/>
        <v>2.3730931541407614</v>
      </c>
      <c r="F157" s="46">
        <f t="shared" si="101"/>
        <v>2.9901344464529602</v>
      </c>
      <c r="G157" s="46">
        <f t="shared" si="101"/>
        <v>3.994814482743946</v>
      </c>
      <c r="H157" s="46">
        <f t="shared" si="101"/>
        <v>5.396877604240486</v>
      </c>
      <c r="I157" s="46">
        <f t="shared" si="101"/>
        <v>6.9254390113638031</v>
      </c>
      <c r="J157" s="46">
        <f t="shared" si="101"/>
        <v>8.634630179202194</v>
      </c>
      <c r="K157" s="46">
        <f t="shared" si="101"/>
        <v>10.486058728310056</v>
      </c>
      <c r="L157" s="46">
        <f t="shared" si="101"/>
        <v>12.220421086241664</v>
      </c>
      <c r="M157" s="46">
        <f t="shared" si="101"/>
        <v>14.071831868137251</v>
      </c>
      <c r="N157" s="46">
        <f t="shared" si="101"/>
        <v>16.242582100585324</v>
      </c>
      <c r="O157" s="46">
        <f t="shared" si="101"/>
        <v>18.913923783280907</v>
      </c>
      <c r="P157" s="46">
        <f t="shared" si="101"/>
        <v>21.913075158565388</v>
      </c>
      <c r="R157" s="57">
        <f>(J157/D157)^(1/6)-1</f>
        <v>0.3021386436618585</v>
      </c>
      <c r="S157" s="57">
        <f>(P157/J157)^(1/6)-1</f>
        <v>0.16791149014702977</v>
      </c>
    </row>
    <row r="158" spans="1:19" x14ac:dyDescent="0.2">
      <c r="A158" s="83" t="s">
        <v>4</v>
      </c>
      <c r="B158" s="75"/>
      <c r="C158" s="63">
        <f t="shared" ref="C158:P158" si="102">C157/B157-1</f>
        <v>0.31298111128919248</v>
      </c>
      <c r="D158" s="63">
        <f t="shared" si="102"/>
        <v>0.3209000654287637</v>
      </c>
      <c r="E158" s="63">
        <f t="shared" si="102"/>
        <v>0.33972114232077022</v>
      </c>
      <c r="F158" s="63">
        <f t="shared" si="102"/>
        <v>0.2600156219049119</v>
      </c>
      <c r="G158" s="63">
        <f t="shared" si="102"/>
        <v>0.33599828177719071</v>
      </c>
      <c r="H158" s="63">
        <f t="shared" si="102"/>
        <v>0.3509707716222894</v>
      </c>
      <c r="I158" s="63">
        <f t="shared" si="102"/>
        <v>0.28323069730584249</v>
      </c>
      <c r="J158" s="63">
        <f t="shared" si="102"/>
        <v>0.24679896321862294</v>
      </c>
      <c r="K158" s="63">
        <f t="shared" si="102"/>
        <v>0.21441897460383497</v>
      </c>
      <c r="L158" s="63">
        <f t="shared" si="102"/>
        <v>0.16539697162378197</v>
      </c>
      <c r="M158" s="63">
        <f t="shared" si="102"/>
        <v>0.15150139007730212</v>
      </c>
      <c r="N158" s="63">
        <f t="shared" si="102"/>
        <v>0.15426209272463587</v>
      </c>
      <c r="O158" s="63">
        <f t="shared" si="102"/>
        <v>0.16446533353827508</v>
      </c>
      <c r="P158" s="63">
        <f t="shared" si="102"/>
        <v>0.15856843929632425</v>
      </c>
      <c r="R158" s="109"/>
      <c r="S158" s="109"/>
    </row>
    <row r="159" spans="1:19" x14ac:dyDescent="0.2">
      <c r="A159" s="68" t="s">
        <v>56</v>
      </c>
      <c r="B159" s="46">
        <f t="shared" ref="B159:P159" si="103">B161+B163</f>
        <v>4.4682996876000001</v>
      </c>
      <c r="C159" s="46">
        <f t="shared" si="103"/>
        <v>5.6462573580168067</v>
      </c>
      <c r="D159" s="46">
        <f t="shared" si="103"/>
        <v>7.1746939461718142</v>
      </c>
      <c r="E159" s="46">
        <f t="shared" si="103"/>
        <v>9.243128917578824</v>
      </c>
      <c r="F159" s="46">
        <f t="shared" si="103"/>
        <v>11.18961458864821</v>
      </c>
      <c r="G159" s="46">
        <f t="shared" si="103"/>
        <v>14.358601928016991</v>
      </c>
      <c r="H159" s="46">
        <f t="shared" si="103"/>
        <v>18.627785985638468</v>
      </c>
      <c r="I159" s="46">
        <f t="shared" si="103"/>
        <v>23.068773742281081</v>
      </c>
      <c r="J159" s="46">
        <f t="shared" si="103"/>
        <v>28.107749058068077</v>
      </c>
      <c r="K159" s="46">
        <f t="shared" si="103"/>
        <v>33.567756363731164</v>
      </c>
      <c r="L159" s="46">
        <f t="shared" si="103"/>
        <v>38.956522948004434</v>
      </c>
      <c r="M159" s="46">
        <f t="shared" si="103"/>
        <v>44.661853766352721</v>
      </c>
      <c r="N159" s="46">
        <f t="shared" si="103"/>
        <v>51.316263346302371</v>
      </c>
      <c r="O159" s="46">
        <f t="shared" si="103"/>
        <v>59.452704680587424</v>
      </c>
      <c r="P159" s="46">
        <f t="shared" si="103"/>
        <v>68.503210362899949</v>
      </c>
      <c r="R159" s="57">
        <f>(J159/D159)^(1/6)-1</f>
        <v>0.2555589685936539</v>
      </c>
      <c r="S159" s="57">
        <f>(P159/J159)^(1/6)-1</f>
        <v>0.16006095468266612</v>
      </c>
    </row>
    <row r="160" spans="1:19" x14ac:dyDescent="0.2">
      <c r="A160" s="62" t="s">
        <v>4</v>
      </c>
      <c r="B160" s="75"/>
      <c r="C160" s="63">
        <f t="shared" ref="C160:P160" si="104">C159/B159-1</f>
        <v>0.26362548458550417</v>
      </c>
      <c r="D160" s="63">
        <f t="shared" si="104"/>
        <v>0.27069906510458042</v>
      </c>
      <c r="E160" s="63">
        <f t="shared" si="104"/>
        <v>0.28829591713952629</v>
      </c>
      <c r="F160" s="63">
        <f t="shared" si="104"/>
        <v>0.21058731176706935</v>
      </c>
      <c r="G160" s="63">
        <f t="shared" si="104"/>
        <v>0.28320790803498253</v>
      </c>
      <c r="H160" s="63">
        <f t="shared" si="104"/>
        <v>0.29732588722940356</v>
      </c>
      <c r="I160" s="63">
        <f t="shared" si="104"/>
        <v>0.23840663405014939</v>
      </c>
      <c r="J160" s="63">
        <f t="shared" si="104"/>
        <v>0.21843273388005979</v>
      </c>
      <c r="K160" s="63">
        <f t="shared" si="104"/>
        <v>0.19425274127726144</v>
      </c>
      <c r="L160" s="63">
        <f t="shared" si="104"/>
        <v>0.16053401144485346</v>
      </c>
      <c r="M160" s="63">
        <f t="shared" si="104"/>
        <v>0.14645379994418994</v>
      </c>
      <c r="N160" s="63">
        <f t="shared" si="104"/>
        <v>0.14899537342901192</v>
      </c>
      <c r="O160" s="63">
        <f t="shared" si="104"/>
        <v>0.15855482850294722</v>
      </c>
      <c r="P160" s="63">
        <f t="shared" si="104"/>
        <v>0.15223034395048662</v>
      </c>
      <c r="R160" s="109"/>
      <c r="S160" s="109"/>
    </row>
    <row r="161" spans="1:19" x14ac:dyDescent="0.2">
      <c r="A161" s="82" t="s">
        <v>28</v>
      </c>
      <c r="B161" s="46">
        <f t="shared" ref="B161:P161" si="105">B97</f>
        <v>0.38292468984</v>
      </c>
      <c r="C161" s="46">
        <f t="shared" si="105"/>
        <v>0.47752915116480016</v>
      </c>
      <c r="D161" s="46">
        <f t="shared" si="105"/>
        <v>0.59776829877350379</v>
      </c>
      <c r="E161" s="46">
        <f t="shared" si="105"/>
        <v>0.75764003731958784</v>
      </c>
      <c r="F161" s="46">
        <f t="shared" si="105"/>
        <v>0.89627039910115525</v>
      </c>
      <c r="G161" s="46">
        <f t="shared" si="105"/>
        <v>1.1236060867608997</v>
      </c>
      <c r="H161" s="46">
        <f t="shared" si="105"/>
        <v>1.425663445878937</v>
      </c>
      <c r="I161" s="46">
        <f t="shared" si="105"/>
        <v>1.7017925456449081</v>
      </c>
      <c r="J161" s="46">
        <f t="shared" si="105"/>
        <v>1.9887238852702802</v>
      </c>
      <c r="K161" s="46">
        <f t="shared" si="105"/>
        <v>2.266192818466056</v>
      </c>
      <c r="L161" s="46">
        <f t="shared" si="105"/>
        <v>2.4777755852631183</v>
      </c>
      <c r="M161" s="46">
        <f t="shared" si="105"/>
        <v>2.6565254698773706</v>
      </c>
      <c r="N161" s="46">
        <f t="shared" si="105"/>
        <v>2.8311052012273774</v>
      </c>
      <c r="O161" s="46">
        <f t="shared" si="105"/>
        <v>2.9934188295266551</v>
      </c>
      <c r="P161" s="46">
        <f t="shared" si="105"/>
        <v>3.0912636706514443</v>
      </c>
      <c r="R161" s="57">
        <f>(J161/D161)^(1/6)-1</f>
        <v>0.22181917066341073</v>
      </c>
      <c r="S161" s="57">
        <f>(P161/J161)^(1/6)-1</f>
        <v>7.6284105521567946E-2</v>
      </c>
    </row>
    <row r="162" spans="1:19" x14ac:dyDescent="0.2">
      <c r="A162" s="83" t="s">
        <v>4</v>
      </c>
      <c r="B162" s="75"/>
      <c r="C162" s="63">
        <f t="shared" ref="C162:P162" si="106">C161/B161-1</f>
        <v>0.2470576169019798</v>
      </c>
      <c r="D162" s="63">
        <f t="shared" si="106"/>
        <v>0.25179436127703103</v>
      </c>
      <c r="E162" s="63">
        <f t="shared" si="106"/>
        <v>0.26744766973107748</v>
      </c>
      <c r="F162" s="63">
        <f t="shared" si="106"/>
        <v>0.18297655212628405</v>
      </c>
      <c r="G162" s="63">
        <f t="shared" si="106"/>
        <v>0.25364631911054203</v>
      </c>
      <c r="H162" s="63">
        <f t="shared" si="106"/>
        <v>0.26882851799850949</v>
      </c>
      <c r="I162" s="63">
        <f t="shared" si="106"/>
        <v>0.19368463192639029</v>
      </c>
      <c r="J162" s="63">
        <f t="shared" si="106"/>
        <v>0.16860535695708845</v>
      </c>
      <c r="K162" s="63">
        <f t="shared" si="106"/>
        <v>0.13952109453247008</v>
      </c>
      <c r="L162" s="63">
        <f t="shared" si="106"/>
        <v>9.3364856279210429E-2</v>
      </c>
      <c r="M162" s="63">
        <f t="shared" si="106"/>
        <v>7.2141272872890516E-2</v>
      </c>
      <c r="N162" s="63">
        <f t="shared" si="106"/>
        <v>6.5717318854867202E-2</v>
      </c>
      <c r="O162" s="63">
        <f t="shared" si="106"/>
        <v>5.7332248984922618E-2</v>
      </c>
      <c r="P162" s="63">
        <f t="shared" si="106"/>
        <v>3.2686652519073434E-2</v>
      </c>
      <c r="R162" s="109"/>
      <c r="S162" s="109"/>
    </row>
    <row r="163" spans="1:19" x14ac:dyDescent="0.2">
      <c r="A163" s="82" t="s">
        <v>27</v>
      </c>
      <c r="B163" s="46">
        <f t="shared" ref="B163:P163" si="107">B89</f>
        <v>4.0853749977599998</v>
      </c>
      <c r="C163" s="46">
        <f t="shared" si="107"/>
        <v>5.1687282068520064</v>
      </c>
      <c r="D163" s="46">
        <f t="shared" si="107"/>
        <v>6.5769256473983102</v>
      </c>
      <c r="E163" s="46">
        <f t="shared" si="107"/>
        <v>8.4854888802592363</v>
      </c>
      <c r="F163" s="46">
        <f t="shared" si="107"/>
        <v>10.293344189547055</v>
      </c>
      <c r="G163" s="46">
        <f t="shared" si="107"/>
        <v>13.234995841256092</v>
      </c>
      <c r="H163" s="46">
        <f t="shared" si="107"/>
        <v>17.202122539759532</v>
      </c>
      <c r="I163" s="46">
        <f t="shared" si="107"/>
        <v>21.366981196636175</v>
      </c>
      <c r="J163" s="46">
        <f t="shared" si="107"/>
        <v>26.119025172797798</v>
      </c>
      <c r="K163" s="46">
        <f t="shared" si="107"/>
        <v>31.301563545265104</v>
      </c>
      <c r="L163" s="46">
        <f t="shared" si="107"/>
        <v>36.478747362741316</v>
      </c>
      <c r="M163" s="46">
        <f t="shared" si="107"/>
        <v>42.005328296475348</v>
      </c>
      <c r="N163" s="46">
        <f t="shared" si="107"/>
        <v>48.48515814507499</v>
      </c>
      <c r="O163" s="46">
        <f t="shared" si="107"/>
        <v>56.45928585106077</v>
      </c>
      <c r="P163" s="46">
        <f t="shared" si="107"/>
        <v>65.411946692248506</v>
      </c>
      <c r="R163" s="57">
        <f>(J163/D163)^(1/6)-1</f>
        <v>0.25841051538616266</v>
      </c>
      <c r="S163" s="57">
        <f>(P163/J163)^(1/6)-1</f>
        <v>0.1653329284880467</v>
      </c>
    </row>
    <row r="164" spans="1:19" x14ac:dyDescent="0.2">
      <c r="A164" s="83" t="s">
        <v>4</v>
      </c>
      <c r="B164" s="75"/>
      <c r="C164" s="63">
        <f t="shared" ref="C164:P164" si="108">C163/B163-1</f>
        <v>0.26517840092672196</v>
      </c>
      <c r="D164" s="63">
        <f t="shared" si="108"/>
        <v>0.27244563540398681</v>
      </c>
      <c r="E164" s="63">
        <f t="shared" si="108"/>
        <v>0.29019078748684235</v>
      </c>
      <c r="F164" s="63">
        <f t="shared" si="108"/>
        <v>0.21305258127126181</v>
      </c>
      <c r="G164" s="63">
        <f t="shared" si="108"/>
        <v>0.28578191863984292</v>
      </c>
      <c r="H164" s="63">
        <f t="shared" si="108"/>
        <v>0.2997452168543282</v>
      </c>
      <c r="I164" s="63">
        <f t="shared" si="108"/>
        <v>0.24211306757351259</v>
      </c>
      <c r="J164" s="63">
        <f t="shared" si="108"/>
        <v>0.22240128038815987</v>
      </c>
      <c r="K164" s="63">
        <f t="shared" si="108"/>
        <v>0.19842005351198044</v>
      </c>
      <c r="L164" s="63">
        <f t="shared" si="108"/>
        <v>0.16539697162378175</v>
      </c>
      <c r="M164" s="63">
        <f t="shared" si="108"/>
        <v>0.15150139007730212</v>
      </c>
      <c r="N164" s="63">
        <f t="shared" si="108"/>
        <v>0.15426209272463565</v>
      </c>
      <c r="O164" s="63">
        <f t="shared" si="108"/>
        <v>0.1644653335382753</v>
      </c>
      <c r="P164" s="63">
        <f t="shared" si="108"/>
        <v>0.15856843929632403</v>
      </c>
      <c r="R164" s="109"/>
      <c r="S164" s="109"/>
    </row>
    <row r="165" spans="1:19" x14ac:dyDescent="0.2">
      <c r="A165" s="68" t="s">
        <v>57</v>
      </c>
      <c r="B165" s="46">
        <f t="shared" ref="B165:P165" si="109">B167+B169</f>
        <v>5.6</v>
      </c>
      <c r="C165" s="46">
        <f t="shared" si="109"/>
        <v>7.3</v>
      </c>
      <c r="D165" s="46">
        <f t="shared" si="109"/>
        <v>9.5</v>
      </c>
      <c r="E165" s="46">
        <f t="shared" si="109"/>
        <v>12.1</v>
      </c>
      <c r="F165" s="46">
        <f t="shared" si="109"/>
        <v>15.1</v>
      </c>
      <c r="G165" s="46">
        <f t="shared" si="109"/>
        <v>19.399999999999999</v>
      </c>
      <c r="H165" s="46">
        <f t="shared" si="109"/>
        <v>25.6</v>
      </c>
      <c r="I165" s="46">
        <f t="shared" si="109"/>
        <v>31.8</v>
      </c>
      <c r="J165" s="46">
        <f t="shared" si="109"/>
        <v>38.799999999999997</v>
      </c>
      <c r="K165" s="46">
        <f t="shared" si="109"/>
        <v>45.7</v>
      </c>
      <c r="L165" s="46">
        <f t="shared" si="109"/>
        <v>53.3</v>
      </c>
      <c r="M165" s="46">
        <f t="shared" si="109"/>
        <v>61.5</v>
      </c>
      <c r="N165" s="46">
        <f t="shared" si="109"/>
        <v>70.099999999999994</v>
      </c>
      <c r="O165" s="46">
        <f t="shared" si="109"/>
        <v>80.2</v>
      </c>
      <c r="P165" s="46">
        <f t="shared" si="109"/>
        <v>90.7</v>
      </c>
      <c r="R165" s="57">
        <f>(J165/D165)^(1/6)-1</f>
        <v>0.26430353836099707</v>
      </c>
      <c r="S165" s="57">
        <f>(P165/J165)^(1/6)-1</f>
        <v>0.15202682978756044</v>
      </c>
    </row>
    <row r="166" spans="1:19" x14ac:dyDescent="0.2">
      <c r="A166" s="62" t="s">
        <v>4</v>
      </c>
      <c r="B166" s="75"/>
      <c r="C166" s="63">
        <f t="shared" ref="C166:P166" si="110">C165/B165-1</f>
        <v>0.3035714285714286</v>
      </c>
      <c r="D166" s="63">
        <f t="shared" si="110"/>
        <v>0.30136986301369872</v>
      </c>
      <c r="E166" s="63">
        <f t="shared" si="110"/>
        <v>0.27368421052631575</v>
      </c>
      <c r="F166" s="63">
        <f t="shared" si="110"/>
        <v>0.24793388429752072</v>
      </c>
      <c r="G166" s="63">
        <f t="shared" si="110"/>
        <v>0.2847682119205297</v>
      </c>
      <c r="H166" s="63">
        <f t="shared" si="110"/>
        <v>0.31958762886597958</v>
      </c>
      <c r="I166" s="63">
        <f t="shared" si="110"/>
        <v>0.2421875</v>
      </c>
      <c r="J166" s="63">
        <f t="shared" si="110"/>
        <v>0.22012578616352196</v>
      </c>
      <c r="K166" s="63">
        <f t="shared" si="110"/>
        <v>0.17783505154639201</v>
      </c>
      <c r="L166" s="63">
        <f t="shared" si="110"/>
        <v>0.16630196936542663</v>
      </c>
      <c r="M166" s="63">
        <f t="shared" si="110"/>
        <v>0.15384615384615397</v>
      </c>
      <c r="N166" s="63">
        <f t="shared" si="110"/>
        <v>0.13983739837398357</v>
      </c>
      <c r="O166" s="63">
        <f t="shared" si="110"/>
        <v>0.14407988587731824</v>
      </c>
      <c r="P166" s="63">
        <f t="shared" si="110"/>
        <v>0.13092269326683281</v>
      </c>
      <c r="R166" s="109"/>
      <c r="S166" s="109"/>
    </row>
    <row r="167" spans="1:19" x14ac:dyDescent="0.2">
      <c r="A167" s="82" t="s">
        <v>58</v>
      </c>
      <c r="B167" s="46">
        <f t="shared" ref="B167:P167" si="111">B125</f>
        <v>2.5206915497511169</v>
      </c>
      <c r="C167" s="46">
        <f t="shared" si="111"/>
        <v>3.4084600603768815</v>
      </c>
      <c r="D167" s="46">
        <f t="shared" si="111"/>
        <v>4.6011100971820511</v>
      </c>
      <c r="E167" s="46">
        <f t="shared" si="111"/>
        <v>6.0789428600360473</v>
      </c>
      <c r="F167" s="46">
        <f t="shared" si="111"/>
        <v>7.8690681940419163</v>
      </c>
      <c r="G167" s="46">
        <f t="shared" si="111"/>
        <v>10.487011938196193</v>
      </c>
      <c r="H167" s="46">
        <f t="shared" si="111"/>
        <v>14.354685060210571</v>
      </c>
      <c r="I167" s="46">
        <f t="shared" si="111"/>
        <v>18.49628437945265</v>
      </c>
      <c r="J167" s="46">
        <f t="shared" si="111"/>
        <v>23.409534103579055</v>
      </c>
      <c r="K167" s="46">
        <f t="shared" si="111"/>
        <v>28.60098009463875</v>
      </c>
      <c r="L167" s="46">
        <f t="shared" si="111"/>
        <v>34.601553325561248</v>
      </c>
      <c r="M167" s="46">
        <f t="shared" si="111"/>
        <v>41.41399941547914</v>
      </c>
      <c r="N167" s="46">
        <f t="shared" si="111"/>
        <v>48.965900531616342</v>
      </c>
      <c r="O167" s="46">
        <f t="shared" si="111"/>
        <v>58.110386920110713</v>
      </c>
      <c r="P167" s="46">
        <f t="shared" si="111"/>
        <v>68.169538944118614</v>
      </c>
      <c r="R167" s="57">
        <f>(J167/D167)^(1/6)-1</f>
        <v>0.31145992508546083</v>
      </c>
      <c r="S167" s="57">
        <f>(P167/J167)^(1/6)-1</f>
        <v>0.19499548490407315</v>
      </c>
    </row>
    <row r="168" spans="1:19" x14ac:dyDescent="0.2">
      <c r="A168" s="83" t="s">
        <v>4</v>
      </c>
      <c r="B168" s="75"/>
      <c r="C168" s="63">
        <f t="shared" ref="C168:P168" si="112">C167/B167-1</f>
        <v>0.35219244128200433</v>
      </c>
      <c r="D168" s="63">
        <f t="shared" si="112"/>
        <v>0.3499087610471503</v>
      </c>
      <c r="E168" s="63">
        <f t="shared" si="112"/>
        <v>0.32119048047972054</v>
      </c>
      <c r="F168" s="63">
        <f t="shared" si="112"/>
        <v>0.29447971057179068</v>
      </c>
      <c r="G168" s="63">
        <f t="shared" si="112"/>
        <v>0.33268789640639529</v>
      </c>
      <c r="H168" s="63">
        <f t="shared" si="112"/>
        <v>0.36880601879810881</v>
      </c>
      <c r="I168" s="63">
        <f t="shared" si="112"/>
        <v>0.28851899584492346</v>
      </c>
      <c r="J168" s="63">
        <f t="shared" si="112"/>
        <v>0.2656344173419225</v>
      </c>
      <c r="K168" s="63">
        <f t="shared" si="112"/>
        <v>0.22176630974753064</v>
      </c>
      <c r="L168" s="63">
        <f t="shared" si="112"/>
        <v>0.20980306307920205</v>
      </c>
      <c r="M168" s="63">
        <f t="shared" si="112"/>
        <v>0.19688266667743282</v>
      </c>
      <c r="N168" s="63">
        <f t="shared" si="112"/>
        <v>0.18235140828525154</v>
      </c>
      <c r="O168" s="63">
        <f t="shared" si="112"/>
        <v>0.18675213340740981</v>
      </c>
      <c r="P168" s="63">
        <f t="shared" si="112"/>
        <v>0.17310419973346702</v>
      </c>
      <c r="R168" s="109"/>
      <c r="S168" s="109"/>
    </row>
    <row r="169" spans="1:19" x14ac:dyDescent="0.2">
      <c r="A169" s="82" t="s">
        <v>53</v>
      </c>
      <c r="B169" s="46">
        <f t="shared" ref="B169:P169" si="113">B127</f>
        <v>3.0793084502488828</v>
      </c>
      <c r="C169" s="46">
        <f t="shared" si="113"/>
        <v>3.8915399396231183</v>
      </c>
      <c r="D169" s="46">
        <f t="shared" si="113"/>
        <v>4.8988899028179489</v>
      </c>
      <c r="E169" s="46">
        <f t="shared" si="113"/>
        <v>6.0210571399639523</v>
      </c>
      <c r="F169" s="46">
        <f t="shared" si="113"/>
        <v>7.2309318059580834</v>
      </c>
      <c r="G169" s="46">
        <f t="shared" si="113"/>
        <v>8.9129880618038051</v>
      </c>
      <c r="H169" s="46">
        <f t="shared" si="113"/>
        <v>11.245314939789431</v>
      </c>
      <c r="I169" s="46">
        <f t="shared" si="113"/>
        <v>13.303715620547351</v>
      </c>
      <c r="J169" s="46">
        <f t="shared" si="113"/>
        <v>15.390465896420942</v>
      </c>
      <c r="K169" s="46">
        <f t="shared" si="113"/>
        <v>17.099019905361253</v>
      </c>
      <c r="L169" s="46">
        <f t="shared" si="113"/>
        <v>18.698446674438749</v>
      </c>
      <c r="M169" s="46">
        <f t="shared" si="113"/>
        <v>20.08600058452086</v>
      </c>
      <c r="N169" s="46">
        <f t="shared" si="113"/>
        <v>21.134099468383653</v>
      </c>
      <c r="O169" s="46">
        <f t="shared" si="113"/>
        <v>22.08961307988929</v>
      </c>
      <c r="P169" s="46">
        <f t="shared" si="113"/>
        <v>22.530461055881389</v>
      </c>
      <c r="R169" s="57">
        <f>(J169/D169)^(1/6)-1</f>
        <v>0.21020519980150332</v>
      </c>
      <c r="S169" s="57">
        <f>(P169/J169)^(1/6)-1</f>
        <v>6.5580796894801452E-2</v>
      </c>
    </row>
    <row r="170" spans="1:19" x14ac:dyDescent="0.2">
      <c r="A170" s="83" t="s">
        <v>4</v>
      </c>
      <c r="B170" s="75"/>
      <c r="C170" s="63">
        <f t="shared" ref="C170:P170" si="114">C169/B169-1</f>
        <v>0.26377074674301881</v>
      </c>
      <c r="D170" s="63">
        <f t="shared" si="114"/>
        <v>0.25885638560152846</v>
      </c>
      <c r="E170" s="63">
        <f t="shared" si="114"/>
        <v>0.22906561678402038</v>
      </c>
      <c r="F170" s="63">
        <f t="shared" si="114"/>
        <v>0.20094057204070559</v>
      </c>
      <c r="G170" s="63">
        <f t="shared" si="114"/>
        <v>0.23261957116782028</v>
      </c>
      <c r="H170" s="63">
        <f t="shared" si="114"/>
        <v>0.26167732547300315</v>
      </c>
      <c r="I170" s="63">
        <f t="shared" si="114"/>
        <v>0.18304517852805136</v>
      </c>
      <c r="J170" s="63">
        <f t="shared" si="114"/>
        <v>0.15685469649175632</v>
      </c>
      <c r="K170" s="63">
        <f t="shared" si="114"/>
        <v>0.11101379389285637</v>
      </c>
      <c r="L170" s="63">
        <f t="shared" si="114"/>
        <v>9.3539090423305993E-2</v>
      </c>
      <c r="M170" s="63">
        <f t="shared" si="114"/>
        <v>7.4206907891388285E-2</v>
      </c>
      <c r="N170" s="63">
        <f t="shared" si="114"/>
        <v>5.2180566233305026E-2</v>
      </c>
      <c r="O170" s="63">
        <f t="shared" si="114"/>
        <v>4.521193878807428E-2</v>
      </c>
      <c r="P170" s="63">
        <f t="shared" si="114"/>
        <v>1.995725205315857E-2</v>
      </c>
      <c r="R170" s="109"/>
      <c r="S170" s="109"/>
    </row>
    <row r="171" spans="1:19" x14ac:dyDescent="0.2">
      <c r="A171" s="68" t="s">
        <v>59</v>
      </c>
      <c r="B171" s="46">
        <f t="shared" ref="B171:P171" si="115">B139</f>
        <v>20.399999999999999</v>
      </c>
      <c r="C171" s="46">
        <f t="shared" si="115"/>
        <v>21.9</v>
      </c>
      <c r="D171" s="46">
        <f t="shared" si="115"/>
        <v>23.3</v>
      </c>
      <c r="E171" s="46">
        <f t="shared" si="115"/>
        <v>24.8</v>
      </c>
      <c r="F171" s="46">
        <f t="shared" si="115"/>
        <v>26.3</v>
      </c>
      <c r="G171" s="46">
        <f t="shared" si="115"/>
        <v>27.9</v>
      </c>
      <c r="H171" s="46">
        <f t="shared" si="115"/>
        <v>29.5</v>
      </c>
      <c r="I171" s="46">
        <f t="shared" si="115"/>
        <v>30.3</v>
      </c>
      <c r="J171" s="46">
        <f t="shared" si="115"/>
        <v>31.3</v>
      </c>
      <c r="K171" s="46">
        <f t="shared" si="115"/>
        <v>33</v>
      </c>
      <c r="L171" s="46">
        <f t="shared" si="115"/>
        <v>34.700000000000003</v>
      </c>
      <c r="M171" s="46">
        <f t="shared" si="115"/>
        <v>36.200000000000003</v>
      </c>
      <c r="N171" s="46">
        <f t="shared" si="115"/>
        <v>38</v>
      </c>
      <c r="O171" s="46">
        <f t="shared" si="115"/>
        <v>39.9</v>
      </c>
      <c r="P171" s="46">
        <f t="shared" si="115"/>
        <v>41.7</v>
      </c>
      <c r="R171" s="57">
        <f>(J171/D171)^(1/6)-1</f>
        <v>5.0424242275026954E-2</v>
      </c>
      <c r="S171" s="57">
        <f>(P171/J171)^(1/6)-1</f>
        <v>4.8975358365694222E-2</v>
      </c>
    </row>
    <row r="172" spans="1:19" x14ac:dyDescent="0.2">
      <c r="A172" s="62" t="s">
        <v>4</v>
      </c>
      <c r="B172" s="75"/>
      <c r="C172" s="63">
        <f t="shared" ref="C172:P172" si="116">C171/B171-1</f>
        <v>7.3529411764705843E-2</v>
      </c>
      <c r="D172" s="63">
        <f t="shared" si="116"/>
        <v>6.3926940639269514E-2</v>
      </c>
      <c r="E172" s="63">
        <f t="shared" si="116"/>
        <v>6.4377682403433445E-2</v>
      </c>
      <c r="F172" s="63">
        <f t="shared" si="116"/>
        <v>6.0483870967741993E-2</v>
      </c>
      <c r="G172" s="63">
        <f t="shared" si="116"/>
        <v>6.0836501901140538E-2</v>
      </c>
      <c r="H172" s="63">
        <f t="shared" si="116"/>
        <v>5.7347670250896154E-2</v>
      </c>
      <c r="I172" s="63">
        <f t="shared" si="116"/>
        <v>2.7118644067796627E-2</v>
      </c>
      <c r="J172" s="63">
        <f t="shared" si="116"/>
        <v>3.3003300330032959E-2</v>
      </c>
      <c r="K172" s="63">
        <f t="shared" si="116"/>
        <v>5.4313099041533475E-2</v>
      </c>
      <c r="L172" s="63">
        <f t="shared" si="116"/>
        <v>5.1515151515151514E-2</v>
      </c>
      <c r="M172" s="63">
        <f t="shared" si="116"/>
        <v>4.3227665706051965E-2</v>
      </c>
      <c r="N172" s="63">
        <f t="shared" si="116"/>
        <v>4.9723756906077332E-2</v>
      </c>
      <c r="O172" s="63">
        <f t="shared" si="116"/>
        <v>5.0000000000000044E-2</v>
      </c>
      <c r="P172" s="63">
        <f t="shared" si="116"/>
        <v>4.5112781954887327E-2</v>
      </c>
      <c r="R172" s="109"/>
      <c r="S172" s="109"/>
    </row>
    <row r="173" spans="1:19" x14ac:dyDescent="0.2">
      <c r="R173" s="109"/>
      <c r="S173" s="109"/>
    </row>
    <row r="174" spans="1:19" x14ac:dyDescent="0.2">
      <c r="A174" s="67" t="s">
        <v>61</v>
      </c>
      <c r="R174" s="109"/>
      <c r="S174" s="109"/>
    </row>
    <row r="175" spans="1:19" x14ac:dyDescent="0.2">
      <c r="A175" s="55" t="s">
        <v>62</v>
      </c>
      <c r="B175" s="56"/>
      <c r="C175" s="56"/>
      <c r="D175" s="56"/>
      <c r="E175" s="91">
        <v>13.416051919999999</v>
      </c>
      <c r="F175" s="91">
        <v>15.59997309000001</v>
      </c>
      <c r="G175" s="91">
        <v>19.809355500000009</v>
      </c>
      <c r="H175" s="91">
        <v>27.190132770000041</v>
      </c>
      <c r="I175" s="91">
        <v>47.42286391000011</v>
      </c>
      <c r="J175" s="91">
        <v>66.482781490000178</v>
      </c>
      <c r="K175" s="91">
        <v>84.865168370266559</v>
      </c>
      <c r="L175" s="91">
        <v>106.8612067849345</v>
      </c>
      <c r="M175" s="91">
        <v>142.74941775668978</v>
      </c>
      <c r="N175" s="91">
        <v>188.43976564313184</v>
      </c>
      <c r="O175" s="91">
        <v>251.20407071761548</v>
      </c>
      <c r="P175" s="91">
        <v>310.05510476213766</v>
      </c>
      <c r="R175" s="57"/>
      <c r="S175" s="57">
        <f>(P175/J175)^(1/6)-1</f>
        <v>0.29257261585395233</v>
      </c>
    </row>
    <row r="176" spans="1:19" x14ac:dyDescent="0.2">
      <c r="A176" s="58" t="s">
        <v>4</v>
      </c>
      <c r="B176" s="66"/>
      <c r="C176" s="59"/>
      <c r="D176" s="59"/>
      <c r="E176" s="59"/>
      <c r="F176" s="59">
        <f t="shared" ref="F176:P176" si="117">F175/E175-1</f>
        <v>0.16278419187870963</v>
      </c>
      <c r="G176" s="59">
        <f t="shared" si="117"/>
        <v>0.26983267123058852</v>
      </c>
      <c r="H176" s="59">
        <f t="shared" si="117"/>
        <v>0.37259047978618121</v>
      </c>
      <c r="I176" s="59">
        <f t="shared" si="117"/>
        <v>0.74412035097981022</v>
      </c>
      <c r="J176" s="59">
        <f t="shared" si="117"/>
        <v>0.40191409814835932</v>
      </c>
      <c r="K176" s="59">
        <f t="shared" si="117"/>
        <v>0.27649846273401346</v>
      </c>
      <c r="L176" s="59">
        <f t="shared" si="117"/>
        <v>0.25918806074477185</v>
      </c>
      <c r="M176" s="59">
        <f t="shared" si="117"/>
        <v>0.33583946926579977</v>
      </c>
      <c r="N176" s="59">
        <f t="shared" si="117"/>
        <v>0.32007379507718392</v>
      </c>
      <c r="O176" s="59">
        <f t="shared" si="117"/>
        <v>0.33307356788665832</v>
      </c>
      <c r="P176" s="59">
        <f t="shared" si="117"/>
        <v>0.23427579766682216</v>
      </c>
      <c r="R176" s="109"/>
      <c r="S176" s="109"/>
    </row>
    <row r="177" spans="1:19" x14ac:dyDescent="0.2">
      <c r="A177" s="67"/>
      <c r="J177" s="108"/>
      <c r="R177" s="109"/>
      <c r="S177" s="109"/>
    </row>
    <row r="178" spans="1:19" x14ac:dyDescent="0.2">
      <c r="A178" s="67" t="s">
        <v>64</v>
      </c>
      <c r="R178" s="109"/>
      <c r="S178" s="109"/>
    </row>
    <row r="179" spans="1:19" x14ac:dyDescent="0.2">
      <c r="A179" s="129" t="s">
        <v>75</v>
      </c>
      <c r="E179" s="15">
        <v>1.7808990430992517</v>
      </c>
      <c r="F179" s="15">
        <v>2.0722250556230608</v>
      </c>
      <c r="G179" s="15">
        <v>2.6131556527916797</v>
      </c>
      <c r="H179" s="15">
        <v>3.6223198175970186</v>
      </c>
      <c r="I179" s="15">
        <v>6.3275488681878116</v>
      </c>
      <c r="J179" s="15">
        <v>8.9024994424635704</v>
      </c>
      <c r="K179" s="15">
        <v>11.258359107241494</v>
      </c>
      <c r="L179" s="15">
        <v>14.058254314234354</v>
      </c>
      <c r="M179" s="15">
        <v>18.624062550587471</v>
      </c>
      <c r="N179" s="15">
        <v>24.391877094974653</v>
      </c>
      <c r="O179" s="15">
        <v>32.264886523073613</v>
      </c>
      <c r="P179" s="15">
        <v>39.518863261047521</v>
      </c>
      <c r="R179" s="57"/>
      <c r="S179" s="57">
        <f>(P179/J179)^(1/6)-1</f>
        <v>0.28198245473105343</v>
      </c>
    </row>
    <row r="180" spans="1:19" x14ac:dyDescent="0.2">
      <c r="A180" s="12" t="s">
        <v>4</v>
      </c>
      <c r="E180" s="13"/>
      <c r="F180" s="13">
        <f>F179/E179-1</f>
        <v>0.16358367626321035</v>
      </c>
      <c r="G180" s="13">
        <f t="shared" ref="G180:P180" si="118">G179/F179-1</f>
        <v>0.26103853715154313</v>
      </c>
      <c r="H180" s="13">
        <f t="shared" si="118"/>
        <v>0.38618601372912131</v>
      </c>
      <c r="I180" s="13">
        <f t="shared" si="118"/>
        <v>0.74682225391831714</v>
      </c>
      <c r="J180" s="13">
        <f t="shared" si="118"/>
        <v>0.40694281907825336</v>
      </c>
      <c r="K180" s="13">
        <f t="shared" si="118"/>
        <v>0.2646290157055029</v>
      </c>
      <c r="L180" s="13">
        <f t="shared" si="118"/>
        <v>0.24869478583179472</v>
      </c>
      <c r="M180" s="13">
        <f t="shared" si="118"/>
        <v>0.32477775222277172</v>
      </c>
      <c r="N180" s="13">
        <f t="shared" si="118"/>
        <v>0.30969690574870001</v>
      </c>
      <c r="O180" s="13">
        <f t="shared" si="118"/>
        <v>0.32277177346556085</v>
      </c>
      <c r="P180" s="13">
        <f t="shared" si="118"/>
        <v>0.22482573223328606</v>
      </c>
      <c r="R180" s="109"/>
      <c r="S180" s="109"/>
    </row>
    <row r="181" spans="1:19" x14ac:dyDescent="0.2">
      <c r="A181" s="129" t="s">
        <v>69</v>
      </c>
      <c r="E181" s="15">
        <v>1.0961894314657357</v>
      </c>
      <c r="F181" s="15">
        <v>1.2782167054689013</v>
      </c>
      <c r="G181" s="15">
        <v>1.6014270345980453</v>
      </c>
      <c r="H181" s="15">
        <v>2.2296929865232724</v>
      </c>
      <c r="I181" s="15">
        <v>3.8836174061796229</v>
      </c>
      <c r="J181" s="15">
        <v>5.418993872749752</v>
      </c>
      <c r="K181" s="15">
        <v>6.9246320928111809</v>
      </c>
      <c r="L181" s="15">
        <v>8.7410852481695436</v>
      </c>
      <c r="M181" s="15">
        <v>11.706019601121991</v>
      </c>
      <c r="N181" s="15">
        <v>15.490117356926485</v>
      </c>
      <c r="O181" s="15">
        <v>20.699394344725096</v>
      </c>
      <c r="P181" s="15">
        <v>25.611248396761667</v>
      </c>
      <c r="R181" s="57"/>
      <c r="S181" s="57">
        <f>(P181/J181)^(1/6)-1</f>
        <v>0.29544411192655251</v>
      </c>
    </row>
    <row r="182" spans="1:19" x14ac:dyDescent="0.2">
      <c r="A182" s="12" t="s">
        <v>4</v>
      </c>
      <c r="E182" s="13"/>
      <c r="F182" s="13">
        <f t="shared" ref="F182:P182" si="119">F181/E181-1</f>
        <v>0.16605457850453242</v>
      </c>
      <c r="G182" s="13">
        <f t="shared" si="119"/>
        <v>0.25286035438769927</v>
      </c>
      <c r="H182" s="13">
        <f t="shared" si="119"/>
        <v>0.39231631435703873</v>
      </c>
      <c r="I182" s="13">
        <f t="shared" si="119"/>
        <v>0.74177226625056147</v>
      </c>
      <c r="J182" s="13">
        <f t="shared" si="119"/>
        <v>0.39534699379167315</v>
      </c>
      <c r="K182" s="13">
        <f t="shared" si="119"/>
        <v>0.27784460647441644</v>
      </c>
      <c r="L182" s="13">
        <f t="shared" si="119"/>
        <v>0.26231764099700206</v>
      </c>
      <c r="M182" s="13">
        <f t="shared" si="119"/>
        <v>0.33919522219204179</v>
      </c>
      <c r="N182" s="13">
        <f t="shared" si="119"/>
        <v>0.32326084226288132</v>
      </c>
      <c r="O182" s="13">
        <f t="shared" si="119"/>
        <v>0.33629680574816678</v>
      </c>
      <c r="P182" s="13">
        <f t="shared" si="119"/>
        <v>0.23729457829708323</v>
      </c>
      <c r="R182" s="109"/>
      <c r="S182" s="109"/>
    </row>
    <row r="183" spans="1:19" x14ac:dyDescent="0.2">
      <c r="A183" s="129" t="s">
        <v>72</v>
      </c>
      <c r="E183" s="15">
        <v>1.2939342430605645</v>
      </c>
      <c r="F183" s="15">
        <v>1.5124835231060614</v>
      </c>
      <c r="G183" s="15">
        <v>1.8879526948436252</v>
      </c>
      <c r="H183" s="15">
        <v>2.6303091750796872</v>
      </c>
      <c r="I183" s="15">
        <v>4.6355385386325656</v>
      </c>
      <c r="J183" s="15">
        <v>6.5082716858995688</v>
      </c>
      <c r="K183" s="15">
        <v>8.2813147315760531</v>
      </c>
      <c r="L183" s="15">
        <v>10.375865279804495</v>
      </c>
      <c r="M183" s="15">
        <v>13.793878005131324</v>
      </c>
      <c r="N183" s="15">
        <v>18.127919396399953</v>
      </c>
      <c r="O183" s="15">
        <v>24.063371498170639</v>
      </c>
      <c r="P183" s="15">
        <v>29.580291429115672</v>
      </c>
      <c r="R183" s="57"/>
      <c r="S183" s="57">
        <f>(P183/J183)^(1/6)-1</f>
        <v>0.28703234761771301</v>
      </c>
    </row>
    <row r="184" spans="1:19" x14ac:dyDescent="0.2">
      <c r="A184" s="12" t="s">
        <v>4</v>
      </c>
      <c r="E184" s="13"/>
      <c r="F184" s="13">
        <f t="shared" ref="F184:P184" si="120">F183/E183-1</f>
        <v>0.168902926263516</v>
      </c>
      <c r="G184" s="13">
        <f t="shared" si="120"/>
        <v>0.24824678484198892</v>
      </c>
      <c r="H184" s="13">
        <f t="shared" si="120"/>
        <v>0.39320714033968396</v>
      </c>
      <c r="I184" s="13">
        <f t="shared" si="120"/>
        <v>0.7623550047085732</v>
      </c>
      <c r="J184" s="13">
        <f t="shared" si="120"/>
        <v>0.40399473149875686</v>
      </c>
      <c r="K184" s="13">
        <f t="shared" si="120"/>
        <v>0.27242916879420576</v>
      </c>
      <c r="L184" s="13">
        <f t="shared" si="120"/>
        <v>0.25292488163045812</v>
      </c>
      <c r="M184" s="13">
        <f t="shared" si="120"/>
        <v>0.32941953592821061</v>
      </c>
      <c r="N184" s="13">
        <f t="shared" si="120"/>
        <v>0.31420035682904879</v>
      </c>
      <c r="O184" s="13">
        <f t="shared" si="120"/>
        <v>0.32742048174317318</v>
      </c>
      <c r="P184" s="13">
        <f t="shared" si="120"/>
        <v>0.22926629094200046</v>
      </c>
      <c r="R184" s="109"/>
      <c r="S184" s="109"/>
    </row>
    <row r="185" spans="1:19" x14ac:dyDescent="0.2">
      <c r="A185" s="129" t="s">
        <v>74</v>
      </c>
      <c r="E185" s="15">
        <v>1.2119662000862004</v>
      </c>
      <c r="F185" s="15">
        <v>1.4300664281780933</v>
      </c>
      <c r="G185" s="15">
        <v>1.8648565493672689</v>
      </c>
      <c r="H185" s="15">
        <v>2.6217115775932105</v>
      </c>
      <c r="I185" s="15">
        <v>4.6584944638442938</v>
      </c>
      <c r="J185" s="15">
        <v>6.6569744316168844</v>
      </c>
      <c r="K185" s="15">
        <v>8.7061735096316486</v>
      </c>
      <c r="L185" s="15">
        <v>11.220638974196874</v>
      </c>
      <c r="M185" s="15">
        <v>15.33993173521991</v>
      </c>
      <c r="N185" s="15">
        <v>20.710383388885059</v>
      </c>
      <c r="O185" s="15">
        <v>28.229298742377903</v>
      </c>
      <c r="P185" s="15">
        <v>35.620622573514133</v>
      </c>
      <c r="R185" s="57"/>
      <c r="S185" s="57">
        <f>(P185/J185)^(1/6)-1</f>
        <v>0.32252564696729147</v>
      </c>
    </row>
    <row r="186" spans="1:19" x14ac:dyDescent="0.2">
      <c r="A186" s="12" t="s">
        <v>4</v>
      </c>
      <c r="E186" s="13"/>
      <c r="F186" s="13">
        <f t="shared" ref="F186:P186" si="121">F185/E185-1</f>
        <v>0.17995570179793852</v>
      </c>
      <c r="G186" s="13">
        <f t="shared" si="121"/>
        <v>0.30403491238032831</v>
      </c>
      <c r="H186" s="13">
        <f t="shared" si="121"/>
        <v>0.4058516074508447</v>
      </c>
      <c r="I186" s="13">
        <f t="shared" si="121"/>
        <v>0.77689052589106522</v>
      </c>
      <c r="J186" s="13">
        <f t="shared" si="121"/>
        <v>0.42899696098885132</v>
      </c>
      <c r="K186" s="13">
        <f t="shared" si="121"/>
        <v>0.30782739201794462</v>
      </c>
      <c r="L186" s="13">
        <f t="shared" si="121"/>
        <v>0.28881407679085069</v>
      </c>
      <c r="M186" s="13">
        <f t="shared" si="121"/>
        <v>0.36711748506442587</v>
      </c>
      <c r="N186" s="13">
        <f t="shared" si="121"/>
        <v>0.35009618988947611</v>
      </c>
      <c r="O186" s="13">
        <f t="shared" si="121"/>
        <v>0.3630505149184311</v>
      </c>
      <c r="P186" s="13">
        <f t="shared" si="121"/>
        <v>0.26183164869201492</v>
      </c>
      <c r="R186" s="109"/>
      <c r="S186" s="109"/>
    </row>
    <row r="187" spans="1:19" x14ac:dyDescent="0.2">
      <c r="A187" s="129" t="s">
        <v>66</v>
      </c>
      <c r="E187" s="15">
        <v>1.27336825834409</v>
      </c>
      <c r="F187" s="15">
        <v>1.5213128690338482</v>
      </c>
      <c r="G187" s="15">
        <v>1.9798849496623339</v>
      </c>
      <c r="H187" s="15">
        <v>2.7151401305025504</v>
      </c>
      <c r="I187" s="15">
        <v>4.7537820980336232</v>
      </c>
      <c r="J187" s="15">
        <v>6.5988610836646675</v>
      </c>
      <c r="K187" s="15">
        <v>8.3392309699052021</v>
      </c>
      <c r="L187" s="15">
        <v>10.432384976411113</v>
      </c>
      <c r="M187" s="15">
        <v>13.84466461629194</v>
      </c>
      <c r="N187" s="15">
        <v>18.162013975166929</v>
      </c>
      <c r="O187" s="15">
        <v>24.060952949780244</v>
      </c>
      <c r="P187" s="15">
        <v>29.512180208927386</v>
      </c>
      <c r="R187" s="57"/>
      <c r="S187" s="57">
        <f>(P187/J187)^(1/6)-1</f>
        <v>0.28357736904513953</v>
      </c>
    </row>
    <row r="188" spans="1:19" x14ac:dyDescent="0.2">
      <c r="A188" s="12" t="s">
        <v>4</v>
      </c>
      <c r="E188" s="13"/>
      <c r="F188" s="13">
        <f t="shared" ref="F188:P188" si="122">F187/E187-1</f>
        <v>0.19471555778545135</v>
      </c>
      <c r="G188" s="13">
        <f t="shared" si="122"/>
        <v>0.30143180272951642</v>
      </c>
      <c r="H188" s="13">
        <f t="shared" si="122"/>
        <v>0.3713625789042001</v>
      </c>
      <c r="I188" s="13">
        <f t="shared" si="122"/>
        <v>0.75084226579264501</v>
      </c>
      <c r="J188" s="13">
        <f t="shared" si="122"/>
        <v>0.38812864106544787</v>
      </c>
      <c r="K188" s="13">
        <f t="shared" si="122"/>
        <v>0.26373791843395233</v>
      </c>
      <c r="L188" s="13">
        <f t="shared" si="122"/>
        <v>0.25100084337029771</v>
      </c>
      <c r="M188" s="13">
        <f t="shared" si="122"/>
        <v>0.32708528755374777</v>
      </c>
      <c r="N188" s="13">
        <f t="shared" si="122"/>
        <v>0.31184210513806709</v>
      </c>
      <c r="O188" s="13">
        <f t="shared" si="122"/>
        <v>0.32479542096372049</v>
      </c>
      <c r="P188" s="13">
        <f t="shared" si="122"/>
        <v>0.2265590756328264</v>
      </c>
      <c r="R188" s="109"/>
      <c r="S188" s="109"/>
    </row>
    <row r="189" spans="1:19" x14ac:dyDescent="0.2">
      <c r="A189" s="129" t="s">
        <v>67</v>
      </c>
      <c r="E189" s="15">
        <v>1.1122131351602911</v>
      </c>
      <c r="F189" s="15">
        <v>1.2711325517841749</v>
      </c>
      <c r="G189" s="15">
        <v>1.6159911721939046</v>
      </c>
      <c r="H189" s="15">
        <v>2.2148870635806386</v>
      </c>
      <c r="I189" s="15">
        <v>3.8428644705882329</v>
      </c>
      <c r="J189" s="15">
        <v>5.3846659648584785</v>
      </c>
      <c r="K189" s="15">
        <v>6.9146401945473972</v>
      </c>
      <c r="L189" s="15">
        <v>8.737132061656391</v>
      </c>
      <c r="M189" s="15">
        <v>11.709781043417998</v>
      </c>
      <c r="N189" s="15">
        <v>15.5097951053261</v>
      </c>
      <c r="O189" s="15">
        <v>20.742409103272326</v>
      </c>
      <c r="P189" s="15">
        <v>25.679527029475263</v>
      </c>
      <c r="R189" s="57"/>
      <c r="S189" s="57">
        <f>(P189/J189)^(1/6)-1</f>
        <v>0.29739247769628196</v>
      </c>
    </row>
    <row r="190" spans="1:19" x14ac:dyDescent="0.2">
      <c r="A190" s="12" t="s">
        <v>4</v>
      </c>
      <c r="E190" s="13"/>
      <c r="F190" s="13">
        <f t="shared" ref="F190:P190" si="123">F189/E189-1</f>
        <v>0.14288575777427814</v>
      </c>
      <c r="G190" s="13">
        <f t="shared" si="123"/>
        <v>0.27130028251238048</v>
      </c>
      <c r="H190" s="13">
        <f t="shared" si="123"/>
        <v>0.37060591771281759</v>
      </c>
      <c r="I190" s="13">
        <f t="shared" si="123"/>
        <v>0.7350159896531101</v>
      </c>
      <c r="J190" s="13">
        <f t="shared" si="123"/>
        <v>0.40121151970635061</v>
      </c>
      <c r="K190" s="13">
        <f t="shared" si="123"/>
        <v>0.28413540220950928</v>
      </c>
      <c r="L190" s="13">
        <f t="shared" si="123"/>
        <v>0.26357002184237088</v>
      </c>
      <c r="M190" s="13">
        <f t="shared" si="123"/>
        <v>0.34023166421019502</v>
      </c>
      <c r="N190" s="13">
        <f t="shared" si="123"/>
        <v>0.32451623542901942</v>
      </c>
      <c r="O190" s="13">
        <f t="shared" si="123"/>
        <v>0.33737479846844232</v>
      </c>
      <c r="P190" s="13">
        <f t="shared" si="123"/>
        <v>0.23802046819258127</v>
      </c>
      <c r="R190" s="109"/>
      <c r="S190" s="109"/>
    </row>
    <row r="191" spans="1:19" x14ac:dyDescent="0.2">
      <c r="A191" s="129" t="s">
        <v>70</v>
      </c>
      <c r="E191" s="15">
        <v>1.2463805683485221</v>
      </c>
      <c r="F191" s="15">
        <v>1.4251499229630105</v>
      </c>
      <c r="G191" s="15">
        <v>1.8040198776573522</v>
      </c>
      <c r="H191" s="15">
        <v>2.4080729828881071</v>
      </c>
      <c r="I191" s="15">
        <v>4.2979652081373594</v>
      </c>
      <c r="J191" s="15">
        <v>5.8779578904728851</v>
      </c>
      <c r="K191" s="15">
        <v>7.5185930862408519</v>
      </c>
      <c r="L191" s="15">
        <v>9.4929740293744214</v>
      </c>
      <c r="M191" s="15">
        <v>12.716652054474253</v>
      </c>
      <c r="N191" s="15">
        <v>16.830195776872202</v>
      </c>
      <c r="O191" s="15">
        <v>22.494255750344262</v>
      </c>
      <c r="P191" s="15">
        <v>27.838610512494256</v>
      </c>
      <c r="R191" s="57"/>
      <c r="S191" s="57">
        <f>(P191/J191)^(1/6)-1</f>
        <v>0.29589609365848712</v>
      </c>
    </row>
    <row r="192" spans="1:19" x14ac:dyDescent="0.2">
      <c r="A192" s="12" t="s">
        <v>4</v>
      </c>
      <c r="E192" s="13"/>
      <c r="F192" s="13">
        <f t="shared" ref="F192:P192" si="124">F191/E191-1</f>
        <v>0.14343079405623382</v>
      </c>
      <c r="G192" s="13">
        <f t="shared" si="124"/>
        <v>0.2658456830328686</v>
      </c>
      <c r="H192" s="13">
        <f t="shared" si="124"/>
        <v>0.33483727796567342</v>
      </c>
      <c r="I192" s="13">
        <f t="shared" si="124"/>
        <v>0.78481517739658457</v>
      </c>
      <c r="J192" s="13">
        <f t="shared" si="124"/>
        <v>0.36761411640655384</v>
      </c>
      <c r="K192" s="13">
        <f t="shared" si="124"/>
        <v>0.27911652760002625</v>
      </c>
      <c r="L192" s="13">
        <f t="shared" si="124"/>
        <v>0.262599787019558</v>
      </c>
      <c r="M192" s="13">
        <f t="shared" si="124"/>
        <v>0.33958567832638109</v>
      </c>
      <c r="N192" s="13">
        <f t="shared" si="124"/>
        <v>0.32347694226253765</v>
      </c>
      <c r="O192" s="13">
        <f t="shared" si="124"/>
        <v>0.33654153811184573</v>
      </c>
      <c r="P192" s="13">
        <f t="shared" si="124"/>
        <v>0.23758753441167757</v>
      </c>
      <c r="R192" s="109"/>
      <c r="S192" s="109"/>
    </row>
    <row r="193" spans="1:19" x14ac:dyDescent="0.2">
      <c r="A193" s="129" t="s">
        <v>68</v>
      </c>
      <c r="E193" s="15">
        <v>1.0671244959307187</v>
      </c>
      <c r="F193" s="15">
        <v>1.2243238889281147</v>
      </c>
      <c r="G193" s="15">
        <v>1.5945285748366294</v>
      </c>
      <c r="H193" s="15">
        <v>2.1664684747163001</v>
      </c>
      <c r="I193" s="15">
        <v>3.5845683507528263</v>
      </c>
      <c r="J193" s="15">
        <v>5.1576532799721972</v>
      </c>
      <c r="K193" s="15">
        <v>6.6181727863491231</v>
      </c>
      <c r="L193" s="15">
        <v>8.3936502409984755</v>
      </c>
      <c r="M193" s="15">
        <v>11.290739225874752</v>
      </c>
      <c r="N193" s="15">
        <v>15.00798841706029</v>
      </c>
      <c r="O193" s="15">
        <v>20.141431285517786</v>
      </c>
      <c r="P193" s="15">
        <v>25.021297919402045</v>
      </c>
      <c r="R193" s="57"/>
      <c r="S193" s="57">
        <f>(P193/J193)^(1/6)-1</f>
        <v>0.30109681891492923</v>
      </c>
    </row>
    <row r="194" spans="1:19" x14ac:dyDescent="0.2">
      <c r="A194" s="12" t="s">
        <v>4</v>
      </c>
      <c r="E194" s="13"/>
      <c r="F194" s="13">
        <f t="shared" ref="F194:P194" si="125">F193/E193-1</f>
        <v>0.14731120276673138</v>
      </c>
      <c r="G194" s="13">
        <f t="shared" si="125"/>
        <v>0.30237479580066484</v>
      </c>
      <c r="H194" s="13">
        <f t="shared" si="125"/>
        <v>0.35868902502312938</v>
      </c>
      <c r="I194" s="13">
        <f t="shared" si="125"/>
        <v>0.65456751048372719</v>
      </c>
      <c r="J194" s="13">
        <f t="shared" si="125"/>
        <v>0.43884919334541173</v>
      </c>
      <c r="K194" s="13">
        <f t="shared" si="125"/>
        <v>0.2831752014134612</v>
      </c>
      <c r="L194" s="13">
        <f t="shared" si="125"/>
        <v>0.26827305843563276</v>
      </c>
      <c r="M194" s="13">
        <f t="shared" si="125"/>
        <v>0.34515245473602807</v>
      </c>
      <c r="N194" s="13">
        <f t="shared" si="125"/>
        <v>0.3292299216925314</v>
      </c>
      <c r="O194" s="13">
        <f t="shared" si="125"/>
        <v>0.34204736343093578</v>
      </c>
      <c r="P194" s="13">
        <f t="shared" si="125"/>
        <v>0.24228003286901512</v>
      </c>
      <c r="R194" s="109"/>
      <c r="S194" s="109"/>
    </row>
    <row r="195" spans="1:19" x14ac:dyDescent="0.2">
      <c r="A195" s="129" t="s">
        <v>73</v>
      </c>
      <c r="E195" s="15">
        <v>0.68465581067222248</v>
      </c>
      <c r="F195" s="15">
        <v>0.78685204524840624</v>
      </c>
      <c r="G195" s="15">
        <v>0.96476508450805043</v>
      </c>
      <c r="H195" s="15">
        <v>1.2748418292884383</v>
      </c>
      <c r="I195" s="15">
        <v>2.1602668792388502</v>
      </c>
      <c r="J195" s="15">
        <v>3.0297523512569788</v>
      </c>
      <c r="K195" s="15">
        <v>3.8426844243980329</v>
      </c>
      <c r="L195" s="15">
        <v>4.7578346160389016</v>
      </c>
      <c r="M195" s="15">
        <v>6.2404098906251031</v>
      </c>
      <c r="N195" s="15">
        <v>8.0642028642955665</v>
      </c>
      <c r="O195" s="15">
        <v>10.504499913690857</v>
      </c>
      <c r="P195" s="15">
        <v>12.64857322239501</v>
      </c>
      <c r="R195" s="57"/>
      <c r="S195" s="57">
        <f>(P195/J195)^(1/6)-1</f>
        <v>0.26893409910494381</v>
      </c>
    </row>
    <row r="196" spans="1:19" x14ac:dyDescent="0.2">
      <c r="A196" s="12" t="s">
        <v>4</v>
      </c>
      <c r="E196" s="13"/>
      <c r="F196" s="13">
        <f t="shared" ref="F196:P196" si="126">F195/E195-1</f>
        <v>0.14926658473232468</v>
      </c>
      <c r="G196" s="13">
        <f t="shared" si="126"/>
        <v>0.2261073607598969</v>
      </c>
      <c r="H196" s="13">
        <f t="shared" si="126"/>
        <v>0.32140129214823432</v>
      </c>
      <c r="I196" s="13">
        <f t="shared" si="126"/>
        <v>0.69453718069842285</v>
      </c>
      <c r="J196" s="13">
        <f t="shared" si="126"/>
        <v>0.40248984066472548</v>
      </c>
      <c r="K196" s="13">
        <f t="shared" si="126"/>
        <v>0.26831634367864621</v>
      </c>
      <c r="L196" s="13">
        <f t="shared" si="126"/>
        <v>0.2381538764490736</v>
      </c>
      <c r="M196" s="13">
        <f t="shared" si="126"/>
        <v>0.31160714783745647</v>
      </c>
      <c r="N196" s="13">
        <f t="shared" si="126"/>
        <v>0.29225531746084932</v>
      </c>
      <c r="O196" s="13">
        <f t="shared" si="126"/>
        <v>0.30260858890340647</v>
      </c>
      <c r="P196" s="13">
        <f t="shared" si="126"/>
        <v>0.2041099839421876</v>
      </c>
      <c r="R196" s="109"/>
      <c r="S196" s="109"/>
    </row>
    <row r="197" spans="1:19" x14ac:dyDescent="0.2">
      <c r="A197" s="129" t="s">
        <v>65</v>
      </c>
      <c r="E197" s="15">
        <v>0.33644151406699085</v>
      </c>
      <c r="F197" s="15">
        <v>0.42219049624531751</v>
      </c>
      <c r="G197" s="15">
        <v>0.5754288184151044</v>
      </c>
      <c r="H197" s="15">
        <v>0.8437621548448867</v>
      </c>
      <c r="I197" s="15">
        <v>1.5656329822571193</v>
      </c>
      <c r="J197" s="15">
        <v>2.3265970894107939</v>
      </c>
      <c r="K197" s="15">
        <v>3.1379283025653768</v>
      </c>
      <c r="L197" s="15">
        <v>4.1626955248539694</v>
      </c>
      <c r="M197" s="15">
        <v>5.8429895428159409</v>
      </c>
      <c r="N197" s="15">
        <v>8.0856033599623398</v>
      </c>
      <c r="O197" s="15">
        <v>11.274873929701242</v>
      </c>
      <c r="P197" s="15">
        <v>14.528342705552225</v>
      </c>
      <c r="R197" s="57"/>
      <c r="S197" s="57">
        <f>(P197/J197)^(1/6)-1</f>
        <v>0.35700823303079732</v>
      </c>
    </row>
    <row r="198" spans="1:19" x14ac:dyDescent="0.2">
      <c r="A198" s="12" t="s">
        <v>4</v>
      </c>
      <c r="E198" s="13"/>
      <c r="F198" s="13">
        <f t="shared" ref="F198:P198" si="127">F197/E197-1</f>
        <v>0.25487039676457002</v>
      </c>
      <c r="G198" s="13">
        <f t="shared" si="127"/>
        <v>0.36296014129305831</v>
      </c>
      <c r="H198" s="13">
        <f t="shared" si="127"/>
        <v>0.4663189048627232</v>
      </c>
      <c r="I198" s="13">
        <f t="shared" si="127"/>
        <v>0.85553828560246092</v>
      </c>
      <c r="J198" s="13">
        <f t="shared" si="127"/>
        <v>0.48604246063890311</v>
      </c>
      <c r="K198" s="13">
        <f t="shared" si="127"/>
        <v>0.3487201186863218</v>
      </c>
      <c r="L198" s="13">
        <f t="shared" si="127"/>
        <v>0.3265744540596438</v>
      </c>
      <c r="M198" s="13">
        <f t="shared" si="127"/>
        <v>0.4036552776751352</v>
      </c>
      <c r="N198" s="13">
        <f t="shared" si="127"/>
        <v>0.38381273844717589</v>
      </c>
      <c r="O198" s="13">
        <f t="shared" si="127"/>
        <v>0.39443816716650781</v>
      </c>
      <c r="P198" s="13">
        <f t="shared" si="127"/>
        <v>0.28855921548536489</v>
      </c>
      <c r="R198" s="109"/>
      <c r="S198" s="109"/>
    </row>
    <row r="199" spans="1:19" x14ac:dyDescent="0.2">
      <c r="A199" s="129" t="s">
        <v>71</v>
      </c>
      <c r="E199" s="15">
        <v>0.10352675052976544</v>
      </c>
      <c r="F199" s="15">
        <v>0.12729122408820026</v>
      </c>
      <c r="G199" s="15">
        <v>0.16670795024512297</v>
      </c>
      <c r="H199" s="15">
        <v>0.23293331060954667</v>
      </c>
      <c r="I199" s="15">
        <v>0.41631811242312339</v>
      </c>
      <c r="J199" s="15">
        <v>0.58399080717977414</v>
      </c>
      <c r="K199" s="15">
        <v>0.74057683594936774</v>
      </c>
      <c r="L199" s="15">
        <v>0.92926075318821266</v>
      </c>
      <c r="M199" s="15">
        <v>1.2364354781117182</v>
      </c>
      <c r="N199" s="15">
        <v>1.6261625712207977</v>
      </c>
      <c r="O199" s="15">
        <v>2.1592161504720653</v>
      </c>
      <c r="P199" s="15">
        <v>2.6534635236319311</v>
      </c>
      <c r="R199" s="57"/>
      <c r="S199" s="57">
        <f>(P199/J199)^(1/6)-1</f>
        <v>0.28696830638596982</v>
      </c>
    </row>
    <row r="200" spans="1:19" x14ac:dyDescent="0.2">
      <c r="A200" s="12" t="s">
        <v>4</v>
      </c>
      <c r="E200" s="13"/>
      <c r="F200" s="13">
        <f t="shared" ref="F200:P200" si="128">F199/E199-1</f>
        <v>0.22954911109281073</v>
      </c>
      <c r="G200" s="13">
        <f t="shared" si="128"/>
        <v>0.30965784514422467</v>
      </c>
      <c r="H200" s="13">
        <f t="shared" si="128"/>
        <v>0.397253761845477</v>
      </c>
      <c r="I200" s="13">
        <f t="shared" si="128"/>
        <v>0.78728457228247017</v>
      </c>
      <c r="J200" s="13">
        <f t="shared" si="128"/>
        <v>0.40275138110310515</v>
      </c>
      <c r="K200" s="13">
        <f t="shared" si="128"/>
        <v>0.2681309822765594</v>
      </c>
      <c r="L200" s="13">
        <f t="shared" si="128"/>
        <v>0.25477966374274352</v>
      </c>
      <c r="M200" s="13">
        <f t="shared" si="128"/>
        <v>0.33055816020381346</v>
      </c>
      <c r="N200" s="13">
        <f t="shared" si="128"/>
        <v>0.31520212741247922</v>
      </c>
      <c r="O200" s="13">
        <f t="shared" si="128"/>
        <v>0.32779845550810593</v>
      </c>
      <c r="P200" s="13">
        <f t="shared" si="128"/>
        <v>0.2289012950610847</v>
      </c>
      <c r="R200" s="109"/>
      <c r="S200" s="109"/>
    </row>
    <row r="201" spans="1:19" x14ac:dyDescent="0.2">
      <c r="A201" s="129" t="s">
        <v>80</v>
      </c>
      <c r="E201" s="39">
        <v>0.79668149204729144</v>
      </c>
      <c r="F201" s="39">
        <v>0.88756861643395768</v>
      </c>
      <c r="G201" s="39">
        <v>1.0778240688048468</v>
      </c>
      <c r="H201" s="39">
        <v>1.4118664270328887</v>
      </c>
      <c r="I201" s="39">
        <v>2.3447306600021167</v>
      </c>
      <c r="J201" s="39">
        <v>3.1221579421297161</v>
      </c>
      <c r="K201" s="39">
        <v>3.7749955214911646</v>
      </c>
      <c r="L201" s="39">
        <v>4.488613961860545</v>
      </c>
      <c r="M201" s="39">
        <v>5.6425318259264943</v>
      </c>
      <c r="N201" s="39">
        <v>6.9821483946410448</v>
      </c>
      <c r="O201" s="39">
        <v>8.6863361045797891</v>
      </c>
      <c r="P201" s="39">
        <v>9.9548439369508603</v>
      </c>
      <c r="R201" s="57"/>
      <c r="S201" s="57">
        <f>(P201/J201)^(1/6)-1</f>
        <v>0.21319309866818892</v>
      </c>
    </row>
    <row r="202" spans="1:19" x14ac:dyDescent="0.2">
      <c r="A202" s="12" t="s">
        <v>4</v>
      </c>
      <c r="E202" s="13"/>
      <c r="F202" s="13">
        <f t="shared" ref="F202:P202" si="129">F201/E201-1</f>
        <v>0.11408213356771579</v>
      </c>
      <c r="G202" s="13">
        <f t="shared" si="129"/>
        <v>0.21435576793520572</v>
      </c>
      <c r="H202" s="13">
        <f t="shared" si="129"/>
        <v>0.3099228973411654</v>
      </c>
      <c r="I202" s="13">
        <f t="shared" si="129"/>
        <v>0.66073122436213105</v>
      </c>
      <c r="J202" s="13">
        <f t="shared" si="129"/>
        <v>0.33156357588930807</v>
      </c>
      <c r="K202" s="13">
        <f t="shared" si="129"/>
        <v>0.20909819152714881</v>
      </c>
      <c r="L202" s="13">
        <f t="shared" si="129"/>
        <v>0.18903822171621898</v>
      </c>
      <c r="M202" s="13">
        <f t="shared" si="129"/>
        <v>0.25707665525944368</v>
      </c>
      <c r="N202" s="13">
        <f t="shared" si="129"/>
        <v>0.23741409176625905</v>
      </c>
      <c r="O202" s="13">
        <f t="shared" si="129"/>
        <v>0.24407784160628077</v>
      </c>
      <c r="P202" s="13">
        <f t="shared" si="129"/>
        <v>0.14603485486847112</v>
      </c>
      <c r="R202" s="109"/>
      <c r="S202" s="109"/>
    </row>
    <row r="203" spans="1:19" x14ac:dyDescent="0.2">
      <c r="A203" s="129" t="s">
        <v>76</v>
      </c>
      <c r="E203" s="15">
        <v>1.412670977188355</v>
      </c>
      <c r="F203" s="15">
        <v>1.6411597628988608</v>
      </c>
      <c r="G203" s="15">
        <v>2.0628130720760436</v>
      </c>
      <c r="H203" s="15">
        <v>2.8181268397434991</v>
      </c>
      <c r="I203" s="15">
        <v>4.9515358717225668</v>
      </c>
      <c r="J203" s="15">
        <v>6.9144056483249052</v>
      </c>
      <c r="K203" s="15">
        <v>8.8078668075596749</v>
      </c>
      <c r="L203" s="15">
        <v>11.070816804147185</v>
      </c>
      <c r="M203" s="15">
        <v>14.761322187090901</v>
      </c>
      <c r="N203" s="15">
        <v>19.451357941400381</v>
      </c>
      <c r="O203" s="15">
        <v>25.883144421909645</v>
      </c>
      <c r="P203" s="15">
        <v>31.88724004286971</v>
      </c>
      <c r="R203" s="109"/>
      <c r="S203" s="109"/>
    </row>
    <row r="204" spans="1:19" x14ac:dyDescent="0.2">
      <c r="A204" s="12" t="s">
        <v>4</v>
      </c>
      <c r="F204" s="13">
        <f t="shared" ref="F204:P204" si="130">F203/E203-1</f>
        <v>0.16174239394743428</v>
      </c>
      <c r="G204" s="13">
        <f t="shared" si="130"/>
        <v>0.25692398674970929</v>
      </c>
      <c r="H204" s="13">
        <f t="shared" si="130"/>
        <v>0.36615715592072395</v>
      </c>
      <c r="I204" s="13">
        <f t="shared" si="130"/>
        <v>0.75703087664189272</v>
      </c>
      <c r="J204" s="13">
        <f t="shared" si="130"/>
        <v>0.39641634988690577</v>
      </c>
      <c r="K204" s="13">
        <f t="shared" si="130"/>
        <v>0.27384293828544504</v>
      </c>
      <c r="L204" s="13">
        <f t="shared" si="130"/>
        <v>0.25692373034583693</v>
      </c>
      <c r="M204" s="13">
        <f t="shared" si="130"/>
        <v>0.33335439003572298</v>
      </c>
      <c r="N204" s="13">
        <f t="shared" si="130"/>
        <v>0.31772463840746057</v>
      </c>
      <c r="O204" s="13">
        <f t="shared" si="130"/>
        <v>0.33066002383411042</v>
      </c>
      <c r="P204" s="13">
        <f t="shared" si="130"/>
        <v>0.23196932811137505</v>
      </c>
      <c r="R204" s="109"/>
      <c r="S204" s="109"/>
    </row>
    <row r="205" spans="1:19" x14ac:dyDescent="0.2">
      <c r="A205" s="23" t="s">
        <v>23</v>
      </c>
      <c r="E205" s="56">
        <f>E203+E201+E199+E197+E195+E193+E191+E189+E187+E185+E183+E181+E179</f>
        <v>13.416051919999999</v>
      </c>
      <c r="F205" s="56">
        <f t="shared" ref="F205:P205" si="131">F203+F201+F199+F197+F195+F193+F191+F189+F187+F185+F183+F181+F179</f>
        <v>15.599973090000008</v>
      </c>
      <c r="G205" s="56">
        <f t="shared" si="131"/>
        <v>19.809355500000006</v>
      </c>
      <c r="H205" s="56">
        <f t="shared" si="131"/>
        <v>27.190132770000048</v>
      </c>
      <c r="I205" s="56">
        <f t="shared" si="131"/>
        <v>47.42286391000011</v>
      </c>
      <c r="J205" s="56">
        <f t="shared" si="131"/>
        <v>66.482781490000164</v>
      </c>
      <c r="K205" s="56">
        <f t="shared" si="131"/>
        <v>84.865168370266559</v>
      </c>
      <c r="L205" s="56">
        <f t="shared" si="131"/>
        <v>106.86120678493447</v>
      </c>
      <c r="M205" s="56">
        <f t="shared" si="131"/>
        <v>142.74941775668978</v>
      </c>
      <c r="N205" s="56">
        <f t="shared" si="131"/>
        <v>188.43976564313181</v>
      </c>
      <c r="O205" s="56">
        <f t="shared" si="131"/>
        <v>251.20407071761548</v>
      </c>
      <c r="P205" s="56">
        <f t="shared" si="131"/>
        <v>310.05510476213766</v>
      </c>
      <c r="R205" s="57"/>
      <c r="S205" s="57">
        <f>(P205/J205)^(1/6)-1</f>
        <v>0.29257261585395233</v>
      </c>
    </row>
    <row r="206" spans="1:19" x14ac:dyDescent="0.2">
      <c r="A206" s="19" t="s">
        <v>4</v>
      </c>
      <c r="E206" s="59"/>
      <c r="F206" s="59">
        <f t="shared" ref="F206:P206" si="132">F205/E205-1</f>
        <v>0.16278419187870941</v>
      </c>
      <c r="G206" s="59">
        <f t="shared" si="132"/>
        <v>0.26983267123058829</v>
      </c>
      <c r="H206" s="59">
        <f t="shared" si="132"/>
        <v>0.37259047978618187</v>
      </c>
      <c r="I206" s="59">
        <f t="shared" si="132"/>
        <v>0.74412035097980977</v>
      </c>
      <c r="J206" s="59">
        <f t="shared" si="132"/>
        <v>0.40191409814835888</v>
      </c>
      <c r="K206" s="59">
        <f t="shared" si="132"/>
        <v>0.27649846273401391</v>
      </c>
      <c r="L206" s="59">
        <f t="shared" si="132"/>
        <v>0.25918806074477141</v>
      </c>
      <c r="M206" s="59">
        <f t="shared" si="132"/>
        <v>0.33583946926580022</v>
      </c>
      <c r="N206" s="59">
        <f t="shared" si="132"/>
        <v>0.3200737950771837</v>
      </c>
      <c r="O206" s="59">
        <f t="shared" si="132"/>
        <v>0.33307356788665854</v>
      </c>
      <c r="P206" s="59">
        <f t="shared" si="132"/>
        <v>0.23427579766682216</v>
      </c>
      <c r="R206" s="109"/>
      <c r="S206" s="109"/>
    </row>
    <row r="207" spans="1:19" x14ac:dyDescent="0.2">
      <c r="R207" s="109"/>
      <c r="S207" s="109"/>
    </row>
    <row r="208" spans="1:19" x14ac:dyDescent="0.2">
      <c r="A208" s="67" t="s">
        <v>63</v>
      </c>
      <c r="R208" s="109"/>
      <c r="S208" s="109"/>
    </row>
    <row r="209" spans="1:19" x14ac:dyDescent="0.2">
      <c r="A209" s="68" t="s">
        <v>82</v>
      </c>
      <c r="E209" s="39">
        <v>0.79668149204729144</v>
      </c>
      <c r="F209" s="39">
        <v>0.88756861643395768</v>
      </c>
      <c r="G209" s="39">
        <v>1.0778240688048468</v>
      </c>
      <c r="H209" s="39">
        <v>1.4118664270328887</v>
      </c>
      <c r="I209" s="39">
        <v>2.3447306600021167</v>
      </c>
      <c r="J209" s="39">
        <v>3.1221579421297161</v>
      </c>
      <c r="K209" s="39">
        <v>3.7749955214911646</v>
      </c>
      <c r="L209" s="39">
        <v>4.488613961860545</v>
      </c>
      <c r="M209" s="39">
        <v>5.6425318259264943</v>
      </c>
      <c r="N209" s="39">
        <v>6.9821483946410448</v>
      </c>
      <c r="O209" s="39">
        <v>8.6863361045797891</v>
      </c>
      <c r="P209" s="39">
        <v>9.9548439369508603</v>
      </c>
      <c r="R209" s="57"/>
      <c r="S209" s="57">
        <f>(P209/J209)^(1/6)-1</f>
        <v>0.21319309866818892</v>
      </c>
    </row>
    <row r="210" spans="1:19" x14ac:dyDescent="0.2">
      <c r="A210" s="62" t="s">
        <v>4</v>
      </c>
      <c r="F210" s="63">
        <f t="shared" ref="F210:P210" si="133">F209/E209-1</f>
        <v>0.11408213356771579</v>
      </c>
      <c r="G210" s="63">
        <f t="shared" si="133"/>
        <v>0.21435576793520572</v>
      </c>
      <c r="H210" s="63">
        <f t="shared" si="133"/>
        <v>0.3099228973411654</v>
      </c>
      <c r="I210" s="63">
        <f t="shared" si="133"/>
        <v>0.66073122436213105</v>
      </c>
      <c r="J210" s="63">
        <f t="shared" si="133"/>
        <v>0.33156357588930807</v>
      </c>
      <c r="K210" s="63">
        <f t="shared" si="133"/>
        <v>0.20909819152714881</v>
      </c>
      <c r="L210" s="63">
        <f t="shared" si="133"/>
        <v>0.18903822171621898</v>
      </c>
      <c r="M210" s="63">
        <f t="shared" si="133"/>
        <v>0.25707665525944368</v>
      </c>
      <c r="N210" s="63">
        <f t="shared" si="133"/>
        <v>0.23741409176625905</v>
      </c>
      <c r="O210" s="63">
        <f t="shared" si="133"/>
        <v>0.24407784160628077</v>
      </c>
      <c r="P210" s="63">
        <f t="shared" si="133"/>
        <v>0.14603485486847112</v>
      </c>
      <c r="R210" s="109"/>
      <c r="S210" s="109"/>
    </row>
    <row r="211" spans="1:19" x14ac:dyDescent="0.2">
      <c r="A211" s="68" t="s">
        <v>10</v>
      </c>
      <c r="E211" s="39">
        <v>4.6567658536901453</v>
      </c>
      <c r="F211" s="39">
        <v>5.2441780676506271</v>
      </c>
      <c r="G211" s="39">
        <v>6.4426817888374801</v>
      </c>
      <c r="H211" s="39">
        <v>8.546114375376888</v>
      </c>
      <c r="I211" s="39">
        <v>14.387677371424637</v>
      </c>
      <c r="J211" s="39">
        <v>19.444853555561462</v>
      </c>
      <c r="K211" s="39">
        <v>23.895872931229889</v>
      </c>
      <c r="L211" s="39">
        <v>28.924786991655424</v>
      </c>
      <c r="M211" s="39">
        <v>37.084083986773088</v>
      </c>
      <c r="N211" s="39">
        <v>46.90253889504271</v>
      </c>
      <c r="O211" s="39">
        <v>59.7918096842644</v>
      </c>
      <c r="P211" s="39">
        <v>70.428694203277644</v>
      </c>
      <c r="R211" s="57"/>
      <c r="S211" s="57">
        <f>(P211/J211)^(1/6)-1</f>
        <v>0.23924590725139017</v>
      </c>
    </row>
    <row r="212" spans="1:19" x14ac:dyDescent="0.2">
      <c r="A212" s="62" t="s">
        <v>4</v>
      </c>
      <c r="F212" s="63">
        <f t="shared" ref="F212:P212" si="134">F211/E211-1</f>
        <v>0.12614166836303364</v>
      </c>
      <c r="G212" s="63">
        <f t="shared" si="134"/>
        <v>0.22853985996012871</v>
      </c>
      <c r="H212" s="63">
        <f t="shared" si="134"/>
        <v>0.32648401014990247</v>
      </c>
      <c r="I212" s="63">
        <f t="shared" si="134"/>
        <v>0.6835343805927161</v>
      </c>
      <c r="J212" s="63">
        <f t="shared" si="134"/>
        <v>0.35149357700923156</v>
      </c>
      <c r="K212" s="63">
        <f t="shared" si="134"/>
        <v>0.22890475173547298</v>
      </c>
      <c r="L212" s="63">
        <f t="shared" si="134"/>
        <v>0.21045115509687728</v>
      </c>
      <c r="M212" s="63">
        <f t="shared" si="134"/>
        <v>0.28208667526130982</v>
      </c>
      <c r="N212" s="63">
        <f t="shared" si="134"/>
        <v>0.26476196396738838</v>
      </c>
      <c r="O212" s="63">
        <f t="shared" si="134"/>
        <v>0.27480966047626909</v>
      </c>
      <c r="P212" s="63">
        <f t="shared" si="134"/>
        <v>0.17789868838528533</v>
      </c>
      <c r="R212" s="109"/>
      <c r="S212" s="109"/>
    </row>
    <row r="213" spans="1:19" x14ac:dyDescent="0.2">
      <c r="A213" s="68" t="s">
        <v>11</v>
      </c>
      <c r="E213" s="39">
        <v>7.6261630601955712</v>
      </c>
      <c r="F213" s="39">
        <v>9.0460359096701062</v>
      </c>
      <c r="G213" s="39">
        <v>11.713420823942577</v>
      </c>
      <c r="H213" s="39">
        <v>16.388389812745377</v>
      </c>
      <c r="I213" s="39">
        <v>29.124822896316235</v>
      </c>
      <c r="J213" s="39">
        <v>41.589172902898213</v>
      </c>
      <c r="K213" s="39">
        <v>54.056371614980122</v>
      </c>
      <c r="L213" s="39">
        <v>69.285110306564562</v>
      </c>
      <c r="M213" s="39">
        <v>94.179812401174274</v>
      </c>
      <c r="N213" s="39">
        <v>126.46947499348576</v>
      </c>
      <c r="O213" s="39">
        <v>171.45105099907005</v>
      </c>
      <c r="P213" s="39">
        <v>215.1432239163569</v>
      </c>
      <c r="R213" s="57"/>
      <c r="S213" s="57">
        <f>(P213/J213)^(1/6)-1</f>
        <v>0.31509733632555359</v>
      </c>
    </row>
    <row r="214" spans="1:19" x14ac:dyDescent="0.2">
      <c r="A214" s="62" t="s">
        <v>4</v>
      </c>
      <c r="F214" s="63">
        <f t="shared" ref="F214:P214" si="135">F213/E213-1</f>
        <v>0.1861844335437175</v>
      </c>
      <c r="G214" s="63">
        <f t="shared" si="135"/>
        <v>0.29486782286825419</v>
      </c>
      <c r="H214" s="63">
        <f t="shared" si="135"/>
        <v>0.39911218584813635</v>
      </c>
      <c r="I214" s="63">
        <f t="shared" si="135"/>
        <v>0.77716195606145733</v>
      </c>
      <c r="J214" s="63">
        <f t="shared" si="135"/>
        <v>0.42796311761121442</v>
      </c>
      <c r="K214" s="63">
        <f t="shared" si="135"/>
        <v>0.29977029697585333</v>
      </c>
      <c r="L214" s="63">
        <f t="shared" si="135"/>
        <v>0.28171958710162937</v>
      </c>
      <c r="M214" s="63">
        <f t="shared" si="135"/>
        <v>0.35930811085467829</v>
      </c>
      <c r="N214" s="63">
        <f t="shared" si="135"/>
        <v>0.34285120950091086</v>
      </c>
      <c r="O214" s="63">
        <f t="shared" si="135"/>
        <v>0.35567140614682891</v>
      </c>
      <c r="P214" s="63">
        <f t="shared" si="135"/>
        <v>0.25483759161980202</v>
      </c>
      <c r="R214" s="109"/>
      <c r="S214" s="109"/>
    </row>
    <row r="215" spans="1:19" x14ac:dyDescent="0.2">
      <c r="A215" s="68" t="s">
        <v>22</v>
      </c>
      <c r="E215" s="15">
        <v>0.33644151406699085</v>
      </c>
      <c r="F215" s="15">
        <v>0.42219049624531751</v>
      </c>
      <c r="G215" s="15">
        <v>0.5754288184151044</v>
      </c>
      <c r="H215" s="15">
        <v>0.8437621548448867</v>
      </c>
      <c r="I215" s="15">
        <v>1.5656329822571193</v>
      </c>
      <c r="J215" s="15">
        <v>2.3265970894107939</v>
      </c>
      <c r="K215" s="15">
        <v>3.1379283025653768</v>
      </c>
      <c r="L215" s="15">
        <v>4.1626955248539694</v>
      </c>
      <c r="M215" s="15">
        <v>5.8429895428159409</v>
      </c>
      <c r="N215" s="15">
        <v>8.0856033599623398</v>
      </c>
      <c r="O215" s="15">
        <v>11.274873929701242</v>
      </c>
      <c r="P215" s="15">
        <v>14.528342705552225</v>
      </c>
      <c r="R215" s="57"/>
      <c r="S215" s="57">
        <f>(P215/J215)^(1/6)-1</f>
        <v>0.35700823303079732</v>
      </c>
    </row>
    <row r="216" spans="1:19" x14ac:dyDescent="0.2">
      <c r="A216" s="62" t="s">
        <v>4</v>
      </c>
      <c r="F216" s="63">
        <f t="shared" ref="F216:P216" si="136">F215/E215-1</f>
        <v>0.25487039676457002</v>
      </c>
      <c r="G216" s="63">
        <f t="shared" si="136"/>
        <v>0.36296014129305831</v>
      </c>
      <c r="H216" s="63">
        <f t="shared" si="136"/>
        <v>0.4663189048627232</v>
      </c>
      <c r="I216" s="63">
        <f t="shared" si="136"/>
        <v>0.85553828560246092</v>
      </c>
      <c r="J216" s="63">
        <f t="shared" si="136"/>
        <v>0.48604246063890311</v>
      </c>
      <c r="K216" s="63">
        <f t="shared" si="136"/>
        <v>0.3487201186863218</v>
      </c>
      <c r="L216" s="63">
        <f t="shared" si="136"/>
        <v>0.3265744540596438</v>
      </c>
      <c r="M216" s="63">
        <f t="shared" si="136"/>
        <v>0.4036552776751352</v>
      </c>
      <c r="N216" s="63">
        <f t="shared" si="136"/>
        <v>0.38381273844717589</v>
      </c>
      <c r="O216" s="63">
        <f t="shared" si="136"/>
        <v>0.39443816716650781</v>
      </c>
      <c r="P216" s="63">
        <f t="shared" si="136"/>
        <v>0.28855921548536489</v>
      </c>
      <c r="R216" s="109"/>
      <c r="S216" s="109"/>
    </row>
    <row r="217" spans="1:19" x14ac:dyDescent="0.2">
      <c r="A217" s="77" t="s">
        <v>23</v>
      </c>
      <c r="E217" s="56">
        <f t="shared" ref="E217:P217" si="137">E215+E213+E211+E209</f>
        <v>13.416051919999997</v>
      </c>
      <c r="F217" s="56">
        <f t="shared" si="137"/>
        <v>15.599973090000008</v>
      </c>
      <c r="G217" s="56">
        <f t="shared" si="137"/>
        <v>19.809355500000009</v>
      </c>
      <c r="H217" s="56">
        <f t="shared" si="137"/>
        <v>27.190132770000037</v>
      </c>
      <c r="I217" s="56">
        <f t="shared" si="137"/>
        <v>47.422863910000103</v>
      </c>
      <c r="J217" s="56">
        <f t="shared" si="137"/>
        <v>66.482781490000193</v>
      </c>
      <c r="K217" s="56">
        <f t="shared" si="137"/>
        <v>84.865168370266545</v>
      </c>
      <c r="L217" s="56">
        <f t="shared" si="137"/>
        <v>106.86120678493451</v>
      </c>
      <c r="M217" s="56">
        <f t="shared" si="137"/>
        <v>142.74941775668978</v>
      </c>
      <c r="N217" s="56">
        <f t="shared" si="137"/>
        <v>188.43976564313186</v>
      </c>
      <c r="O217" s="56">
        <f t="shared" si="137"/>
        <v>251.20407071761548</v>
      </c>
      <c r="P217" s="56">
        <f t="shared" si="137"/>
        <v>310.0551047621376</v>
      </c>
      <c r="R217" s="57"/>
      <c r="S217" s="57">
        <f>(P217/J217)^(1/6)-1</f>
        <v>0.29257261585395211</v>
      </c>
    </row>
    <row r="218" spans="1:19" x14ac:dyDescent="0.2">
      <c r="A218" s="74" t="s">
        <v>4</v>
      </c>
      <c r="E218" s="59"/>
      <c r="F218" s="59">
        <f t="shared" ref="F218:P218" si="138">F217/E217-1</f>
        <v>0.16278419187870963</v>
      </c>
      <c r="G218" s="59">
        <f t="shared" si="138"/>
        <v>0.26983267123058852</v>
      </c>
      <c r="H218" s="59">
        <f t="shared" si="138"/>
        <v>0.37259047978618098</v>
      </c>
      <c r="I218" s="59">
        <f t="shared" si="138"/>
        <v>0.74412035097981022</v>
      </c>
      <c r="J218" s="59">
        <f t="shared" si="138"/>
        <v>0.40191409814835977</v>
      </c>
      <c r="K218" s="59">
        <f t="shared" si="138"/>
        <v>0.27649846273401302</v>
      </c>
      <c r="L218" s="59">
        <f t="shared" si="138"/>
        <v>0.25918806074477208</v>
      </c>
      <c r="M218" s="59">
        <f t="shared" si="138"/>
        <v>0.33583946926579955</v>
      </c>
      <c r="N218" s="59">
        <f t="shared" si="138"/>
        <v>0.32007379507718414</v>
      </c>
      <c r="O218" s="59">
        <f t="shared" si="138"/>
        <v>0.3330735678866581</v>
      </c>
      <c r="P218" s="59">
        <f t="shared" si="138"/>
        <v>0.23427579766682194</v>
      </c>
      <c r="R218" s="109"/>
      <c r="S218" s="109"/>
    </row>
    <row r="219" spans="1:19" x14ac:dyDescent="0.2">
      <c r="R219" s="109"/>
      <c r="S219" s="109"/>
    </row>
    <row r="220" spans="1:19" x14ac:dyDescent="0.2">
      <c r="A220" s="67" t="s">
        <v>175</v>
      </c>
      <c r="B220" s="79"/>
      <c r="G220" s="108"/>
      <c r="H220" s="108"/>
      <c r="I220" s="108"/>
      <c r="J220" s="108"/>
      <c r="R220" s="109"/>
      <c r="S220" s="109"/>
    </row>
    <row r="221" spans="1:19" x14ac:dyDescent="0.2">
      <c r="A221" s="85" t="s">
        <v>40</v>
      </c>
      <c r="B221" s="52">
        <v>2016</v>
      </c>
      <c r="C221" s="52">
        <v>2017</v>
      </c>
      <c r="D221" s="52">
        <v>2018</v>
      </c>
      <c r="E221" s="52">
        <v>2019</v>
      </c>
      <c r="F221" s="52">
        <v>2020</v>
      </c>
      <c r="G221" s="52">
        <v>2021</v>
      </c>
      <c r="H221" s="52">
        <v>2022</v>
      </c>
      <c r="I221" s="52">
        <v>2023</v>
      </c>
      <c r="J221" s="52">
        <v>2024</v>
      </c>
      <c r="K221" s="52" t="s">
        <v>42</v>
      </c>
      <c r="L221" s="52" t="s">
        <v>1</v>
      </c>
      <c r="M221" s="52" t="s">
        <v>2</v>
      </c>
      <c r="N221" s="52" t="s">
        <v>43</v>
      </c>
      <c r="O221" s="52" t="s">
        <v>44</v>
      </c>
      <c r="P221" s="52" t="s">
        <v>45</v>
      </c>
      <c r="R221" s="109"/>
      <c r="S221" s="109"/>
    </row>
    <row r="222" spans="1:19" x14ac:dyDescent="0.2">
      <c r="A222" s="32" t="s">
        <v>105</v>
      </c>
      <c r="B222" s="15">
        <v>81.621600000000001</v>
      </c>
      <c r="C222" s="15">
        <v>84.960399999999993</v>
      </c>
      <c r="D222" s="15">
        <v>90.275899999999993</v>
      </c>
      <c r="E222" s="15">
        <v>94.547499999999999</v>
      </c>
      <c r="F222" s="15">
        <v>94.320599999999999</v>
      </c>
      <c r="G222" s="15">
        <v>101.9335</v>
      </c>
      <c r="H222" s="15">
        <v>110.04639999999999</v>
      </c>
      <c r="I222" s="15">
        <v>123.83319999999999</v>
      </c>
      <c r="J222" s="15">
        <v>130.98510000000002</v>
      </c>
      <c r="K222" s="15">
        <v>137.30476502954332</v>
      </c>
      <c r="L222" s="15">
        <v>143.28968613303027</v>
      </c>
      <c r="M222" s="15">
        <v>150.59600075451544</v>
      </c>
      <c r="N222" s="15">
        <v>158.56540909092246</v>
      </c>
      <c r="O222" s="15">
        <v>167.09981402613124</v>
      </c>
      <c r="P222" s="15">
        <v>175.955218934843</v>
      </c>
      <c r="R222" s="109"/>
      <c r="S222" s="109"/>
    </row>
    <row r="223" spans="1:19" x14ac:dyDescent="0.2">
      <c r="A223" s="32" t="s">
        <v>91</v>
      </c>
      <c r="B223" s="42">
        <v>1.9000000000000059E-2</v>
      </c>
      <c r="C223" s="42">
        <v>2.9000000000000057E-2</v>
      </c>
      <c r="D223" s="42">
        <v>4.0999999999999946E-2</v>
      </c>
      <c r="E223" s="42">
        <v>2.2999999999999972E-2</v>
      </c>
      <c r="F223" s="42">
        <v>-2.5999999999999943E-2</v>
      </c>
      <c r="G223" s="42">
        <v>5.700000000000003E-2</v>
      </c>
      <c r="H223" s="42">
        <v>4.0000000000000565E-3</v>
      </c>
      <c r="I223" s="42">
        <v>2.200000000000003E-2</v>
      </c>
      <c r="J223" s="42">
        <v>2.0999999999999942E-2</v>
      </c>
      <c r="K223" s="42">
        <v>1.0375443267319484E-2</v>
      </c>
      <c r="L223" s="42">
        <v>1.2606470162374164E-2</v>
      </c>
      <c r="M223" s="42">
        <v>1.9787967419263867E-2</v>
      </c>
      <c r="N223" s="42">
        <v>2.1659998094742516E-2</v>
      </c>
      <c r="O223" s="42">
        <v>2.2536666666666667E-2</v>
      </c>
      <c r="P223" s="42">
        <v>2.1733333333333334E-2</v>
      </c>
      <c r="R223" s="109"/>
      <c r="S223" s="109"/>
    </row>
    <row r="224" spans="1:19" x14ac:dyDescent="0.2">
      <c r="A224" s="32" t="s">
        <v>92</v>
      </c>
      <c r="B224" s="15">
        <v>15016.825985039035</v>
      </c>
      <c r="C224" s="15">
        <v>15608.768500418882</v>
      </c>
      <c r="D224" s="15">
        <v>16563.105859162075</v>
      </c>
      <c r="E224" s="15">
        <v>17323.140351561869</v>
      </c>
      <c r="F224" s="15">
        <v>17308.850543283788</v>
      </c>
      <c r="G224" s="15">
        <v>18756.007678051759</v>
      </c>
      <c r="H224" s="15">
        <v>20270.88162523081</v>
      </c>
      <c r="I224" s="15">
        <v>22827.713377748805</v>
      </c>
      <c r="J224" s="15">
        <v>24169.601331509039</v>
      </c>
      <c r="K224" s="15">
        <v>25361.205177947395</v>
      </c>
      <c r="L224" s="15">
        <v>26513.824480303741</v>
      </c>
      <c r="M224" s="15">
        <v>27905.505915002999</v>
      </c>
      <c r="N224" s="15">
        <v>29432.105291474272</v>
      </c>
      <c r="O224" s="15">
        <v>31077.584923370276</v>
      </c>
      <c r="P224" s="15">
        <v>32798.473392241613</v>
      </c>
      <c r="R224" s="109"/>
      <c r="S224" s="109"/>
    </row>
    <row r="225" spans="1:19" x14ac:dyDescent="0.2">
      <c r="A225" s="32" t="s">
        <v>93</v>
      </c>
      <c r="B225" s="42">
        <v>3.7000000000000026E-2</v>
      </c>
      <c r="C225" s="42">
        <v>6.2000000000000027E-2</v>
      </c>
      <c r="D225" s="42">
        <v>4.0999999999999946E-2</v>
      </c>
      <c r="E225" s="42">
        <v>2.9000000000000057E-2</v>
      </c>
      <c r="F225" s="42">
        <v>7.0000000000000288E-3</v>
      </c>
      <c r="G225" s="42">
        <v>2.9000000000000057E-2</v>
      </c>
      <c r="H225" s="42">
        <v>0.05</v>
      </c>
      <c r="I225" s="42">
        <v>-3.4000000000000058E-2</v>
      </c>
      <c r="J225" s="42">
        <v>0.03</v>
      </c>
      <c r="K225" s="42">
        <v>1.0726054321364933E-2</v>
      </c>
      <c r="L225" s="42">
        <v>8.2376597516446454E-3</v>
      </c>
      <c r="M225" s="42">
        <v>1.5580638521271173E-2</v>
      </c>
      <c r="N225" s="42">
        <v>1.618571039588922E-2</v>
      </c>
      <c r="O225" s="42">
        <v>2.233333333333333E-2</v>
      </c>
      <c r="P225" s="42">
        <v>2.3E-2</v>
      </c>
      <c r="R225" s="109"/>
      <c r="S225" s="109"/>
    </row>
    <row r="226" spans="1:19" x14ac:dyDescent="0.2">
      <c r="A226" s="32" t="s">
        <v>94</v>
      </c>
      <c r="B226" s="42">
        <v>-9.2000000000000026E-2</v>
      </c>
      <c r="C226" s="42">
        <v>9.9999999999994321E-4</v>
      </c>
      <c r="D226" s="42">
        <v>3.4000000000000058E-2</v>
      </c>
      <c r="E226" s="42">
        <v>0.05</v>
      </c>
      <c r="F226" s="42">
        <v>-9.5999999999999946E-2</v>
      </c>
      <c r="G226" s="42">
        <v>5.0999999999999941E-2</v>
      </c>
      <c r="H226" s="42">
        <v>4.2999999999999969E-2</v>
      </c>
      <c r="I226" s="42">
        <v>0.04</v>
      </c>
      <c r="J226" s="42">
        <v>1.7999999999999971E-2</v>
      </c>
      <c r="K226" s="42">
        <v>7.5840837831381369E-3</v>
      </c>
      <c r="L226" s="42">
        <v>2.2696233802387288E-2</v>
      </c>
      <c r="M226" s="42">
        <v>-8.7450863351936844E-3</v>
      </c>
      <c r="N226" s="42">
        <v>2.8381441526344749E-2</v>
      </c>
      <c r="O226" s="42">
        <v>3.5999999999999997E-2</v>
      </c>
      <c r="P226" s="42">
        <v>2.8999999999999998E-2</v>
      </c>
    </row>
    <row r="227" spans="1:19" x14ac:dyDescent="0.2">
      <c r="A227" s="32" t="s">
        <v>95</v>
      </c>
      <c r="B227" s="42">
        <v>-2.5935423999999999E-2</v>
      </c>
      <c r="C227" s="42">
        <v>-9.846591E-3</v>
      </c>
      <c r="D227" s="42">
        <v>-1.0059944000000001E-2</v>
      </c>
      <c r="E227" s="42">
        <v>-1.206E-2</v>
      </c>
      <c r="F227" s="42">
        <v>-5.2999999999999992E-2</v>
      </c>
      <c r="G227" s="42">
        <v>-4.0949999999999986E-2</v>
      </c>
      <c r="H227" s="42">
        <v>-6.2799999999999922E-3</v>
      </c>
      <c r="I227" s="42">
        <v>-4.8550000000000003E-2</v>
      </c>
      <c r="J227" s="42">
        <v>-5.8349999999999999E-2</v>
      </c>
      <c r="K227" s="42">
        <v>-5.3966754677956183E-2</v>
      </c>
      <c r="L227" s="42">
        <v>-5.131084296933662E-2</v>
      </c>
      <c r="M227" s="42">
        <v>-4.9065635538767437E-2</v>
      </c>
      <c r="N227" s="42">
        <v>-4.7580635538767437E-2</v>
      </c>
      <c r="O227" s="42">
        <v>-4.7035635538767447E-2</v>
      </c>
      <c r="P227" s="42">
        <v>-4.7765635538767441E-2</v>
      </c>
    </row>
    <row r="228" spans="1:19" x14ac:dyDescent="0.2">
      <c r="A228" s="32" t="s">
        <v>96</v>
      </c>
      <c r="B228" s="42">
        <v>0.52135599999999993</v>
      </c>
      <c r="C228" s="42">
        <v>0.51381500000000002</v>
      </c>
      <c r="D228" s="42">
        <v>0.492703</v>
      </c>
      <c r="E228" s="42">
        <v>0.48009599999999997</v>
      </c>
      <c r="F228" s="42">
        <v>0.58408099999999996</v>
      </c>
      <c r="G228" s="42">
        <v>0.60060999999999998</v>
      </c>
      <c r="H228" s="42">
        <v>0.57570999999999994</v>
      </c>
      <c r="I228" s="42">
        <v>0.55996999999999997</v>
      </c>
      <c r="J228" s="42">
        <v>0.58017000000000007</v>
      </c>
      <c r="K228" s="42">
        <v>0.59936641210555797</v>
      </c>
      <c r="L228" s="42">
        <v>0.62027373707836697</v>
      </c>
      <c r="M228" s="42">
        <v>0.63926944850148393</v>
      </c>
      <c r="N228" s="42">
        <v>0.67118944850148377</v>
      </c>
      <c r="O228" s="42">
        <v>0.70338944850148399</v>
      </c>
      <c r="P228" s="42">
        <v>0.73584944850148393</v>
      </c>
    </row>
    <row r="229" spans="1:19" x14ac:dyDescent="0.2">
      <c r="A229" s="32" t="s">
        <v>97</v>
      </c>
      <c r="B229" s="42">
        <v>-2.2943999999999996E-2</v>
      </c>
      <c r="C229" s="42">
        <v>-1.0428999999999996E-2</v>
      </c>
      <c r="D229" s="42">
        <v>-1.6685999999999996E-2</v>
      </c>
      <c r="E229" s="42">
        <v>-1.7982999999999996E-2</v>
      </c>
      <c r="F229" s="42">
        <v>-4.3763999999999997E-2</v>
      </c>
      <c r="G229" s="42">
        <v>-2.4889999999999989E-2</v>
      </c>
      <c r="H229" s="42">
        <v>-1.0079999999999992E-2</v>
      </c>
      <c r="I229" s="42">
        <v>-3.2239999999999991E-2</v>
      </c>
      <c r="J229" s="42">
        <v>-4.9849999999999992E-2</v>
      </c>
      <c r="K229" s="42">
        <v>-4.1876999999999984E-2</v>
      </c>
      <c r="L229" s="42">
        <v>-4.5485499999999984E-2</v>
      </c>
      <c r="M229" s="42">
        <v>-4.6065499999999988E-2</v>
      </c>
      <c r="N229" s="42">
        <v>-5.6355499999999982E-2</v>
      </c>
      <c r="O229" s="42">
        <v>-5.8735499999999989E-2</v>
      </c>
      <c r="P229" s="42">
        <v>-5.9675499999999986E-2</v>
      </c>
    </row>
    <row r="230" spans="1:19" x14ac:dyDescent="0.2">
      <c r="A230" s="32" t="s">
        <v>98</v>
      </c>
      <c r="B230" s="42">
        <v>-5.0000000000000001E-3</v>
      </c>
      <c r="C230" s="42">
        <v>1.2999999999999972E-2</v>
      </c>
      <c r="D230" s="42">
        <v>2.5000000000000001E-2</v>
      </c>
      <c r="E230" s="42">
        <v>2.7000000000000027E-2</v>
      </c>
      <c r="F230" s="42">
        <v>1.9000000000000059E-2</v>
      </c>
      <c r="G230" s="42">
        <v>3.2000000000000001E-2</v>
      </c>
      <c r="H230" s="42">
        <v>0.128</v>
      </c>
      <c r="I230" s="42">
        <v>0.105</v>
      </c>
      <c r="J230" s="42">
        <v>2.7999999999999997E-2</v>
      </c>
      <c r="K230" s="42">
        <v>3.9632495916582237E-2</v>
      </c>
      <c r="L230" s="42">
        <v>3.347448318128101E-2</v>
      </c>
      <c r="M230" s="42">
        <v>2.7043210076040616E-2</v>
      </c>
      <c r="N230" s="42">
        <v>2.1027018549759996E-2</v>
      </c>
      <c r="O230" s="42">
        <v>2.1000000000000001E-2</v>
      </c>
      <c r="P230" s="42">
        <v>2.0390000000000002E-2</v>
      </c>
    </row>
    <row r="231" spans="1:19" x14ac:dyDescent="0.2">
      <c r="A231" s="32" t="s">
        <v>99</v>
      </c>
      <c r="B231" s="10">
        <v>912</v>
      </c>
      <c r="C231" s="10">
        <v>954</v>
      </c>
      <c r="D231" s="10">
        <v>1013</v>
      </c>
      <c r="E231" s="10">
        <v>1092</v>
      </c>
      <c r="F231" s="10">
        <v>1133</v>
      </c>
      <c r="G231" s="10">
        <v>1211</v>
      </c>
      <c r="H231" s="10">
        <v>1304</v>
      </c>
      <c r="I231" s="10">
        <v>1430</v>
      </c>
      <c r="J231" s="10">
        <v>1524</v>
      </c>
      <c r="K231" s="10">
        <v>1614.5958830668608</v>
      </c>
      <c r="L231" s="10">
        <v>1695.3044514474739</v>
      </c>
      <c r="M231" s="10">
        <v>1774.6416450631882</v>
      </c>
      <c r="N231" s="10">
        <v>1850.5367117093199</v>
      </c>
      <c r="O231" s="10">
        <v>1929.2330033342382</v>
      </c>
      <c r="P231" s="10">
        <v>2010.9255487059311</v>
      </c>
    </row>
    <row r="232" spans="1:19" x14ac:dyDescent="0.2">
      <c r="A232" s="32" t="s">
        <v>100</v>
      </c>
      <c r="B232" s="42">
        <v>3.2842582106455298E-2</v>
      </c>
      <c r="C232" s="42">
        <v>4.6052631578947345E-2</v>
      </c>
      <c r="D232" s="42">
        <v>6.1844863731656208E-2</v>
      </c>
      <c r="E232" s="42">
        <v>7.7986179664363275E-2</v>
      </c>
      <c r="F232" s="42">
        <v>3.7545787545787634E-2</v>
      </c>
      <c r="G232" s="42">
        <v>6.884377758164173E-2</v>
      </c>
      <c r="H232" s="42">
        <v>7.6796036333608653E-2</v>
      </c>
      <c r="I232" s="42">
        <v>9.6625766871165641E-2</v>
      </c>
      <c r="J232" s="42">
        <v>6.5734265734265662E-2</v>
      </c>
      <c r="K232" s="42">
        <v>5.9446117497940244E-2</v>
      </c>
      <c r="L232" s="42">
        <v>4.9986853817136079E-2</v>
      </c>
      <c r="M232" s="42">
        <v>4.6798198133659895E-2</v>
      </c>
      <c r="N232" s="42">
        <v>4.2766418142649476E-2</v>
      </c>
      <c r="O232" s="42">
        <v>4.252619854929951E-2</v>
      </c>
      <c r="P232" s="42">
        <v>4.2344571770494221E-2</v>
      </c>
    </row>
    <row r="233" spans="1:19" x14ac:dyDescent="0.2">
      <c r="A233" s="32" t="s">
        <v>101</v>
      </c>
      <c r="B233" s="42">
        <v>3.8032745835633541E-2</v>
      </c>
      <c r="C233" s="42">
        <v>3.2628461578427803E-2</v>
      </c>
      <c r="D233" s="42">
        <v>3.5946208518689016E-2</v>
      </c>
      <c r="E233" s="42">
        <v>4.9645744561210403E-2</v>
      </c>
      <c r="F233" s="42">
        <v>1.8199987778005466E-2</v>
      </c>
      <c r="G233" s="42">
        <v>3.5701334865931855E-2</v>
      </c>
      <c r="H233" s="42">
        <v>-4.5393584810630716E-2</v>
      </c>
      <c r="I233" s="42">
        <v>-7.5784915193071178E-3</v>
      </c>
      <c r="J233" s="42">
        <v>3.6706484177301268E-2</v>
      </c>
      <c r="K233" s="42">
        <v>1.9058293829002926E-2</v>
      </c>
      <c r="L233" s="42">
        <v>1.5977531041720727E-2</v>
      </c>
      <c r="M233" s="42">
        <v>1.9234816864381443E-2</v>
      </c>
      <c r="N233" s="42">
        <v>2.129169865041125E-2</v>
      </c>
      <c r="O233" s="42">
        <v>2.1083446179529508E-2</v>
      </c>
      <c r="P233" s="42">
        <v>2.1515863317451499E-2</v>
      </c>
    </row>
    <row r="234" spans="1:19" x14ac:dyDescent="0.2">
      <c r="A234" s="32" t="s">
        <v>102</v>
      </c>
      <c r="B234" s="42">
        <v>3.3847007116817096E-2</v>
      </c>
      <c r="C234" s="42">
        <v>3.6013010054848582E-2</v>
      </c>
      <c r="D234" s="42">
        <v>7.5314408303188918E-2</v>
      </c>
      <c r="E234" s="42">
        <v>2.2633642716025859E-2</v>
      </c>
      <c r="F234" s="42">
        <v>2.5095430951615816E-2</v>
      </c>
      <c r="G234" s="42">
        <v>2.4226336999999987E-2</v>
      </c>
      <c r="H234" s="42">
        <v>-1.410096331080779E-2</v>
      </c>
      <c r="I234" s="42">
        <v>-1.4670257733863989E-2</v>
      </c>
      <c r="J234" s="42">
        <v>1.395330653652449E-2</v>
      </c>
      <c r="K234" s="42">
        <v>1.6130029479187513E-2</v>
      </c>
      <c r="L234" s="42">
        <v>1.9072304862307154E-2</v>
      </c>
      <c r="M234" s="42">
        <v>2.1982243441273752E-2</v>
      </c>
      <c r="N234" s="42">
        <v>2.205827770739921E-2</v>
      </c>
      <c r="O234" s="42">
        <v>2.0379847263134243E-2</v>
      </c>
      <c r="P234" s="42">
        <v>2.0417034377640642E-2</v>
      </c>
    </row>
    <row r="235" spans="1:19" x14ac:dyDescent="0.2">
      <c r="A235" s="32" t="s">
        <v>103</v>
      </c>
      <c r="B235" s="42">
        <v>9.7000000000000017E-2</v>
      </c>
      <c r="C235" s="42">
        <v>8.1000000000000003E-2</v>
      </c>
      <c r="D235" s="42">
        <v>6.6000000000000003E-2</v>
      </c>
      <c r="E235" s="42">
        <v>5.7999999999999996E-2</v>
      </c>
      <c r="F235" s="42">
        <v>6.7000000000000004E-2</v>
      </c>
      <c r="G235" s="42">
        <v>6.8000000000000005E-2</v>
      </c>
      <c r="H235" s="42">
        <v>6.0999999999999999E-2</v>
      </c>
      <c r="I235" s="42">
        <v>5.7999999999999996E-2</v>
      </c>
      <c r="J235" s="42">
        <v>5.2999999999999999E-2</v>
      </c>
      <c r="K235" s="42">
        <v>5.3775398352154884E-2</v>
      </c>
      <c r="L235" s="42">
        <v>5.4877095069768983E-2</v>
      </c>
      <c r="M235" s="42">
        <v>5.5490748536639163E-2</v>
      </c>
      <c r="N235" s="42">
        <v>5.4007404782086842E-2</v>
      </c>
      <c r="O235" s="42">
        <v>5.3651655966899428E-2</v>
      </c>
      <c r="P235" s="42">
        <v>5.3429720707966588E-2</v>
      </c>
    </row>
    <row r="236" spans="1:19" x14ac:dyDescent="0.2">
      <c r="A236" s="32" t="s">
        <v>104</v>
      </c>
      <c r="B236" s="15">
        <v>5435.3429999999998</v>
      </c>
      <c r="C236" s="15">
        <v>5443.1199999999981</v>
      </c>
      <c r="D236" s="15">
        <v>5450.4209999999985</v>
      </c>
      <c r="E236" s="15">
        <v>5457.8729999999978</v>
      </c>
      <c r="F236" s="15">
        <v>5449.2699999999977</v>
      </c>
      <c r="G236" s="15">
        <v>5434.7119999999977</v>
      </c>
      <c r="H236" s="15">
        <v>5428.7919999999986</v>
      </c>
      <c r="I236" s="15">
        <v>5424.6869999999981</v>
      </c>
      <c r="J236" s="15">
        <v>5419.4149999999981</v>
      </c>
      <c r="K236" s="15">
        <v>5413.968463491452</v>
      </c>
      <c r="L236" s="15">
        <v>5404.3386399979945</v>
      </c>
      <c r="M236" s="15">
        <v>5396.6411221216977</v>
      </c>
      <c r="N236" s="15">
        <v>5387.4980236923384</v>
      </c>
      <c r="O236" s="15">
        <v>5376.8597025205954</v>
      </c>
      <c r="P236" s="15">
        <v>5364.7380727319069</v>
      </c>
    </row>
    <row r="237" spans="1:19" x14ac:dyDescent="0.2">
      <c r="A237" s="32" t="s">
        <v>106</v>
      </c>
      <c r="B237" s="15">
        <v>1.4875415468272242</v>
      </c>
      <c r="C237" s="15">
        <v>0.64432867396951865</v>
      </c>
      <c r="D237" s="15">
        <v>1.1958917187451419</v>
      </c>
      <c r="E237" s="15">
        <v>1.0285946752549178</v>
      </c>
      <c r="F237" s="15">
        <v>1.0474824401909113</v>
      </c>
      <c r="G237" s="15">
        <v>1.264065012184773</v>
      </c>
      <c r="H237" s="15">
        <v>1.6214131200050317</v>
      </c>
      <c r="I237" s="15">
        <v>5.5348592426548269</v>
      </c>
      <c r="J237" s="15">
        <v>2.8231361531927037</v>
      </c>
      <c r="K237" s="15">
        <v>6.8513679922409736</v>
      </c>
      <c r="L237" s="15">
        <v>6.5469975552012283</v>
      </c>
      <c r="M237" s="15">
        <v>1.6902009738702881</v>
      </c>
      <c r="N237" s="15">
        <v>1.4945488667816897</v>
      </c>
      <c r="O237" s="15">
        <v>2.7164506566825226</v>
      </c>
      <c r="P237" s="15">
        <v>3.3069989060934666</v>
      </c>
    </row>
    <row r="238" spans="1:19" x14ac:dyDescent="0.2">
      <c r="A238" s="32" t="s">
        <v>107</v>
      </c>
      <c r="B238" s="42">
        <v>1.822485159353926E-2</v>
      </c>
      <c r="C238" s="42">
        <v>7.5838705322658403E-3</v>
      </c>
      <c r="D238" s="42">
        <v>1.3247076116052478E-2</v>
      </c>
      <c r="E238" s="42">
        <v>1.087913139168056E-2</v>
      </c>
      <c r="F238" s="42">
        <v>1.1105553189768845E-2</v>
      </c>
      <c r="G238" s="42">
        <v>1.2400879123985471E-2</v>
      </c>
      <c r="H238" s="42">
        <v>1.4733904244073698E-2</v>
      </c>
      <c r="I238" s="42">
        <v>4.469608507778873E-2</v>
      </c>
      <c r="J238" s="42">
        <v>2.1553109118462355E-2</v>
      </c>
      <c r="K238" s="42">
        <v>4.9898981952787962E-2</v>
      </c>
      <c r="L238" s="42">
        <v>4.5690640630777782E-2</v>
      </c>
      <c r="M238" s="42">
        <v>1.1223412078687683E-2</v>
      </c>
      <c r="N238" s="42">
        <v>9.4254407398823379E-3</v>
      </c>
      <c r="O238" s="42">
        <v>1.6256455295980889E-2</v>
      </c>
      <c r="P238" s="42">
        <v>1.8794548556801051E-2</v>
      </c>
    </row>
    <row r="239" spans="1:19" x14ac:dyDescent="0.2">
      <c r="A239" s="32" t="s">
        <v>108</v>
      </c>
      <c r="B239" s="39">
        <v>446.28</v>
      </c>
      <c r="C239" s="39">
        <v>471.69099999999992</v>
      </c>
      <c r="D239" s="39">
        <v>493.63599999999997</v>
      </c>
      <c r="E239" s="39">
        <v>512.08199999999999</v>
      </c>
      <c r="F239" s="39">
        <v>518.49699999999996</v>
      </c>
      <c r="G239" s="39">
        <v>536.2964999996999</v>
      </c>
      <c r="H239" s="39">
        <v>574.34432936550002</v>
      </c>
      <c r="I239" s="39">
        <v>597.05598525340008</v>
      </c>
      <c r="J239" s="39">
        <v>602.93097229336888</v>
      </c>
      <c r="K239" s="39">
        <v>612.53091678568933</v>
      </c>
      <c r="L239" s="39">
        <v>624.130655616019</v>
      </c>
      <c r="M239" s="39">
        <v>635.23894544863822</v>
      </c>
      <c r="N239" s="39">
        <v>649.41104278650243</v>
      </c>
      <c r="O239" s="39">
        <v>663.33046176423511</v>
      </c>
      <c r="P239" s="39">
        <v>676.33148939120917</v>
      </c>
    </row>
    <row r="240" spans="1:19" x14ac:dyDescent="0.2">
      <c r="A240" s="32" t="s">
        <v>109</v>
      </c>
      <c r="B240" s="42">
        <v>3.9010625715908853E-2</v>
      </c>
      <c r="C240" s="42">
        <v>5.6939589495383913E-2</v>
      </c>
      <c r="D240" s="42">
        <v>4.6524101583451882E-2</v>
      </c>
      <c r="E240" s="42">
        <v>3.7367615003768062E-2</v>
      </c>
      <c r="F240" s="42">
        <v>1.2527290551122672E-2</v>
      </c>
      <c r="G240" s="42">
        <v>3.432903179709812E-2</v>
      </c>
      <c r="H240" s="42">
        <v>7.0945511234590253E-2</v>
      </c>
      <c r="I240" s="42">
        <v>3.9543623444477038E-2</v>
      </c>
      <c r="J240" s="42">
        <v>9.8399265480528797E-3</v>
      </c>
      <c r="K240" s="42">
        <v>1.5922128624119347E-2</v>
      </c>
      <c r="L240" s="42">
        <v>1.8937393219595089E-2</v>
      </c>
      <c r="M240" s="42">
        <v>1.7798019906032581E-2</v>
      </c>
      <c r="N240" s="42">
        <v>2.2309868498152641E-2</v>
      </c>
      <c r="O240" s="42">
        <v>2.1433911745644352E-2</v>
      </c>
      <c r="P240" s="42">
        <v>1.9599623982887282E-2</v>
      </c>
    </row>
    <row r="241" spans="1:16" x14ac:dyDescent="0.2">
      <c r="A241" s="32" t="s">
        <v>110</v>
      </c>
      <c r="B241" s="139">
        <v>0.10000000000000002</v>
      </c>
      <c r="C241" s="139">
        <v>0.10000000000000002</v>
      </c>
      <c r="D241" s="139">
        <v>0.11799999999999999</v>
      </c>
      <c r="E241" s="139">
        <v>0.129</v>
      </c>
      <c r="F241" s="139">
        <v>0.13100000000000001</v>
      </c>
      <c r="G241" s="139">
        <v>0.13624665</v>
      </c>
      <c r="H241" s="139">
        <v>0.23542901699999993</v>
      </c>
      <c r="I241" s="139">
        <v>0.26035353299999997</v>
      </c>
      <c r="J241" s="139">
        <v>0.19202423299999988</v>
      </c>
      <c r="K241" s="139">
        <v>0.1915166977927214</v>
      </c>
      <c r="L241" s="139">
        <v>0.18529347897121681</v>
      </c>
      <c r="M241" s="139">
        <v>0.18716734606780339</v>
      </c>
      <c r="N241" s="139">
        <v>0.19019117873730526</v>
      </c>
      <c r="O241" s="139">
        <v>0.1950228324980153</v>
      </c>
      <c r="P241" s="139">
        <v>0.19962303770227696</v>
      </c>
    </row>
    <row r="242" spans="1:16" x14ac:dyDescent="0.2">
      <c r="A242" s="32" t="s">
        <v>111</v>
      </c>
      <c r="B242" s="42">
        <v>-0.10136888746961081</v>
      </c>
      <c r="C242" s="42">
        <v>0</v>
      </c>
      <c r="D242" s="42">
        <v>0.17999999999999972</v>
      </c>
      <c r="E242" s="42">
        <v>9.3220338983051043E-2</v>
      </c>
      <c r="F242" s="42">
        <v>1.5503875968992276E-2</v>
      </c>
      <c r="G242" s="42">
        <v>4.0050763358778552E-2</v>
      </c>
      <c r="H242" s="42">
        <v>0.72796187649384358</v>
      </c>
      <c r="I242" s="42">
        <v>0.10586849623553429</v>
      </c>
      <c r="J242" s="42">
        <v>-0.26244813816296508</v>
      </c>
      <c r="K242" s="42">
        <v>-2.6430789455541559E-3</v>
      </c>
      <c r="L242" s="42">
        <v>-3.2494392881815326E-2</v>
      </c>
      <c r="M242" s="42">
        <v>1.0112968394735855E-2</v>
      </c>
      <c r="N242" s="42">
        <v>1.6155770400283709E-2</v>
      </c>
      <c r="O242" s="42">
        <v>2.5404194835889848E-2</v>
      </c>
      <c r="P242" s="42">
        <v>2.3588034002677505E-2</v>
      </c>
    </row>
    <row r="244" spans="1:16" x14ac:dyDescent="0.2">
      <c r="A244" s="86" t="s">
        <v>77</v>
      </c>
    </row>
    <row r="245" spans="1:16" x14ac:dyDescent="0.2">
      <c r="A245" s="86" t="s">
        <v>41</v>
      </c>
    </row>
    <row r="246" spans="1:16" x14ac:dyDescent="0.2">
      <c r="A246" s="86" t="s">
        <v>81</v>
      </c>
    </row>
  </sheetData>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2D682-1B11-461D-8A02-FDA487D9BBB4}">
  <sheetPr>
    <tabColor rgb="FFFF2D9B"/>
  </sheetPr>
  <dimension ref="A1:U246"/>
  <sheetViews>
    <sheetView zoomScale="85" zoomScaleNormal="85" workbookViewId="0">
      <pane ySplit="1" topLeftCell="A196" activePane="bottomLeft" state="frozen"/>
      <selection pane="bottomLeft" activeCell="J138" sqref="J138"/>
    </sheetView>
  </sheetViews>
  <sheetFormatPr defaultColWidth="8.875" defaultRowHeight="15" x14ac:dyDescent="0.2"/>
  <cols>
    <col min="1" max="1" width="68.47265625" style="47" bestFit="1" customWidth="1"/>
    <col min="2" max="16" width="13.046875" style="47" customWidth="1"/>
    <col min="17" max="17" width="8.875" style="47"/>
    <col min="18" max="19" width="24.48046875" style="47" customWidth="1"/>
    <col min="20" max="16384" width="8.875" style="47"/>
  </cols>
  <sheetData>
    <row r="1" spans="1:21" s="48" customFormat="1" ht="24" customHeight="1" x14ac:dyDescent="0.2">
      <c r="A1" s="51" t="s">
        <v>0</v>
      </c>
      <c r="B1" s="52">
        <v>2016</v>
      </c>
      <c r="C1" s="52">
        <v>2017</v>
      </c>
      <c r="D1" s="52">
        <v>2018</v>
      </c>
      <c r="E1" s="52">
        <v>2019</v>
      </c>
      <c r="F1" s="52">
        <v>2020</v>
      </c>
      <c r="G1" s="52">
        <v>2021</v>
      </c>
      <c r="H1" s="52">
        <v>2022</v>
      </c>
      <c r="I1" s="52">
        <v>2023</v>
      </c>
      <c r="J1" s="52">
        <v>2024</v>
      </c>
      <c r="K1" s="52" t="s">
        <v>42</v>
      </c>
      <c r="L1" s="52" t="s">
        <v>1</v>
      </c>
      <c r="M1" s="52" t="s">
        <v>2</v>
      </c>
      <c r="N1" s="52" t="s">
        <v>43</v>
      </c>
      <c r="O1" s="52" t="s">
        <v>44</v>
      </c>
      <c r="P1" s="52" t="s">
        <v>45</v>
      </c>
      <c r="Q1" s="52"/>
      <c r="R1" s="53" t="s">
        <v>78</v>
      </c>
      <c r="S1" s="53" t="s">
        <v>79</v>
      </c>
      <c r="T1" s="54"/>
      <c r="U1" s="54"/>
    </row>
    <row r="2" spans="1:21" s="49" customFormat="1" x14ac:dyDescent="0.2">
      <c r="A2" s="55" t="s">
        <v>3</v>
      </c>
      <c r="B2" s="56">
        <f t="shared" ref="B2:P2" si="0">B4+B6+B8</f>
        <v>1100.4030477170002</v>
      </c>
      <c r="C2" s="56">
        <f t="shared" si="0"/>
        <v>1138.8681657120001</v>
      </c>
      <c r="D2" s="56">
        <f t="shared" si="0"/>
        <v>1185.1421368890001</v>
      </c>
      <c r="E2" s="56">
        <f t="shared" si="0"/>
        <v>1280.645860844</v>
      </c>
      <c r="F2" s="56">
        <f t="shared" si="0"/>
        <v>1293.741818041</v>
      </c>
      <c r="G2" s="56">
        <f t="shared" si="0"/>
        <v>1417.5587640949998</v>
      </c>
      <c r="H2" s="56">
        <f t="shared" si="0"/>
        <v>1510.6001287749996</v>
      </c>
      <c r="I2" s="56">
        <f t="shared" si="0"/>
        <v>1635.2047451230001</v>
      </c>
      <c r="J2" s="56">
        <f t="shared" si="0"/>
        <v>1783.7083023299999</v>
      </c>
      <c r="K2" s="56">
        <f t="shared" si="0"/>
        <v>1889.7115430179069</v>
      </c>
      <c r="L2" s="56">
        <f t="shared" si="0"/>
        <v>1979.0124440564118</v>
      </c>
      <c r="M2" s="56">
        <f t="shared" si="0"/>
        <v>2074.6108064494547</v>
      </c>
      <c r="N2" s="56">
        <f t="shared" si="0"/>
        <v>2179.8807954017398</v>
      </c>
      <c r="O2" s="56">
        <f t="shared" si="0"/>
        <v>2302.1052668337461</v>
      </c>
      <c r="P2" s="56">
        <f t="shared" si="0"/>
        <v>2418.4563118338274</v>
      </c>
      <c r="R2" s="57">
        <f>(J2/D2)^(1/6)-1</f>
        <v>7.05137068955346E-2</v>
      </c>
      <c r="S2" s="57">
        <f>(P2/J2)^(1/6)-1</f>
        <v>5.2048436937895959E-2</v>
      </c>
    </row>
    <row r="3" spans="1:21" s="49" customFormat="1" x14ac:dyDescent="0.2">
      <c r="A3" s="58" t="s">
        <v>4</v>
      </c>
      <c r="B3" s="59"/>
      <c r="C3" s="59">
        <f t="shared" ref="C3:P3" si="1">C2/B2-1</f>
        <v>3.4955481152840528E-2</v>
      </c>
      <c r="D3" s="59">
        <f t="shared" si="1"/>
        <v>4.0631543290237104E-2</v>
      </c>
      <c r="E3" s="59">
        <f t="shared" si="1"/>
        <v>8.0584194066120496E-2</v>
      </c>
      <c r="F3" s="59">
        <f t="shared" si="1"/>
        <v>1.0226056708893205E-2</v>
      </c>
      <c r="G3" s="59">
        <f t="shared" si="1"/>
        <v>9.5704524911689903E-2</v>
      </c>
      <c r="H3" s="59">
        <f t="shared" si="1"/>
        <v>6.5634926069113808E-2</v>
      </c>
      <c r="I3" s="59">
        <f t="shared" si="1"/>
        <v>8.2486830216972784E-2</v>
      </c>
      <c r="J3" s="59">
        <f t="shared" si="1"/>
        <v>9.0816491115202513E-2</v>
      </c>
      <c r="K3" s="59">
        <f t="shared" si="1"/>
        <v>5.9428573915050187E-2</v>
      </c>
      <c r="L3" s="59">
        <f t="shared" si="1"/>
        <v>4.7256366384834436E-2</v>
      </c>
      <c r="M3" s="59">
        <f t="shared" si="1"/>
        <v>4.8306094628234542E-2</v>
      </c>
      <c r="N3" s="59">
        <f t="shared" si="1"/>
        <v>5.0742042133891552E-2</v>
      </c>
      <c r="O3" s="59">
        <f t="shared" si="1"/>
        <v>5.606933722698404E-2</v>
      </c>
      <c r="P3" s="59">
        <f t="shared" si="1"/>
        <v>5.0541148867665475E-2</v>
      </c>
      <c r="R3" s="60"/>
      <c r="S3" s="60"/>
    </row>
    <row r="4" spans="1:21" s="50" customFormat="1" x14ac:dyDescent="0.2">
      <c r="A4" s="61" t="s">
        <v>5</v>
      </c>
      <c r="B4" s="43">
        <v>197.48829789999999</v>
      </c>
      <c r="C4" s="43">
        <v>206.56746959999998</v>
      </c>
      <c r="D4" s="43">
        <v>215.43609839999999</v>
      </c>
      <c r="E4" s="43">
        <v>230.18975930093416</v>
      </c>
      <c r="F4" s="43">
        <v>235.65059396372149</v>
      </c>
      <c r="G4" s="43">
        <v>256.43590509351054</v>
      </c>
      <c r="H4" s="43">
        <v>274.82417358288552</v>
      </c>
      <c r="I4" s="43">
        <v>302.63090380347296</v>
      </c>
      <c r="J4" s="43">
        <v>335.24136286805754</v>
      </c>
      <c r="K4" s="43">
        <v>362.27823819577804</v>
      </c>
      <c r="L4" s="43">
        <v>384.68616696035411</v>
      </c>
      <c r="M4" s="43">
        <v>411.12872092048531</v>
      </c>
      <c r="N4" s="43">
        <v>441.74087397867493</v>
      </c>
      <c r="O4" s="43">
        <v>479.27328551483129</v>
      </c>
      <c r="P4" s="43">
        <v>515.23302094515861</v>
      </c>
      <c r="R4" s="57">
        <f>(J4/D4)^(1/6)-1</f>
        <v>7.6481375493656634E-2</v>
      </c>
      <c r="S4" s="57">
        <f>(P4/J4)^(1/6)-1</f>
        <v>7.4255737508494457E-2</v>
      </c>
    </row>
    <row r="5" spans="1:21" s="50" customFormat="1" x14ac:dyDescent="0.2">
      <c r="A5" s="62" t="s">
        <v>4</v>
      </c>
      <c r="B5" s="63"/>
      <c r="C5" s="63">
        <f t="shared" ref="C5:P5" si="2">C4/B4-1</f>
        <v>4.5973213585532635E-2</v>
      </c>
      <c r="D5" s="63">
        <f t="shared" si="2"/>
        <v>4.2933327387769893E-2</v>
      </c>
      <c r="E5" s="63">
        <f t="shared" si="2"/>
        <v>6.8482770577942054E-2</v>
      </c>
      <c r="F5" s="63">
        <f t="shared" si="2"/>
        <v>2.3723186814962549E-2</v>
      </c>
      <c r="G5" s="63">
        <f t="shared" si="2"/>
        <v>8.8203941183313761E-2</v>
      </c>
      <c r="H5" s="63">
        <f t="shared" si="2"/>
        <v>7.1707074259626857E-2</v>
      </c>
      <c r="I5" s="63">
        <f t="shared" si="2"/>
        <v>0.10118007400175477</v>
      </c>
      <c r="J5" s="63">
        <f t="shared" si="2"/>
        <v>0.10775653991292855</v>
      </c>
      <c r="K5" s="63">
        <f t="shared" si="2"/>
        <v>8.0648984052607897E-2</v>
      </c>
      <c r="L5" s="63">
        <f t="shared" si="2"/>
        <v>6.1852814776212517E-2</v>
      </c>
      <c r="M5" s="63">
        <f t="shared" si="2"/>
        <v>6.8737990162397455E-2</v>
      </c>
      <c r="N5" s="63">
        <f t="shared" si="2"/>
        <v>7.4458804506898346E-2</v>
      </c>
      <c r="O5" s="63">
        <f t="shared" si="2"/>
        <v>8.4964769499614512E-2</v>
      </c>
      <c r="P5" s="63">
        <f t="shared" si="2"/>
        <v>7.5029709598146477E-2</v>
      </c>
      <c r="R5" s="64"/>
      <c r="S5" s="64"/>
    </row>
    <row r="6" spans="1:21" s="50" customFormat="1" x14ac:dyDescent="0.2">
      <c r="A6" s="61" t="s">
        <v>6</v>
      </c>
      <c r="B6" s="43">
        <v>530.83221950000006</v>
      </c>
      <c r="C6" s="43">
        <v>546.03869850000001</v>
      </c>
      <c r="D6" s="43">
        <v>569.12022479999996</v>
      </c>
      <c r="E6" s="43">
        <v>625.34132309999995</v>
      </c>
      <c r="F6" s="43">
        <v>637.00121179999996</v>
      </c>
      <c r="G6" s="43">
        <v>708.39681879999989</v>
      </c>
      <c r="H6" s="43">
        <v>755.95023489999971</v>
      </c>
      <c r="I6" s="43">
        <v>809.93331139999987</v>
      </c>
      <c r="J6" s="43">
        <v>877.79855869999994</v>
      </c>
      <c r="K6" s="43">
        <v>922.14909074924935</v>
      </c>
      <c r="L6" s="43">
        <v>957.8205478593195</v>
      </c>
      <c r="M6" s="43">
        <v>989.18171851867805</v>
      </c>
      <c r="N6" s="43">
        <v>1020.0587913382435</v>
      </c>
      <c r="O6" s="43">
        <v>1050.6036834776246</v>
      </c>
      <c r="P6" s="43">
        <v>1079.501172774394</v>
      </c>
      <c r="R6" s="57">
        <f>(J6/D6)^(1/6)-1</f>
        <v>7.4892767403800242E-2</v>
      </c>
      <c r="S6" s="57">
        <f>(P6/J6)^(1/6)-1</f>
        <v>3.5073943170330413E-2</v>
      </c>
    </row>
    <row r="7" spans="1:21" s="50" customFormat="1" x14ac:dyDescent="0.2">
      <c r="A7" s="62" t="s">
        <v>4</v>
      </c>
      <c r="B7" s="63"/>
      <c r="C7" s="63">
        <f t="shared" ref="C7:P7" si="3">C6/B6-1</f>
        <v>2.8646488365614342E-2</v>
      </c>
      <c r="D7" s="63">
        <f t="shared" si="3"/>
        <v>4.227086168692118E-2</v>
      </c>
      <c r="E7" s="63">
        <f t="shared" si="3"/>
        <v>9.8785978515799844E-2</v>
      </c>
      <c r="F7" s="63">
        <f t="shared" si="3"/>
        <v>1.8645639220191912E-2</v>
      </c>
      <c r="G7" s="63">
        <f t="shared" si="3"/>
        <v>0.11208080248113572</v>
      </c>
      <c r="H7" s="63">
        <f t="shared" si="3"/>
        <v>6.7128218024120612E-2</v>
      </c>
      <c r="I7" s="63">
        <f t="shared" si="3"/>
        <v>7.1410886600413948E-2</v>
      </c>
      <c r="J7" s="63">
        <f t="shared" si="3"/>
        <v>8.3791154586162708E-2</v>
      </c>
      <c r="K7" s="63">
        <f t="shared" si="3"/>
        <v>5.052472644171524E-2</v>
      </c>
      <c r="L7" s="63">
        <f t="shared" si="3"/>
        <v>3.8682960779245601E-2</v>
      </c>
      <c r="M7" s="63">
        <f t="shared" si="3"/>
        <v>3.2742219541488371E-2</v>
      </c>
      <c r="N7" s="63">
        <f t="shared" si="3"/>
        <v>3.1214762911110583E-2</v>
      </c>
      <c r="O7" s="63">
        <f t="shared" si="3"/>
        <v>2.9944246742198422E-2</v>
      </c>
      <c r="P7" s="63">
        <f t="shared" si="3"/>
        <v>2.7505604397954686E-2</v>
      </c>
      <c r="R7" s="64"/>
      <c r="S7" s="64"/>
    </row>
    <row r="8" spans="1:21" s="50" customFormat="1" x14ac:dyDescent="0.2">
      <c r="A8" s="61" t="s">
        <v>7</v>
      </c>
      <c r="B8" s="43">
        <v>372.08253031700002</v>
      </c>
      <c r="C8" s="43">
        <v>386.26199761200013</v>
      </c>
      <c r="D8" s="43">
        <v>400.58581368900013</v>
      </c>
      <c r="E8" s="43">
        <v>425.11477844306586</v>
      </c>
      <c r="F8" s="43">
        <v>421.09001227727856</v>
      </c>
      <c r="G8" s="43">
        <v>452.72604020148924</v>
      </c>
      <c r="H8" s="43">
        <v>479.82572029211417</v>
      </c>
      <c r="I8" s="43">
        <v>522.64052991952701</v>
      </c>
      <c r="J8" s="43">
        <v>570.66838076194244</v>
      </c>
      <c r="K8" s="43">
        <v>605.28421407287942</v>
      </c>
      <c r="L8" s="43">
        <v>636.50572923673815</v>
      </c>
      <c r="M8" s="43">
        <v>674.30036701029132</v>
      </c>
      <c r="N8" s="43">
        <v>718.08113008482132</v>
      </c>
      <c r="O8" s="43">
        <v>772.22829784129033</v>
      </c>
      <c r="P8" s="43">
        <v>823.72211811427451</v>
      </c>
      <c r="R8" s="57">
        <f>(J8/D8)^(1/6)-1</f>
        <v>6.0754071723694514E-2</v>
      </c>
      <c r="S8" s="57">
        <f>(P8/J8)^(1/6)-1</f>
        <v>6.3080502244314607E-2</v>
      </c>
    </row>
    <row r="9" spans="1:21" s="50" customFormat="1" x14ac:dyDescent="0.2">
      <c r="A9" s="62" t="s">
        <v>4</v>
      </c>
      <c r="B9" s="63"/>
      <c r="C9" s="63">
        <f t="shared" ref="C9:P9" si="4">C8/B8-1</f>
        <v>3.810839300334723E-2</v>
      </c>
      <c r="D9" s="63">
        <f t="shared" si="4"/>
        <v>3.7083161599004377E-2</v>
      </c>
      <c r="E9" s="63">
        <f t="shared" si="4"/>
        <v>6.1232734450024973E-2</v>
      </c>
      <c r="F9" s="63">
        <f t="shared" si="4"/>
        <v>-9.4674811836171768E-3</v>
      </c>
      <c r="G9" s="63">
        <f t="shared" si="4"/>
        <v>7.5128896439792703E-2</v>
      </c>
      <c r="H9" s="63">
        <f t="shared" si="4"/>
        <v>5.9858894086507686E-2</v>
      </c>
      <c r="I9" s="63">
        <f t="shared" si="4"/>
        <v>8.9229917898831168E-2</v>
      </c>
      <c r="J9" s="63">
        <f t="shared" si="4"/>
        <v>9.1894616075432367E-2</v>
      </c>
      <c r="K9" s="63">
        <f t="shared" si="4"/>
        <v>6.0658404211424433E-2</v>
      </c>
      <c r="L9" s="63">
        <f t="shared" si="4"/>
        <v>5.1581578435315745E-2</v>
      </c>
      <c r="M9" s="63">
        <f t="shared" si="4"/>
        <v>5.9378315131388248E-2</v>
      </c>
      <c r="N9" s="63">
        <f t="shared" si="4"/>
        <v>6.4927686853627042E-2</v>
      </c>
      <c r="O9" s="63">
        <f t="shared" si="4"/>
        <v>7.5405362274417298E-2</v>
      </c>
      <c r="P9" s="63">
        <f t="shared" si="4"/>
        <v>6.6682120322359983E-2</v>
      </c>
      <c r="R9" s="64"/>
      <c r="S9" s="64"/>
    </row>
    <row r="10" spans="1:21" s="50" customFormat="1" ht="17.100000000000001" customHeight="1" x14ac:dyDescent="0.2">
      <c r="B10" s="65"/>
      <c r="C10" s="65"/>
      <c r="D10" s="65"/>
      <c r="E10" s="65"/>
      <c r="F10" s="65"/>
      <c r="G10" s="88"/>
      <c r="H10" s="88"/>
      <c r="I10" s="88"/>
      <c r="J10" s="88"/>
      <c r="K10" s="88"/>
      <c r="L10" s="88"/>
      <c r="M10" s="88"/>
      <c r="N10" s="88"/>
      <c r="O10" s="88"/>
      <c r="P10" s="88"/>
      <c r="R10" s="64"/>
      <c r="S10" s="64"/>
    </row>
    <row r="11" spans="1:21" s="50" customFormat="1" x14ac:dyDescent="0.2">
      <c r="A11" s="55" t="s">
        <v>8</v>
      </c>
      <c r="B11" s="56">
        <v>258.18766340000002</v>
      </c>
      <c r="C11" s="56">
        <v>260.56784699999997</v>
      </c>
      <c r="D11" s="56">
        <v>271.13682690000002</v>
      </c>
      <c r="E11" s="56">
        <v>313.14811900000007</v>
      </c>
      <c r="F11" s="56">
        <v>291.93105750000007</v>
      </c>
      <c r="G11" s="56">
        <v>336.07225729999999</v>
      </c>
      <c r="H11" s="56">
        <v>358.73128209999993</v>
      </c>
      <c r="I11" s="56">
        <v>373.5714845</v>
      </c>
      <c r="J11" s="56">
        <v>395.2261585</v>
      </c>
      <c r="K11" s="56">
        <v>409.79602817377946</v>
      </c>
      <c r="L11" s="56">
        <v>421.71880981342485</v>
      </c>
      <c r="M11" s="56">
        <v>432.25803392313492</v>
      </c>
      <c r="N11" s="56">
        <v>442.62486501591439</v>
      </c>
      <c r="O11" s="56">
        <v>452.9210009309478</v>
      </c>
      <c r="P11" s="56">
        <v>462.38163908015417</v>
      </c>
      <c r="R11" s="57">
        <f>(J11/D11)^(1/6)-1</f>
        <v>6.4819989297298264E-2</v>
      </c>
      <c r="S11" s="57">
        <f>(P11/J11)^(1/6)-1</f>
        <v>2.6500463570479749E-2</v>
      </c>
    </row>
    <row r="12" spans="1:21" s="50" customFormat="1" x14ac:dyDescent="0.2">
      <c r="A12" s="58" t="s">
        <v>4</v>
      </c>
      <c r="B12" s="59"/>
      <c r="C12" s="59">
        <f t="shared" ref="C12:P12" si="5">C11/B11-1</f>
        <v>9.2188122726546418E-3</v>
      </c>
      <c r="D12" s="59">
        <f t="shared" si="5"/>
        <v>4.0561335643227059E-2</v>
      </c>
      <c r="E12" s="59">
        <f t="shared" si="5"/>
        <v>0.15494498692903313</v>
      </c>
      <c r="F12" s="59">
        <f t="shared" si="5"/>
        <v>-6.7754076146949505E-2</v>
      </c>
      <c r="G12" s="59">
        <f t="shared" si="5"/>
        <v>0.15120419244875971</v>
      </c>
      <c r="H12" s="59">
        <f t="shared" si="5"/>
        <v>6.7423074377046976E-2</v>
      </c>
      <c r="I12" s="59">
        <f t="shared" si="5"/>
        <v>4.1368576258881129E-2</v>
      </c>
      <c r="J12" s="59">
        <f t="shared" si="5"/>
        <v>5.7966613883774665E-2</v>
      </c>
      <c r="K12" s="59">
        <f t="shared" si="5"/>
        <v>3.6864639043823422E-2</v>
      </c>
      <c r="L12" s="59">
        <f t="shared" si="5"/>
        <v>2.9094429472091843E-2</v>
      </c>
      <c r="M12" s="59">
        <f t="shared" si="5"/>
        <v>2.4991116982362671E-2</v>
      </c>
      <c r="N12" s="59">
        <f t="shared" si="5"/>
        <v>2.3982969150835753E-2</v>
      </c>
      <c r="O12" s="59">
        <f t="shared" si="5"/>
        <v>2.326153980225043E-2</v>
      </c>
      <c r="P12" s="59">
        <f t="shared" si="5"/>
        <v>2.088805361147017E-2</v>
      </c>
      <c r="R12" s="64"/>
      <c r="S12" s="64"/>
    </row>
    <row r="13" spans="1:21" s="50" customFormat="1" x14ac:dyDescent="0.2">
      <c r="B13" s="65"/>
      <c r="C13" s="65"/>
      <c r="D13" s="65"/>
      <c r="E13" s="65"/>
      <c r="F13" s="65"/>
      <c r="G13" s="65"/>
      <c r="H13" s="65"/>
      <c r="I13" s="65"/>
      <c r="J13" s="65"/>
      <c r="K13" s="65"/>
      <c r="L13" s="65"/>
      <c r="M13" s="65"/>
      <c r="N13" s="65"/>
      <c r="O13" s="65"/>
      <c r="P13" s="65"/>
      <c r="R13" s="64"/>
      <c r="S13" s="64"/>
    </row>
    <row r="14" spans="1:21" s="50" customFormat="1" x14ac:dyDescent="0.2">
      <c r="A14" s="55" t="s">
        <v>46</v>
      </c>
      <c r="B14" s="56">
        <v>31.234607260000001</v>
      </c>
      <c r="C14" s="56">
        <v>33.997414249999999</v>
      </c>
      <c r="D14" s="56">
        <v>37.577713120000006</v>
      </c>
      <c r="E14" s="56">
        <v>41.009326920000021</v>
      </c>
      <c r="F14" s="56">
        <v>40.944538260000023</v>
      </c>
      <c r="G14" s="56">
        <v>46.079568380000005</v>
      </c>
      <c r="H14" s="56">
        <v>54.313219299999979</v>
      </c>
      <c r="I14" s="56">
        <v>62.386543369999934</v>
      </c>
      <c r="J14" s="56">
        <v>70.595980989999987</v>
      </c>
      <c r="K14" s="56">
        <v>76.220481737813046</v>
      </c>
      <c r="L14" s="56">
        <v>81.300598971015063</v>
      </c>
      <c r="M14" s="56">
        <v>86.019071477847007</v>
      </c>
      <c r="N14" s="56">
        <v>90.802583157028494</v>
      </c>
      <c r="O14" s="56">
        <v>95.671024398616353</v>
      </c>
      <c r="P14" s="87">
        <v>101.45324700853234</v>
      </c>
      <c r="R14" s="57">
        <f>(J14/D14)^(1/6)-1</f>
        <v>0.11081466621145797</v>
      </c>
      <c r="S14" s="57">
        <f>(P14/J14)^(1/6)-1</f>
        <v>6.2301176062966368E-2</v>
      </c>
    </row>
    <row r="15" spans="1:21" s="50" customFormat="1" x14ac:dyDescent="0.2">
      <c r="A15" s="58" t="s">
        <v>4</v>
      </c>
      <c r="B15" s="66"/>
      <c r="C15" s="59">
        <f t="shared" ref="C15" si="6">C14/B14-1</f>
        <v>8.8453392962559718E-2</v>
      </c>
      <c r="D15" s="59">
        <f t="shared" ref="D15" si="7">D14/C14-1</f>
        <v>0.10531091699128292</v>
      </c>
      <c r="E15" s="59">
        <f t="shared" ref="E15" si="8">E14/D14-1</f>
        <v>9.1320453403898272E-2</v>
      </c>
      <c r="F15" s="59">
        <f t="shared" ref="F15" si="9">F14/E14-1</f>
        <v>-1.5798518255709659E-3</v>
      </c>
      <c r="G15" s="59">
        <f t="shared" ref="G15" si="10">G14/F14-1</f>
        <v>0.1254142881620075</v>
      </c>
      <c r="H15" s="59">
        <f t="shared" ref="H15" si="11">H14/G14-1</f>
        <v>0.17868333427301897</v>
      </c>
      <c r="I15" s="59">
        <f t="shared" ref="I15" si="12">I14/H14-1</f>
        <v>0.14864381404841454</v>
      </c>
      <c r="J15" s="59">
        <f t="shared" ref="J15" si="13">J14/I14-1</f>
        <v>0.13158987782528375</v>
      </c>
      <c r="K15" s="59">
        <f t="shared" ref="K15" si="14">K14/J14-1</f>
        <v>7.9671684831602141E-2</v>
      </c>
      <c r="L15" s="59">
        <f t="shared" ref="L15" si="15">L14/K14-1</f>
        <v>6.6650290281250912E-2</v>
      </c>
      <c r="M15" s="59">
        <f t="shared" ref="M15" si="16">M14/L14-1</f>
        <v>5.8037364626478904E-2</v>
      </c>
      <c r="N15" s="59">
        <f t="shared" ref="N15" si="17">N14/M14-1</f>
        <v>5.5609896700796302E-2</v>
      </c>
      <c r="O15" s="59">
        <f t="shared" ref="O15" si="18">O14/N14-1</f>
        <v>5.3615668985635301E-2</v>
      </c>
      <c r="P15" s="59">
        <f t="shared" ref="P15" si="19">P14/O14-1</f>
        <v>6.0438598272180899E-2</v>
      </c>
      <c r="R15" s="64"/>
      <c r="S15" s="64"/>
    </row>
    <row r="16" spans="1:21" ht="17.100000000000001" customHeight="1" x14ac:dyDescent="0.2">
      <c r="R16" s="109"/>
      <c r="S16" s="109"/>
    </row>
    <row r="17" spans="1:19" x14ac:dyDescent="0.2">
      <c r="A17" s="67" t="s">
        <v>9</v>
      </c>
      <c r="R17" s="109"/>
      <c r="S17" s="109"/>
    </row>
    <row r="18" spans="1:19" x14ac:dyDescent="0.2">
      <c r="A18" s="68" t="s">
        <v>82</v>
      </c>
      <c r="B18" s="43">
        <v>134.46</v>
      </c>
      <c r="C18" s="43">
        <v>135.797</v>
      </c>
      <c r="D18" s="43">
        <v>139.386</v>
      </c>
      <c r="E18" s="43">
        <v>167.95999999999998</v>
      </c>
      <c r="F18" s="43">
        <v>166.32899999999998</v>
      </c>
      <c r="G18" s="43">
        <v>175.71899999999997</v>
      </c>
      <c r="H18" s="43">
        <v>183.26799999999994</v>
      </c>
      <c r="I18" s="43">
        <v>193.07699999999994</v>
      </c>
      <c r="J18" s="43">
        <v>201.26088080019818</v>
      </c>
      <c r="K18" s="43">
        <v>206.79093967332943</v>
      </c>
      <c r="L18" s="43">
        <v>211.77162858034919</v>
      </c>
      <c r="M18" s="43">
        <v>216.45245130319947</v>
      </c>
      <c r="N18" s="43">
        <v>221.16774358153975</v>
      </c>
      <c r="O18" s="43">
        <v>225.95768894912695</v>
      </c>
      <c r="P18" s="43">
        <v>230.38710904540426</v>
      </c>
      <c r="R18" s="57">
        <f>(J18/D18)^(1/6)-1</f>
        <v>6.3138964779063222E-2</v>
      </c>
      <c r="S18" s="57">
        <f>(P18/J18)^(1/6)-1</f>
        <v>2.2782136851409396E-2</v>
      </c>
    </row>
    <row r="19" spans="1:19" x14ac:dyDescent="0.2">
      <c r="A19" s="62" t="s">
        <v>4</v>
      </c>
      <c r="B19" s="63"/>
      <c r="C19" s="63">
        <f t="shared" ref="C19:P19" si="20">C18/B18-1</f>
        <v>9.9434776141602566E-3</v>
      </c>
      <c r="D19" s="63">
        <f t="shared" si="20"/>
        <v>2.6429155283253625E-2</v>
      </c>
      <c r="E19" s="63">
        <f t="shared" si="20"/>
        <v>0.20499906733818296</v>
      </c>
      <c r="F19" s="63">
        <f t="shared" si="20"/>
        <v>-9.71064539175992E-3</v>
      </c>
      <c r="G19" s="63">
        <f t="shared" si="20"/>
        <v>5.6454376566924536E-2</v>
      </c>
      <c r="H19" s="63">
        <f t="shared" si="20"/>
        <v>4.296063601545641E-2</v>
      </c>
      <c r="I19" s="63">
        <f t="shared" si="20"/>
        <v>5.3522709911168365E-2</v>
      </c>
      <c r="J19" s="63">
        <f t="shared" si="20"/>
        <v>4.2386616739426453E-2</v>
      </c>
      <c r="K19" s="63">
        <f t="shared" si="20"/>
        <v>2.7477067829297708E-2</v>
      </c>
      <c r="L19" s="63">
        <f t="shared" si="20"/>
        <v>2.4085624422848673E-2</v>
      </c>
      <c r="M19" s="63">
        <f t="shared" si="20"/>
        <v>2.21031625162873E-2</v>
      </c>
      <c r="N19" s="63">
        <f t="shared" si="20"/>
        <v>2.1784425401287111E-2</v>
      </c>
      <c r="O19" s="63">
        <f t="shared" si="20"/>
        <v>2.1657522430802656E-2</v>
      </c>
      <c r="P19" s="63">
        <f t="shared" si="20"/>
        <v>1.9602873957852207E-2</v>
      </c>
      <c r="R19" s="109"/>
      <c r="S19" s="109"/>
    </row>
    <row r="20" spans="1:19" x14ac:dyDescent="0.2">
      <c r="A20" s="68" t="s">
        <v>10</v>
      </c>
      <c r="B20" s="43">
        <v>12.630999999999997</v>
      </c>
      <c r="C20" s="43">
        <v>13.110999999999999</v>
      </c>
      <c r="D20" s="43">
        <v>13.543999999999999</v>
      </c>
      <c r="E20" s="43">
        <v>14.028999999999996</v>
      </c>
      <c r="F20" s="43">
        <v>13.819999999999997</v>
      </c>
      <c r="G20" s="43">
        <v>14.180999999999996</v>
      </c>
      <c r="H20" s="43">
        <v>14.803999999999998</v>
      </c>
      <c r="I20" s="43">
        <v>15.439999999999996</v>
      </c>
      <c r="J20" s="43">
        <v>15.980478601663998</v>
      </c>
      <c r="K20" s="43">
        <v>16.324674443498758</v>
      </c>
      <c r="L20" s="43">
        <v>16.59015645277324</v>
      </c>
      <c r="M20" s="43">
        <v>16.837696769665985</v>
      </c>
      <c r="N20" s="43">
        <v>17.091903092336871</v>
      </c>
      <c r="O20" s="43">
        <v>17.352114677943145</v>
      </c>
      <c r="P20" s="43">
        <v>17.600920959133411</v>
      </c>
      <c r="R20" s="57">
        <f>(J20/D20)^(1/6)-1</f>
        <v>2.795429663327953E-2</v>
      </c>
      <c r="S20" s="57">
        <f>(P20/J20)^(1/6)-1</f>
        <v>1.6227481282290457E-2</v>
      </c>
    </row>
    <row r="21" spans="1:19" x14ac:dyDescent="0.2">
      <c r="A21" s="62" t="s">
        <v>4</v>
      </c>
      <c r="B21" s="63"/>
      <c r="C21" s="63">
        <f t="shared" ref="C21:P21" si="21">C20/B20-1</f>
        <v>3.8001741746496842E-2</v>
      </c>
      <c r="D21" s="63">
        <f t="shared" si="21"/>
        <v>3.3025703607657775E-2</v>
      </c>
      <c r="E21" s="63">
        <f t="shared" si="21"/>
        <v>3.5809214412285684E-2</v>
      </c>
      <c r="F21" s="63">
        <f t="shared" si="21"/>
        <v>-1.4897711882528974E-2</v>
      </c>
      <c r="G21" s="63">
        <f t="shared" si="21"/>
        <v>2.6121562952243105E-2</v>
      </c>
      <c r="H21" s="63">
        <f t="shared" si="21"/>
        <v>4.3932021719202075E-2</v>
      </c>
      <c r="I21" s="63">
        <f t="shared" si="21"/>
        <v>4.2961361794109587E-2</v>
      </c>
      <c r="J21" s="63">
        <f t="shared" si="21"/>
        <v>3.5005090781347281E-2</v>
      </c>
      <c r="K21" s="63">
        <f t="shared" si="21"/>
        <v>2.1538518990220856E-2</v>
      </c>
      <c r="L21" s="63">
        <f t="shared" si="21"/>
        <v>1.6262621971013358E-2</v>
      </c>
      <c r="M21" s="63">
        <f t="shared" si="21"/>
        <v>1.492091515817906E-2</v>
      </c>
      <c r="N21" s="63">
        <f t="shared" si="21"/>
        <v>1.509745223164094E-2</v>
      </c>
      <c r="O21" s="63">
        <f t="shared" si="21"/>
        <v>1.5224260528538869E-2</v>
      </c>
      <c r="P21" s="63">
        <f t="shared" si="21"/>
        <v>1.4338672018260112E-2</v>
      </c>
      <c r="R21" s="109"/>
      <c r="S21" s="109"/>
    </row>
    <row r="22" spans="1:19" x14ac:dyDescent="0.2">
      <c r="A22" s="68" t="s">
        <v>11</v>
      </c>
      <c r="B22" s="43">
        <v>0.39</v>
      </c>
      <c r="C22" s="43">
        <v>0.41599999999999998</v>
      </c>
      <c r="D22" s="43">
        <v>0.42899999999999999</v>
      </c>
      <c r="E22" s="43">
        <v>0.40500000000000003</v>
      </c>
      <c r="F22" s="43">
        <v>0.38800000000000001</v>
      </c>
      <c r="G22" s="43">
        <v>0.38</v>
      </c>
      <c r="H22" s="43">
        <v>0.39599999999999996</v>
      </c>
      <c r="I22" s="43">
        <v>0.39999999999999997</v>
      </c>
      <c r="J22" s="43">
        <v>0.41274795843672635</v>
      </c>
      <c r="K22" s="43">
        <v>0.42159297878277985</v>
      </c>
      <c r="L22" s="43">
        <v>0.4225364594107</v>
      </c>
      <c r="M22" s="43">
        <v>0.41635931122533881</v>
      </c>
      <c r="N22" s="43">
        <v>0.41136230270753632</v>
      </c>
      <c r="O22" s="43">
        <v>0.40800936043190245</v>
      </c>
      <c r="P22" s="43">
        <v>0.40540902138359119</v>
      </c>
      <c r="R22" s="57">
        <f>(J22/D22)^(1/6)-1</f>
        <v>-6.4159596660575691E-3</v>
      </c>
      <c r="S22" s="57">
        <f>(P22/J22)^(1/6)-1</f>
        <v>-2.9856423665558518E-3</v>
      </c>
    </row>
    <row r="23" spans="1:19" x14ac:dyDescent="0.2">
      <c r="A23" s="62" t="s">
        <v>4</v>
      </c>
      <c r="B23" s="63"/>
      <c r="C23" s="63">
        <f t="shared" ref="C23:P23" si="22">C22/B22-1</f>
        <v>6.6666666666666652E-2</v>
      </c>
      <c r="D23" s="63">
        <f t="shared" si="22"/>
        <v>3.125E-2</v>
      </c>
      <c r="E23" s="63">
        <f t="shared" si="22"/>
        <v>-5.5944055944055826E-2</v>
      </c>
      <c r="F23" s="63">
        <f t="shared" si="22"/>
        <v>-4.1975308641975295E-2</v>
      </c>
      <c r="G23" s="63">
        <f t="shared" si="22"/>
        <v>-2.0618556701030966E-2</v>
      </c>
      <c r="H23" s="63">
        <f t="shared" si="22"/>
        <v>4.2105263157894646E-2</v>
      </c>
      <c r="I23" s="63">
        <f t="shared" si="22"/>
        <v>1.0101010101010166E-2</v>
      </c>
      <c r="J23" s="63">
        <f t="shared" si="22"/>
        <v>3.1869896091816008E-2</v>
      </c>
      <c r="K23" s="63">
        <f t="shared" si="22"/>
        <v>2.1429591994964303E-2</v>
      </c>
      <c r="L23" s="63">
        <f t="shared" si="22"/>
        <v>2.237894546166741E-3</v>
      </c>
      <c r="M23" s="63">
        <f t="shared" si="22"/>
        <v>-1.4619207521112565E-2</v>
      </c>
      <c r="N23" s="63">
        <f t="shared" si="22"/>
        <v>-1.2001673513908906E-2</v>
      </c>
      <c r="O23" s="63">
        <f t="shared" si="22"/>
        <v>-8.1508253273701037E-3</v>
      </c>
      <c r="P23" s="63">
        <f t="shared" si="22"/>
        <v>-6.373233804142675E-3</v>
      </c>
      <c r="R23" s="109"/>
      <c r="S23" s="109"/>
    </row>
    <row r="24" spans="1:19" x14ac:dyDescent="0.2">
      <c r="A24" s="69" t="s">
        <v>54</v>
      </c>
      <c r="B24" s="56">
        <f t="shared" ref="B24:P24" si="23">B18+B20+B22</f>
        <v>147.48099999999999</v>
      </c>
      <c r="C24" s="56">
        <f t="shared" si="23"/>
        <v>149.32399999999998</v>
      </c>
      <c r="D24" s="56">
        <f t="shared" si="23"/>
        <v>153.35900000000001</v>
      </c>
      <c r="E24" s="56">
        <f t="shared" si="23"/>
        <v>182.39399999999998</v>
      </c>
      <c r="F24" s="56">
        <f t="shared" si="23"/>
        <v>180.53699999999998</v>
      </c>
      <c r="G24" s="56">
        <f t="shared" si="23"/>
        <v>190.27999999999994</v>
      </c>
      <c r="H24" s="56">
        <f t="shared" si="23"/>
        <v>198.46799999999993</v>
      </c>
      <c r="I24" s="56">
        <f t="shared" si="23"/>
        <v>208.91699999999994</v>
      </c>
      <c r="J24" s="56">
        <f t="shared" si="23"/>
        <v>217.65410736029892</v>
      </c>
      <c r="K24" s="56">
        <f t="shared" si="23"/>
        <v>223.53720709561097</v>
      </c>
      <c r="L24" s="56">
        <f t="shared" si="23"/>
        <v>228.78432149253314</v>
      </c>
      <c r="M24" s="56">
        <f t="shared" si="23"/>
        <v>233.7065073840908</v>
      </c>
      <c r="N24" s="56">
        <f t="shared" si="23"/>
        <v>238.67100897658418</v>
      </c>
      <c r="O24" s="56">
        <f t="shared" si="23"/>
        <v>243.71781298750199</v>
      </c>
      <c r="P24" s="56">
        <f t="shared" si="23"/>
        <v>248.39343902592128</v>
      </c>
      <c r="R24" s="57">
        <f>(J24/D24)^(1/6)-1</f>
        <v>6.009047704576731E-2</v>
      </c>
      <c r="S24" s="57">
        <f>(P24/J24)^(1/6)-1</f>
        <v>2.2261980154445249E-2</v>
      </c>
    </row>
    <row r="25" spans="1:19" ht="17.100000000000001" customHeight="1" x14ac:dyDescent="0.2">
      <c r="A25" s="70" t="s">
        <v>4</v>
      </c>
      <c r="B25" s="66"/>
      <c r="C25" s="59">
        <f t="shared" ref="C25:P25" si="24">C24/B24-1</f>
        <v>1.2496524976098433E-2</v>
      </c>
      <c r="D25" s="59">
        <f t="shared" si="24"/>
        <v>2.7021778146848696E-2</v>
      </c>
      <c r="E25" s="59">
        <f t="shared" si="24"/>
        <v>0.18932700395803281</v>
      </c>
      <c r="F25" s="59">
        <f t="shared" si="24"/>
        <v>-1.0181255962367186E-2</v>
      </c>
      <c r="G25" s="59">
        <f t="shared" si="24"/>
        <v>5.396677689337892E-2</v>
      </c>
      <c r="H25" s="59">
        <f t="shared" si="24"/>
        <v>4.3031322261929628E-2</v>
      </c>
      <c r="I25" s="59">
        <f t="shared" si="24"/>
        <v>5.2648285869762557E-2</v>
      </c>
      <c r="J25" s="59">
        <f t="shared" si="24"/>
        <v>4.1820949756597114E-2</v>
      </c>
      <c r="K25" s="59">
        <f t="shared" si="24"/>
        <v>2.702958288571744E-2</v>
      </c>
      <c r="L25" s="59">
        <f t="shared" si="24"/>
        <v>2.3473114230499803E-2</v>
      </c>
      <c r="M25" s="59">
        <f t="shared" si="24"/>
        <v>2.1514524506952792E-2</v>
      </c>
      <c r="N25" s="59">
        <f t="shared" si="24"/>
        <v>2.1242461958212999E-2</v>
      </c>
      <c r="O25" s="59">
        <f t="shared" si="24"/>
        <v>2.1145442140452664E-2</v>
      </c>
      <c r="P25" s="59">
        <f t="shared" si="24"/>
        <v>1.918458885341745E-2</v>
      </c>
      <c r="R25" s="109"/>
      <c r="S25" s="109"/>
    </row>
    <row r="26" spans="1:19" ht="17.100000000000001" customHeight="1" x14ac:dyDescent="0.2">
      <c r="R26" s="109"/>
      <c r="S26" s="109"/>
    </row>
    <row r="27" spans="1:19" x14ac:dyDescent="0.2">
      <c r="A27" s="71" t="s">
        <v>12</v>
      </c>
      <c r="R27" s="109"/>
      <c r="S27" s="109"/>
    </row>
    <row r="28" spans="1:19" x14ac:dyDescent="0.2">
      <c r="A28" s="72" t="s">
        <v>84</v>
      </c>
      <c r="B28" s="88">
        <v>0.11544962643601303</v>
      </c>
      <c r="C28" s="88">
        <v>0.12837018065368433</v>
      </c>
      <c r="D28" s="88">
        <v>0.14250378390677759</v>
      </c>
      <c r="E28" s="88">
        <v>0.15791158350036372</v>
      </c>
      <c r="F28" s="88">
        <v>0.17464600779587774</v>
      </c>
      <c r="G28" s="88">
        <v>0.19274791643111422</v>
      </c>
      <c r="H28" s="88">
        <v>0.21224358669898985</v>
      </c>
      <c r="I28" s="88">
        <v>0.23314166020884239</v>
      </c>
      <c r="J28" s="88">
        <v>0.25543021076851052</v>
      </c>
      <c r="K28" s="88">
        <v>0.27907412663419423</v>
      </c>
      <c r="L28" s="88">
        <v>0.30401302236036271</v>
      </c>
      <c r="M28" s="88">
        <v>0.33015990155310193</v>
      </c>
      <c r="N28" s="88">
        <v>0.357400776595799</v>
      </c>
      <c r="O28" s="88">
        <v>0.38559541139923048</v>
      </c>
      <c r="P28" s="88">
        <v>0.41457928800094523</v>
      </c>
      <c r="R28" s="109"/>
      <c r="S28" s="109"/>
    </row>
    <row r="29" spans="1:19" x14ac:dyDescent="0.2">
      <c r="A29" s="72" t="s">
        <v>13</v>
      </c>
      <c r="B29" s="88">
        <v>0.25052764879632938</v>
      </c>
      <c r="C29" s="88">
        <v>0.27491571137038368</v>
      </c>
      <c r="D29" s="88">
        <v>0.30072526771831959</v>
      </c>
      <c r="E29" s="88">
        <v>0.32786223800148256</v>
      </c>
      <c r="F29" s="88">
        <v>0.35620062288896792</v>
      </c>
      <c r="G29" s="88">
        <v>0.38558326556210964</v>
      </c>
      <c r="H29" s="88">
        <v>0.41582417853316633</v>
      </c>
      <c r="I29" s="88">
        <v>0.44671246171537954</v>
      </c>
      <c r="J29" s="88">
        <v>0.47801769823683093</v>
      </c>
      <c r="K29" s="88">
        <v>0.50949657067474463</v>
      </c>
      <c r="L29" s="88">
        <v>0.54090031299656516</v>
      </c>
      <c r="M29" s="88">
        <v>0.57198252222227619</v>
      </c>
      <c r="N29" s="88">
        <v>0.60250681358874092</v>
      </c>
      <c r="O29" s="88">
        <v>0.63225382056883339</v>
      </c>
      <c r="P29" s="88">
        <v>0.6610271135064123</v>
      </c>
      <c r="R29" s="109"/>
      <c r="S29" s="109"/>
    </row>
    <row r="30" spans="1:19" x14ac:dyDescent="0.2">
      <c r="A30" s="72" t="s">
        <v>14</v>
      </c>
      <c r="B30" s="88">
        <v>0.40808502449278306</v>
      </c>
      <c r="C30" s="88">
        <v>0.46331985815779986</v>
      </c>
      <c r="D30" s="88">
        <v>0.51946970251456448</v>
      </c>
      <c r="E30" s="88">
        <v>0.57513199819226701</v>
      </c>
      <c r="F30" s="88">
        <v>0.62895208492249</v>
      </c>
      <c r="G30" s="88">
        <v>0.67975077519540095</v>
      </c>
      <c r="H30" s="88">
        <v>0.72661774729106998</v>
      </c>
      <c r="I30" s="88">
        <v>0.76895720553432789</v>
      </c>
      <c r="J30" s="88">
        <v>0.80648576940317518</v>
      </c>
      <c r="K30" s="88">
        <v>0.83919329741903448</v>
      </c>
      <c r="L30" s="88">
        <v>0.86728237484546877</v>
      </c>
      <c r="M30" s="88">
        <v>0.89110165655559315</v>
      </c>
      <c r="N30" s="88">
        <v>0.91108428612033032</v>
      </c>
      <c r="O30" s="88">
        <v>0.92769765804988413</v>
      </c>
      <c r="P30" s="88">
        <v>0.94140655112061844</v>
      </c>
      <c r="R30" s="109"/>
      <c r="S30" s="109"/>
    </row>
    <row r="31" spans="1:19" x14ac:dyDescent="0.2">
      <c r="A31" s="73" t="s">
        <v>15</v>
      </c>
      <c r="B31" s="89">
        <v>0.12779222179185748</v>
      </c>
      <c r="C31" s="89">
        <v>0.14217035690846161</v>
      </c>
      <c r="D31" s="89">
        <v>0.15753172589796341</v>
      </c>
      <c r="E31" s="89">
        <v>0.17190991677857689</v>
      </c>
      <c r="F31" s="89">
        <v>0.18952027477999531</v>
      </c>
      <c r="G31" s="89">
        <v>0.20809193142142893</v>
      </c>
      <c r="H31" s="89">
        <v>0.22845526439568462</v>
      </c>
      <c r="I31" s="89">
        <v>0.24995149087552399</v>
      </c>
      <c r="J31" s="89">
        <v>0.27281789843126869</v>
      </c>
      <c r="K31" s="89">
        <v>0.29695801158141877</v>
      </c>
      <c r="L31" s="89">
        <v>0.32223104981972167</v>
      </c>
      <c r="M31" s="89">
        <v>0.34858167906290938</v>
      </c>
      <c r="N31" s="89">
        <v>0.37590781343290663</v>
      </c>
      <c r="O31" s="89">
        <v>0.40406442578089802</v>
      </c>
      <c r="P31" s="89">
        <v>0.43290219234294203</v>
      </c>
      <c r="R31" s="109"/>
      <c r="S31" s="109"/>
    </row>
    <row r="32" spans="1:19" ht="17.100000000000001" customHeight="1" x14ac:dyDescent="0.2">
      <c r="R32" s="109"/>
      <c r="S32" s="109"/>
    </row>
    <row r="33" spans="1:19" x14ac:dyDescent="0.2">
      <c r="A33" s="67" t="s">
        <v>16</v>
      </c>
      <c r="P33" s="113"/>
      <c r="R33" s="109"/>
      <c r="S33" s="109"/>
    </row>
    <row r="34" spans="1:19" x14ac:dyDescent="0.2">
      <c r="A34" s="68" t="s">
        <v>83</v>
      </c>
      <c r="B34" s="43">
        <f t="shared" ref="B34:P34" si="25">B28*B18</f>
        <v>15.523356770586313</v>
      </c>
      <c r="C34" s="43">
        <f t="shared" si="25"/>
        <v>17.432285422228372</v>
      </c>
      <c r="D34" s="43">
        <f t="shared" si="25"/>
        <v>19.863032423630102</v>
      </c>
      <c r="E34" s="43">
        <f t="shared" si="25"/>
        <v>26.522829564721086</v>
      </c>
      <c r="F34" s="43">
        <f t="shared" si="25"/>
        <v>29.048695830680547</v>
      </c>
      <c r="G34" s="43">
        <f t="shared" si="25"/>
        <v>33.869471127358956</v>
      </c>
      <c r="H34" s="43">
        <f t="shared" si="25"/>
        <v>38.897457647150461</v>
      </c>
      <c r="I34" s="43">
        <f t="shared" si="25"/>
        <v>45.014292328142645</v>
      </c>
      <c r="J34" s="43">
        <f t="shared" si="25"/>
        <v>51.408109202250692</v>
      </c>
      <c r="K34" s="43">
        <f t="shared" si="25"/>
        <v>57.71000088519876</v>
      </c>
      <c r="L34" s="43">
        <f t="shared" si="25"/>
        <v>64.381332854888129</v>
      </c>
      <c r="M34" s="43">
        <f t="shared" si="25"/>
        <v>71.463920013191924</v>
      </c>
      <c r="N34" s="43">
        <f t="shared" si="25"/>
        <v>79.045523313982841</v>
      </c>
      <c r="O34" s="43">
        <f t="shared" si="25"/>
        <v>87.128248029157959</v>
      </c>
      <c r="P34" s="43">
        <f t="shared" si="25"/>
        <v>95.513723632639824</v>
      </c>
      <c r="R34" s="57">
        <f>(J34/D34)^(1/6)-1</f>
        <v>0.17173934546264524</v>
      </c>
      <c r="S34" s="57">
        <f>(P34/J34)^(1/6)-1</f>
        <v>0.10876376441728519</v>
      </c>
    </row>
    <row r="35" spans="1:19" x14ac:dyDescent="0.2">
      <c r="A35" s="62" t="s">
        <v>4</v>
      </c>
      <c r="B35" s="75"/>
      <c r="C35" s="63">
        <f t="shared" ref="C35:P35" si="26">C34/B34-1</f>
        <v>0.12297138304900002</v>
      </c>
      <c r="D35" s="63">
        <f t="shared" si="26"/>
        <v>0.13943937599267509</v>
      </c>
      <c r="E35" s="63">
        <f t="shared" si="26"/>
        <v>0.33528602275089381</v>
      </c>
      <c r="F35" s="63">
        <f t="shared" si="26"/>
        <v>9.5233665012846247E-2</v>
      </c>
      <c r="G35" s="63">
        <f t="shared" si="26"/>
        <v>0.16595496488991501</v>
      </c>
      <c r="H35" s="63">
        <f t="shared" si="26"/>
        <v>0.1484518757581077</v>
      </c>
      <c r="I35" s="63">
        <f t="shared" si="26"/>
        <v>0.15725538508145376</v>
      </c>
      <c r="J35" s="63">
        <f t="shared" si="26"/>
        <v>0.14203970657805209</v>
      </c>
      <c r="K35" s="63">
        <f t="shared" si="26"/>
        <v>0.12258555665128723</v>
      </c>
      <c r="L35" s="63">
        <f t="shared" si="26"/>
        <v>0.1156009680706902</v>
      </c>
      <c r="M35" s="63">
        <f t="shared" si="26"/>
        <v>0.11000994922344254</v>
      </c>
      <c r="N35" s="63">
        <f t="shared" si="26"/>
        <v>0.10608994439979491</v>
      </c>
      <c r="O35" s="63">
        <f t="shared" si="26"/>
        <v>0.10225404774751246</v>
      </c>
      <c r="P35" s="63">
        <f t="shared" si="26"/>
        <v>9.6242903916484268E-2</v>
      </c>
      <c r="R35" s="109"/>
      <c r="S35" s="109"/>
    </row>
    <row r="36" spans="1:19" x14ac:dyDescent="0.2">
      <c r="A36" s="68" t="s">
        <v>17</v>
      </c>
      <c r="B36" s="43">
        <f t="shared" ref="B36:P36" si="27">B29*B20</f>
        <v>3.1644147319464357</v>
      </c>
      <c r="C36" s="43">
        <f t="shared" si="27"/>
        <v>3.6044198917771002</v>
      </c>
      <c r="D36" s="43">
        <f t="shared" si="27"/>
        <v>4.0730230259769202</v>
      </c>
      <c r="E36" s="43">
        <f t="shared" si="27"/>
        <v>4.5995793369227975</v>
      </c>
      <c r="F36" s="43">
        <f t="shared" si="27"/>
        <v>4.9226926083255353</v>
      </c>
      <c r="G36" s="43">
        <f t="shared" si="27"/>
        <v>5.4679562889362749</v>
      </c>
      <c r="H36" s="43">
        <f t="shared" si="27"/>
        <v>6.155861139004994</v>
      </c>
      <c r="I36" s="43">
        <f t="shared" si="27"/>
        <v>6.897240408885458</v>
      </c>
      <c r="J36" s="43">
        <f t="shared" si="27"/>
        <v>7.6389515978903555</v>
      </c>
      <c r="K36" s="43">
        <f t="shared" si="27"/>
        <v>8.3173656463442622</v>
      </c>
      <c r="L36" s="43">
        <f t="shared" si="27"/>
        <v>8.9736208179670314</v>
      </c>
      <c r="M36" s="43">
        <f t="shared" si="27"/>
        <v>9.6308682667274219</v>
      </c>
      <c r="N36" s="43">
        <f t="shared" si="27"/>
        <v>10.297988070331435</v>
      </c>
      <c r="O36" s="43">
        <f t="shared" si="27"/>
        <v>10.970940800078086</v>
      </c>
      <c r="P36" s="43">
        <f t="shared" si="27"/>
        <v>11.634685976670474</v>
      </c>
      <c r="R36" s="57">
        <f>(J36/D36)^(1/6)-1</f>
        <v>0.11050235061072966</v>
      </c>
      <c r="S36" s="57">
        <f>(P36/J36)^(1/6)-1</f>
        <v>7.2638756078588163E-2</v>
      </c>
    </row>
    <row r="37" spans="1:19" x14ac:dyDescent="0.2">
      <c r="A37" s="62" t="s">
        <v>4</v>
      </c>
      <c r="B37" s="75"/>
      <c r="C37" s="63">
        <f t="shared" ref="C37:P37" si="28">C36/B36-1</f>
        <v>0.13904787997242596</v>
      </c>
      <c r="D37" s="63">
        <f t="shared" si="28"/>
        <v>0.13000792035047359</v>
      </c>
      <c r="E37" s="63">
        <f t="shared" si="28"/>
        <v>0.12927899193979697</v>
      </c>
      <c r="F37" s="63">
        <f t="shared" si="28"/>
        <v>7.0248439636418247E-2</v>
      </c>
      <c r="G37" s="63">
        <f t="shared" si="28"/>
        <v>0.11076533190160176</v>
      </c>
      <c r="H37" s="63">
        <f t="shared" si="28"/>
        <v>0.12580657447108856</v>
      </c>
      <c r="I37" s="63">
        <f t="shared" si="28"/>
        <v>0.12043469680998964</v>
      </c>
      <c r="J37" s="63">
        <f t="shared" si="28"/>
        <v>0.1075373837990885</v>
      </c>
      <c r="K37" s="63">
        <f t="shared" si="28"/>
        <v>8.8809837287261217E-2</v>
      </c>
      <c r="L37" s="63">
        <f t="shared" si="28"/>
        <v>7.8901806115883932E-2</v>
      </c>
      <c r="M37" s="63">
        <f t="shared" si="28"/>
        <v>7.324216858421817E-2</v>
      </c>
      <c r="N37" s="63">
        <f t="shared" si="28"/>
        <v>6.926891585764583E-2</v>
      </c>
      <c r="O37" s="63">
        <f t="shared" si="28"/>
        <v>6.5347981095980501E-2</v>
      </c>
      <c r="P37" s="63">
        <f t="shared" si="28"/>
        <v>6.0500296983433177E-2</v>
      </c>
      <c r="R37" s="109"/>
      <c r="S37" s="109"/>
    </row>
    <row r="38" spans="1:19" x14ac:dyDescent="0.2">
      <c r="A38" s="68" t="s">
        <v>18</v>
      </c>
      <c r="B38" s="43">
        <f t="shared" ref="B38:P38" si="29">B30*B22</f>
        <v>0.1591531595521854</v>
      </c>
      <c r="C38" s="43">
        <f t="shared" si="29"/>
        <v>0.19274106099364474</v>
      </c>
      <c r="D38" s="43">
        <f t="shared" si="29"/>
        <v>0.22285250237874815</v>
      </c>
      <c r="E38" s="43">
        <f t="shared" si="29"/>
        <v>0.23292845926786815</v>
      </c>
      <c r="F38" s="43">
        <f t="shared" si="29"/>
        <v>0.24403340894992612</v>
      </c>
      <c r="G38" s="43">
        <f t="shared" si="29"/>
        <v>0.25830529457425239</v>
      </c>
      <c r="H38" s="43">
        <f t="shared" si="29"/>
        <v>0.28774062792726368</v>
      </c>
      <c r="I38" s="43">
        <f t="shared" si="29"/>
        <v>0.30758288221373115</v>
      </c>
      <c r="J38" s="43">
        <f t="shared" si="29"/>
        <v>0.33287535482943303</v>
      </c>
      <c r="K38" s="43">
        <f t="shared" si="29"/>
        <v>0.35379800203343409</v>
      </c>
      <c r="L38" s="43">
        <f t="shared" si="29"/>
        <v>0.36645842397650791</v>
      </c>
      <c r="M38" s="43">
        <f t="shared" si="29"/>
        <v>0.37101847195524518</v>
      </c>
      <c r="N38" s="43">
        <f t="shared" si="29"/>
        <v>0.37478572989911096</v>
      </c>
      <c r="O38" s="43">
        <f t="shared" si="29"/>
        <v>0.37850932813510696</v>
      </c>
      <c r="P38" s="43">
        <f t="shared" si="29"/>
        <v>0.38165470861391165</v>
      </c>
      <c r="R38" s="57">
        <f>(J38/D38)^(1/6)-1</f>
        <v>6.9163246895907138E-2</v>
      </c>
      <c r="S38" s="57">
        <f>(P38/J38)^(1/6)-1</f>
        <v>2.3053071851492524E-2</v>
      </c>
    </row>
    <row r="39" spans="1:19" x14ac:dyDescent="0.2">
      <c r="A39" s="62" t="s">
        <v>4</v>
      </c>
      <c r="B39" s="75"/>
      <c r="C39" s="63">
        <f t="shared" ref="C39:P39" si="30">C38/B38-1</f>
        <v>0.21104137383113697</v>
      </c>
      <c r="D39" s="63">
        <f t="shared" si="30"/>
        <v>0.15622743399807404</v>
      </c>
      <c r="E39" s="63">
        <f t="shared" si="30"/>
        <v>4.5213568533304827E-2</v>
      </c>
      <c r="F39" s="63">
        <f t="shared" si="30"/>
        <v>4.7675366578058487E-2</v>
      </c>
      <c r="G39" s="63">
        <f t="shared" si="30"/>
        <v>5.8483326876176855E-2</v>
      </c>
      <c r="H39" s="63">
        <f t="shared" si="30"/>
        <v>0.11395559429599622</v>
      </c>
      <c r="I39" s="63">
        <f t="shared" si="30"/>
        <v>6.8958820411983313E-2</v>
      </c>
      <c r="J39" s="63">
        <f t="shared" si="30"/>
        <v>8.2229779608238518E-2</v>
      </c>
      <c r="K39" s="63">
        <f t="shared" si="30"/>
        <v>6.2854299365965094E-2</v>
      </c>
      <c r="L39" s="63">
        <f t="shared" si="30"/>
        <v>3.5784322891335707E-2</v>
      </c>
      <c r="M39" s="63">
        <f t="shared" si="30"/>
        <v>1.2443561616773291E-2</v>
      </c>
      <c r="N39" s="63">
        <f t="shared" si="30"/>
        <v>1.0153828525066633E-2</v>
      </c>
      <c r="O39" s="63">
        <f t="shared" si="30"/>
        <v>9.9352721807159927E-3</v>
      </c>
      <c r="P39" s="63">
        <f t="shared" si="30"/>
        <v>8.3099153574412998E-3</v>
      </c>
      <c r="R39" s="109"/>
      <c r="S39" s="109"/>
    </row>
    <row r="40" spans="1:19" x14ac:dyDescent="0.2">
      <c r="A40" s="73" t="s">
        <v>19</v>
      </c>
      <c r="B40" s="56">
        <f t="shared" ref="B40:P40" si="31">B38+B36+B34</f>
        <v>18.846924662084934</v>
      </c>
      <c r="C40" s="56">
        <f t="shared" si="31"/>
        <v>21.229446374999117</v>
      </c>
      <c r="D40" s="56">
        <f t="shared" si="31"/>
        <v>24.158907951985771</v>
      </c>
      <c r="E40" s="56">
        <f t="shared" si="31"/>
        <v>31.355337360911751</v>
      </c>
      <c r="F40" s="56">
        <f t="shared" si="31"/>
        <v>34.215421847956009</v>
      </c>
      <c r="G40" s="56">
        <f t="shared" si="31"/>
        <v>39.595732710869484</v>
      </c>
      <c r="H40" s="56">
        <f t="shared" si="31"/>
        <v>45.341059414082721</v>
      </c>
      <c r="I40" s="56">
        <f t="shared" si="31"/>
        <v>52.219115619241833</v>
      </c>
      <c r="J40" s="56">
        <f t="shared" si="31"/>
        <v>59.37993615497048</v>
      </c>
      <c r="K40" s="56">
        <f t="shared" si="31"/>
        <v>66.381164533576452</v>
      </c>
      <c r="L40" s="56">
        <f t="shared" si="31"/>
        <v>73.721412096831671</v>
      </c>
      <c r="M40" s="56">
        <f t="shared" si="31"/>
        <v>81.465806751874595</v>
      </c>
      <c r="N40" s="56">
        <f t="shared" si="31"/>
        <v>89.718297114213385</v>
      </c>
      <c r="O40" s="56">
        <f t="shared" si="31"/>
        <v>98.477698157371151</v>
      </c>
      <c r="P40" s="56">
        <f t="shared" si="31"/>
        <v>107.53006431792421</v>
      </c>
      <c r="R40" s="57">
        <f>(J40/D40)^(1/6)-1</f>
        <v>0.16169932728584846</v>
      </c>
      <c r="S40" s="57">
        <f>(P40/J40)^(1/6)-1</f>
        <v>0.10403208919626961</v>
      </c>
    </row>
    <row r="41" spans="1:19" x14ac:dyDescent="0.2">
      <c r="A41" s="74" t="s">
        <v>4</v>
      </c>
      <c r="B41" s="66"/>
      <c r="C41" s="59">
        <f t="shared" ref="C41:P41" si="32">C40/B40-1</f>
        <v>0.12641434905861293</v>
      </c>
      <c r="D41" s="59">
        <f t="shared" si="32"/>
        <v>0.13799048384212864</v>
      </c>
      <c r="E41" s="59">
        <f t="shared" si="32"/>
        <v>0.29787891999209593</v>
      </c>
      <c r="F41" s="59">
        <f t="shared" si="32"/>
        <v>9.1215235674986017E-2</v>
      </c>
      <c r="G41" s="59">
        <f t="shared" si="32"/>
        <v>0.15724812299033197</v>
      </c>
      <c r="H41" s="59">
        <f t="shared" si="32"/>
        <v>0.14509964356932037</v>
      </c>
      <c r="I41" s="59">
        <f t="shared" si="32"/>
        <v>0.1516959747751907</v>
      </c>
      <c r="J41" s="59">
        <f t="shared" si="32"/>
        <v>0.13713025298900328</v>
      </c>
      <c r="K41" s="59">
        <f t="shared" si="32"/>
        <v>0.11790562321141751</v>
      </c>
      <c r="L41" s="59">
        <f t="shared" si="32"/>
        <v>0.1105772641204934</v>
      </c>
      <c r="M41" s="59">
        <f t="shared" si="32"/>
        <v>0.1050494616797466</v>
      </c>
      <c r="N41" s="59">
        <f t="shared" si="32"/>
        <v>0.10130005079890636</v>
      </c>
      <c r="O41" s="59">
        <f t="shared" si="32"/>
        <v>9.7632270394152121E-2</v>
      </c>
      <c r="P41" s="59">
        <f t="shared" si="32"/>
        <v>9.1923007238522425E-2</v>
      </c>
      <c r="R41" s="109"/>
      <c r="S41" s="109"/>
    </row>
    <row r="42" spans="1:19" ht="17.100000000000001" customHeight="1" x14ac:dyDescent="0.2">
      <c r="R42" s="109"/>
      <c r="S42" s="109"/>
    </row>
    <row r="43" spans="1:19" x14ac:dyDescent="0.2">
      <c r="A43" s="76" t="s">
        <v>20</v>
      </c>
      <c r="B43" s="56">
        <f t="shared" ref="B43:P43" si="33">B55+B111</f>
        <v>24.062017895999997</v>
      </c>
      <c r="C43" s="56">
        <f t="shared" si="33"/>
        <v>30.179571440999997</v>
      </c>
      <c r="D43" s="56">
        <f t="shared" si="33"/>
        <v>38.429006068500001</v>
      </c>
      <c r="E43" s="56">
        <f t="shared" si="33"/>
        <v>48.227588730000058</v>
      </c>
      <c r="F43" s="56">
        <f t="shared" si="33"/>
        <v>60.2209477695001</v>
      </c>
      <c r="G43" s="56">
        <f t="shared" si="33"/>
        <v>75.551647519500051</v>
      </c>
      <c r="H43" s="56">
        <f t="shared" si="33"/>
        <v>97.617211222500032</v>
      </c>
      <c r="I43" s="56">
        <f t="shared" si="33"/>
        <v>119.78104626450006</v>
      </c>
      <c r="J43" s="56">
        <f t="shared" si="33"/>
        <v>144.83034997499993</v>
      </c>
      <c r="K43" s="56">
        <f t="shared" si="33"/>
        <v>173.95773023026044</v>
      </c>
      <c r="L43" s="56">
        <f t="shared" si="33"/>
        <v>203.11457559529887</v>
      </c>
      <c r="M43" s="56">
        <f t="shared" si="33"/>
        <v>235.01522218128579</v>
      </c>
      <c r="N43" s="56">
        <f t="shared" si="33"/>
        <v>270.85569748822769</v>
      </c>
      <c r="O43" s="56">
        <f t="shared" si="33"/>
        <v>310.65567363677081</v>
      </c>
      <c r="P43" s="56">
        <f t="shared" si="33"/>
        <v>355.75178069489988</v>
      </c>
      <c r="R43" s="57">
        <f>(J43/D43)^(1/6)-1</f>
        <v>0.24747946311445079</v>
      </c>
      <c r="S43" s="57">
        <f>(P43/J43)^(1/6)-1</f>
        <v>0.16157676719280212</v>
      </c>
    </row>
    <row r="44" spans="1:19" x14ac:dyDescent="0.2">
      <c r="A44" s="58" t="s">
        <v>4</v>
      </c>
      <c r="B44" s="66"/>
      <c r="C44" s="59">
        <f t="shared" ref="C44:P44" si="34">C43/B43-1</f>
        <v>0.25424108532547329</v>
      </c>
      <c r="D44" s="59">
        <f t="shared" si="34"/>
        <v>0.27334498913039096</v>
      </c>
      <c r="E44" s="59">
        <f t="shared" si="34"/>
        <v>0.25497882105079706</v>
      </c>
      <c r="F44" s="59">
        <f t="shared" si="34"/>
        <v>0.2486825353563562</v>
      </c>
      <c r="G44" s="59">
        <f t="shared" si="34"/>
        <v>0.25457420246322382</v>
      </c>
      <c r="H44" s="59">
        <f t="shared" si="34"/>
        <v>0.29205933195970091</v>
      </c>
      <c r="I44" s="59">
        <f t="shared" si="34"/>
        <v>0.22704843504985761</v>
      </c>
      <c r="J44" s="59">
        <f t="shared" si="34"/>
        <v>0.2091257714946495</v>
      </c>
      <c r="K44" s="59">
        <f t="shared" si="34"/>
        <v>0.20111378768530463</v>
      </c>
      <c r="L44" s="59">
        <f t="shared" si="34"/>
        <v>0.16760879396646966</v>
      </c>
      <c r="M44" s="59">
        <f t="shared" si="34"/>
        <v>0.15705739724729662</v>
      </c>
      <c r="N44" s="59">
        <f t="shared" si="34"/>
        <v>0.1525027824763423</v>
      </c>
      <c r="O44" s="59">
        <f t="shared" si="34"/>
        <v>0.1469416243321704</v>
      </c>
      <c r="P44" s="59">
        <f t="shared" si="34"/>
        <v>0.1451642795710113</v>
      </c>
      <c r="R44" s="109"/>
      <c r="S44" s="109"/>
    </row>
    <row r="45" spans="1:19" x14ac:dyDescent="0.2">
      <c r="A45" s="58"/>
      <c r="B45" s="66"/>
      <c r="C45" s="59"/>
      <c r="D45" s="59"/>
      <c r="E45" s="59"/>
      <c r="F45" s="59"/>
      <c r="G45" s="59"/>
      <c r="H45" s="59"/>
      <c r="I45" s="59"/>
      <c r="J45" s="59"/>
      <c r="K45" s="59"/>
      <c r="L45" s="59"/>
      <c r="M45" s="59"/>
      <c r="N45" s="59"/>
      <c r="O45" s="59"/>
      <c r="P45" s="59"/>
      <c r="R45" s="109"/>
      <c r="S45" s="109"/>
    </row>
    <row r="46" spans="1:19" x14ac:dyDescent="0.2">
      <c r="A46" s="67" t="s">
        <v>21</v>
      </c>
      <c r="R46" s="109"/>
      <c r="S46" s="109"/>
    </row>
    <row r="47" spans="1:19" x14ac:dyDescent="0.2">
      <c r="A47" s="68" t="s">
        <v>82</v>
      </c>
      <c r="B47" s="43">
        <v>1.5818788605148761</v>
      </c>
      <c r="C47" s="43">
        <v>2.0481994556288363</v>
      </c>
      <c r="D47" s="43">
        <v>2.3865058877620138</v>
      </c>
      <c r="E47" s="43">
        <v>3.431493325802244</v>
      </c>
      <c r="F47" s="43">
        <v>4.2201005201449338</v>
      </c>
      <c r="G47" s="43">
        <v>5.3929392241883027</v>
      </c>
      <c r="H47" s="43">
        <v>7.1433133203381374</v>
      </c>
      <c r="I47" s="43">
        <v>8.7925603634022771</v>
      </c>
      <c r="J47" s="43">
        <v>10.7250772570781</v>
      </c>
      <c r="K47" s="43">
        <v>13.231219105902971</v>
      </c>
      <c r="L47" s="43">
        <v>15.741409464879148</v>
      </c>
      <c r="M47" s="43">
        <v>18.558004910596928</v>
      </c>
      <c r="N47" s="43">
        <v>21.783822479330098</v>
      </c>
      <c r="O47" s="43">
        <v>25.438107846313645</v>
      </c>
      <c r="P47" s="43">
        <v>29.645389382184845</v>
      </c>
      <c r="R47" s="57">
        <f>(J47/D47)^(1/6)-1</f>
        <v>0.28461499321579264</v>
      </c>
      <c r="S47" s="57">
        <f>(P47/J47)^(1/6)-1</f>
        <v>0.18465744550930085</v>
      </c>
    </row>
    <row r="48" spans="1:19" x14ac:dyDescent="0.2">
      <c r="A48" s="62" t="s">
        <v>4</v>
      </c>
      <c r="B48" s="63"/>
      <c r="C48" s="63">
        <f t="shared" ref="C48:P48" si="35">C47/B47-1</f>
        <v>0.29478906808463212</v>
      </c>
      <c r="D48" s="63">
        <f t="shared" si="35"/>
        <v>0.165172601332086</v>
      </c>
      <c r="E48" s="63">
        <f t="shared" si="35"/>
        <v>0.43787339616420762</v>
      </c>
      <c r="F48" s="63">
        <f t="shared" si="35"/>
        <v>0.22981457909679093</v>
      </c>
      <c r="G48" s="63">
        <f t="shared" si="35"/>
        <v>0.27791724354544267</v>
      </c>
      <c r="H48" s="63">
        <f t="shared" si="35"/>
        <v>0.32456774003665601</v>
      </c>
      <c r="I48" s="63">
        <f t="shared" si="35"/>
        <v>0.23087984092318536</v>
      </c>
      <c r="J48" s="63">
        <f t="shared" si="35"/>
        <v>0.21979000584626474</v>
      </c>
      <c r="K48" s="63">
        <f t="shared" si="35"/>
        <v>0.23367121641673227</v>
      </c>
      <c r="L48" s="63">
        <f t="shared" si="35"/>
        <v>0.18971723912094252</v>
      </c>
      <c r="M48" s="63">
        <f t="shared" si="35"/>
        <v>0.17892905028624795</v>
      </c>
      <c r="N48" s="63">
        <f t="shared" si="35"/>
        <v>0.17382351089319825</v>
      </c>
      <c r="O48" s="63">
        <f t="shared" si="35"/>
        <v>0.16775225608136357</v>
      </c>
      <c r="P48" s="63">
        <f t="shared" si="35"/>
        <v>0.1653928649603118</v>
      </c>
      <c r="R48" s="109"/>
      <c r="S48" s="109"/>
    </row>
    <row r="49" spans="1:19" x14ac:dyDescent="0.2">
      <c r="A49" s="68" t="s">
        <v>10</v>
      </c>
      <c r="B49" s="43">
        <v>16.511383801841824</v>
      </c>
      <c r="C49" s="43">
        <v>20.490029643056925</v>
      </c>
      <c r="D49" s="43">
        <v>25.411479172668137</v>
      </c>
      <c r="E49" s="43">
        <v>30.921999252475594</v>
      </c>
      <c r="F49" s="43">
        <v>38.324725821451629</v>
      </c>
      <c r="G49" s="43">
        <v>47.162030734033252</v>
      </c>
      <c r="H49" s="43">
        <v>59.266033262099526</v>
      </c>
      <c r="I49" s="43">
        <v>71.682628052760819</v>
      </c>
      <c r="J49" s="43">
        <v>85.349929622242996</v>
      </c>
      <c r="K49" s="43">
        <v>100.08507831124582</v>
      </c>
      <c r="L49" s="43">
        <v>114.77344305751258</v>
      </c>
      <c r="M49" s="43">
        <v>130.41836845490019</v>
      </c>
      <c r="N49" s="43">
        <v>147.54405447834623</v>
      </c>
      <c r="O49" s="43">
        <v>166.03973081778062</v>
      </c>
      <c r="P49" s="43">
        <v>186.4542243565453</v>
      </c>
      <c r="R49" s="57">
        <f>(J49/D49)^(1/6)-1</f>
        <v>0.22375798043065265</v>
      </c>
      <c r="S49" s="57">
        <f>(P49/J49)^(1/6)-1</f>
        <v>0.13909910332807884</v>
      </c>
    </row>
    <row r="50" spans="1:19" x14ac:dyDescent="0.2">
      <c r="A50" s="62" t="s">
        <v>4</v>
      </c>
      <c r="B50" s="63"/>
      <c r="C50" s="63">
        <f t="shared" ref="C50:P50" si="36">C49/B49-1</f>
        <v>0.24096380345609125</v>
      </c>
      <c r="D50" s="63">
        <f t="shared" si="36"/>
        <v>0.24018752609656935</v>
      </c>
      <c r="E50" s="63">
        <f t="shared" si="36"/>
        <v>0.21685160640843026</v>
      </c>
      <c r="F50" s="63">
        <f t="shared" si="36"/>
        <v>0.23939999831619474</v>
      </c>
      <c r="G50" s="63">
        <f t="shared" si="36"/>
        <v>0.23059016661340559</v>
      </c>
      <c r="H50" s="63">
        <f t="shared" si="36"/>
        <v>0.25664718714776913</v>
      </c>
      <c r="I50" s="63">
        <f t="shared" si="36"/>
        <v>0.20950608817954541</v>
      </c>
      <c r="J50" s="63">
        <f t="shared" si="36"/>
        <v>0.19066406939520397</v>
      </c>
      <c r="K50" s="63">
        <f t="shared" si="36"/>
        <v>0.17264394656469295</v>
      </c>
      <c r="L50" s="63">
        <f t="shared" si="36"/>
        <v>0.14675878756460281</v>
      </c>
      <c r="M50" s="63">
        <f t="shared" si="36"/>
        <v>0.1363113711727546</v>
      </c>
      <c r="N50" s="63">
        <f t="shared" si="36"/>
        <v>0.13131345090678881</v>
      </c>
      <c r="O50" s="63">
        <f t="shared" si="36"/>
        <v>0.12535697493760312</v>
      </c>
      <c r="P50" s="63">
        <f t="shared" si="36"/>
        <v>0.12294944973843913</v>
      </c>
      <c r="R50" s="109"/>
      <c r="S50" s="109"/>
    </row>
    <row r="51" spans="1:19" x14ac:dyDescent="0.2">
      <c r="A51" s="68" t="s">
        <v>11</v>
      </c>
      <c r="B51" s="43">
        <v>1.8446749254618173</v>
      </c>
      <c r="C51" s="43">
        <v>2.438533481639527</v>
      </c>
      <c r="D51" s="43">
        <v>3.7042623709060787</v>
      </c>
      <c r="E51" s="43">
        <v>5.0739784997628981</v>
      </c>
      <c r="F51" s="43">
        <v>6.6390103103384943</v>
      </c>
      <c r="G51" s="43">
        <v>8.9914509677760304</v>
      </c>
      <c r="H51" s="43">
        <v>12.530539002488286</v>
      </c>
      <c r="I51" s="43">
        <v>16.15752518872857</v>
      </c>
      <c r="J51" s="43">
        <v>20.500372692861074</v>
      </c>
      <c r="K51" s="43">
        <v>26.435807504372011</v>
      </c>
      <c r="L51" s="43">
        <v>32.624284966078626</v>
      </c>
      <c r="M51" s="43">
        <v>39.796364386750739</v>
      </c>
      <c r="N51" s="43">
        <v>48.22665314761754</v>
      </c>
      <c r="O51" s="43">
        <v>58.023550945461118</v>
      </c>
      <c r="P51" s="43">
        <v>69.543136185153145</v>
      </c>
      <c r="R51" s="57">
        <f>(J51/D51)^(1/6)-1</f>
        <v>0.3299745670884211</v>
      </c>
      <c r="S51" s="57">
        <f>(P51/J51)^(1/6)-1</f>
        <v>0.22578815189064305</v>
      </c>
    </row>
    <row r="52" spans="1:19" x14ac:dyDescent="0.2">
      <c r="A52" s="62" t="s">
        <v>4</v>
      </c>
      <c r="B52" s="63"/>
      <c r="C52" s="63">
        <f t="shared" ref="C52:P52" si="37">C51/B51-1</f>
        <v>0.32193127796163656</v>
      </c>
      <c r="D52" s="63">
        <f t="shared" si="37"/>
        <v>0.51905331577221148</v>
      </c>
      <c r="E52" s="63">
        <f t="shared" si="37"/>
        <v>0.3697675789962418</v>
      </c>
      <c r="F52" s="63">
        <f t="shared" si="37"/>
        <v>0.3084427359415749</v>
      </c>
      <c r="G52" s="63">
        <f t="shared" si="37"/>
        <v>0.35433604520454431</v>
      </c>
      <c r="H52" s="63">
        <f t="shared" si="37"/>
        <v>0.39360588712498124</v>
      </c>
      <c r="I52" s="63">
        <f t="shared" si="37"/>
        <v>0.28945172953214904</v>
      </c>
      <c r="J52" s="63">
        <f t="shared" si="37"/>
        <v>0.26878172575352433</v>
      </c>
      <c r="K52" s="63">
        <f t="shared" si="37"/>
        <v>0.28952814177753261</v>
      </c>
      <c r="L52" s="63">
        <f t="shared" si="37"/>
        <v>0.23409451217569766</v>
      </c>
      <c r="M52" s="63">
        <f t="shared" si="37"/>
        <v>0.21983867012347824</v>
      </c>
      <c r="N52" s="63">
        <f t="shared" si="37"/>
        <v>0.21183565108961222</v>
      </c>
      <c r="O52" s="63">
        <f t="shared" si="37"/>
        <v>0.20314280918180527</v>
      </c>
      <c r="P52" s="63">
        <f t="shared" si="37"/>
        <v>0.19853292416590973</v>
      </c>
      <c r="R52" s="109"/>
      <c r="S52" s="109"/>
    </row>
    <row r="53" spans="1:19" x14ac:dyDescent="0.2">
      <c r="A53" s="68" t="s">
        <v>22</v>
      </c>
      <c r="B53" s="43">
        <v>0.68201330868147847</v>
      </c>
      <c r="C53" s="43">
        <v>0.88519490767470987</v>
      </c>
      <c r="D53" s="43">
        <v>1.1385774471637822</v>
      </c>
      <c r="E53" s="43">
        <v>1.4648875579593421</v>
      </c>
      <c r="F53" s="43">
        <v>1.887544869565067</v>
      </c>
      <c r="G53" s="43">
        <v>2.4273492465025024</v>
      </c>
      <c r="H53" s="43">
        <v>3.2291588475741126</v>
      </c>
      <c r="I53" s="43">
        <v>4.0102446346084388</v>
      </c>
      <c r="J53" s="43">
        <v>4.9339745328178166</v>
      </c>
      <c r="K53" s="43">
        <v>6.0949304533033501</v>
      </c>
      <c r="L53" s="43">
        <v>7.2866205386178704</v>
      </c>
      <c r="M53" s="43">
        <v>8.6306553668130164</v>
      </c>
      <c r="N53" s="43">
        <v>10.176483521537335</v>
      </c>
      <c r="O53" s="43">
        <v>11.935079756510515</v>
      </c>
      <c r="P53" s="43">
        <v>13.967042610085233</v>
      </c>
      <c r="R53" s="57">
        <f>(J53/D53)^(1/6)-1</f>
        <v>0.27684757028758278</v>
      </c>
      <c r="S53" s="57">
        <f>(P53/J53)^(1/6)-1</f>
        <v>0.18937259035906728</v>
      </c>
    </row>
    <row r="54" spans="1:19" x14ac:dyDescent="0.2">
      <c r="A54" s="62" t="s">
        <v>4</v>
      </c>
      <c r="C54" s="63">
        <f t="shared" ref="C54:P54" si="38">C53/B53-1</f>
        <v>0.29791441956761511</v>
      </c>
      <c r="D54" s="63">
        <f t="shared" si="38"/>
        <v>0.28624491317361378</v>
      </c>
      <c r="E54" s="63">
        <f t="shared" si="38"/>
        <v>0.28659456728956334</v>
      </c>
      <c r="F54" s="63">
        <f t="shared" si="38"/>
        <v>0.28852542934729164</v>
      </c>
      <c r="G54" s="63">
        <f t="shared" si="38"/>
        <v>0.28598227551635302</v>
      </c>
      <c r="H54" s="63">
        <f t="shared" si="38"/>
        <v>0.33032313014985992</v>
      </c>
      <c r="I54" s="63">
        <f t="shared" si="38"/>
        <v>0.24188521652352679</v>
      </c>
      <c r="J54" s="63">
        <f t="shared" si="38"/>
        <v>0.23034253078667133</v>
      </c>
      <c r="K54" s="63">
        <f t="shared" si="38"/>
        <v>0.2352983204034711</v>
      </c>
      <c r="L54" s="63">
        <f t="shared" si="38"/>
        <v>0.19552152308294901</v>
      </c>
      <c r="M54" s="63">
        <f t="shared" si="38"/>
        <v>0.18445242497149206</v>
      </c>
      <c r="N54" s="63">
        <f t="shared" si="38"/>
        <v>0.17910901189131101</v>
      </c>
      <c r="O54" s="63">
        <f t="shared" si="38"/>
        <v>0.17280981502611548</v>
      </c>
      <c r="P54" s="63">
        <f t="shared" si="38"/>
        <v>0.17025130078969886</v>
      </c>
      <c r="R54" s="109"/>
      <c r="S54" s="109"/>
    </row>
    <row r="55" spans="1:19" x14ac:dyDescent="0.2">
      <c r="A55" s="77" t="s">
        <v>23</v>
      </c>
      <c r="B55" s="56">
        <f t="shared" ref="B55:P55" si="39">B53+B51+B49+B47</f>
        <v>20.619950896499997</v>
      </c>
      <c r="C55" s="56">
        <f t="shared" si="39"/>
        <v>25.861957487999998</v>
      </c>
      <c r="D55" s="56">
        <f t="shared" si="39"/>
        <v>32.640824878500013</v>
      </c>
      <c r="E55" s="56">
        <f t="shared" si="39"/>
        <v>40.892358636000075</v>
      </c>
      <c r="F55" s="56">
        <f t="shared" si="39"/>
        <v>51.071381521500122</v>
      </c>
      <c r="G55" s="56">
        <f t="shared" si="39"/>
        <v>63.973770172500089</v>
      </c>
      <c r="H55" s="56">
        <f t="shared" si="39"/>
        <v>82.169044432500058</v>
      </c>
      <c r="I55" s="56">
        <f t="shared" si="39"/>
        <v>100.6429582395001</v>
      </c>
      <c r="J55" s="56">
        <f t="shared" si="39"/>
        <v>121.50935410499999</v>
      </c>
      <c r="K55" s="56">
        <f t="shared" si="39"/>
        <v>145.84703537482415</v>
      </c>
      <c r="L55" s="56">
        <f t="shared" si="39"/>
        <v>170.42575802708822</v>
      </c>
      <c r="M55" s="56">
        <f t="shared" si="39"/>
        <v>197.40339311906087</v>
      </c>
      <c r="N55" s="56">
        <f t="shared" si="39"/>
        <v>227.73101362683119</v>
      </c>
      <c r="O55" s="56">
        <f t="shared" si="39"/>
        <v>261.43646936606592</v>
      </c>
      <c r="P55" s="56">
        <f t="shared" si="39"/>
        <v>299.60979253396852</v>
      </c>
      <c r="R55" s="57">
        <f>(J55/D55)^(1/6)-1</f>
        <v>0.24491996298485486</v>
      </c>
      <c r="S55" s="57">
        <f>(P55/J55)^(1/6)-1</f>
        <v>0.16231644358673769</v>
      </c>
    </row>
    <row r="56" spans="1:19" x14ac:dyDescent="0.2">
      <c r="A56" s="74" t="s">
        <v>4</v>
      </c>
      <c r="B56" s="66"/>
      <c r="C56" s="59">
        <f t="shared" ref="C56:P56" si="40">C55/B55-1</f>
        <v>0.25422012970893015</v>
      </c>
      <c r="D56" s="59">
        <f t="shared" si="40"/>
        <v>0.2621173356133395</v>
      </c>
      <c r="E56" s="59">
        <f t="shared" si="40"/>
        <v>0.25279795434750851</v>
      </c>
      <c r="F56" s="59">
        <f t="shared" si="40"/>
        <v>0.24892237144127027</v>
      </c>
      <c r="G56" s="59">
        <f t="shared" si="40"/>
        <v>0.25263441611753334</v>
      </c>
      <c r="H56" s="59">
        <f t="shared" si="40"/>
        <v>0.28441772637344775</v>
      </c>
      <c r="I56" s="59">
        <f t="shared" si="40"/>
        <v>0.2248281446448599</v>
      </c>
      <c r="J56" s="59">
        <f t="shared" si="40"/>
        <v>0.20733090750218319</v>
      </c>
      <c r="K56" s="59">
        <f t="shared" si="40"/>
        <v>0.20029471351475725</v>
      </c>
      <c r="L56" s="59">
        <f t="shared" si="40"/>
        <v>0.16852397848949918</v>
      </c>
      <c r="M56" s="59">
        <f t="shared" si="40"/>
        <v>0.15829552647601952</v>
      </c>
      <c r="N56" s="59">
        <f t="shared" si="40"/>
        <v>0.15363272144708606</v>
      </c>
      <c r="O56" s="59">
        <f t="shared" si="40"/>
        <v>0.14800555797141346</v>
      </c>
      <c r="P56" s="59">
        <f t="shared" si="40"/>
        <v>0.14601376487551909</v>
      </c>
      <c r="R56" s="109"/>
      <c r="S56" s="109"/>
    </row>
    <row r="57" spans="1:19" ht="17.100000000000001" customHeight="1" x14ac:dyDescent="0.2">
      <c r="B57" s="108"/>
      <c r="C57" s="108"/>
      <c r="D57" s="108"/>
      <c r="E57" s="108"/>
      <c r="F57" s="108"/>
      <c r="G57" s="108"/>
      <c r="H57" s="108"/>
      <c r="I57" s="108"/>
      <c r="J57" s="108"/>
      <c r="K57" s="108"/>
      <c r="L57" s="108"/>
      <c r="M57" s="108"/>
      <c r="N57" s="108"/>
      <c r="O57" s="108"/>
      <c r="P57" s="108"/>
      <c r="R57" s="109"/>
      <c r="S57" s="109"/>
    </row>
    <row r="58" spans="1:19" x14ac:dyDescent="0.2">
      <c r="A58" s="67" t="s">
        <v>24</v>
      </c>
      <c r="R58" s="109"/>
      <c r="S58" s="109"/>
    </row>
    <row r="59" spans="1:19" x14ac:dyDescent="0.2">
      <c r="A59" s="68" t="s">
        <v>82</v>
      </c>
      <c r="B59" s="112">
        <f t="shared" ref="B59:P59" si="41">(B47*1000000)/(B34*1000)</f>
        <v>101.90314401020682</v>
      </c>
      <c r="C59" s="112">
        <f t="shared" si="41"/>
        <v>117.49460303220613</v>
      </c>
      <c r="D59" s="112">
        <f t="shared" si="41"/>
        <v>120.14811418839057</v>
      </c>
      <c r="E59" s="112">
        <f t="shared" si="41"/>
        <v>129.37885520203278</v>
      </c>
      <c r="F59" s="112">
        <f t="shared" si="41"/>
        <v>145.2767637054385</v>
      </c>
      <c r="G59" s="112">
        <f t="shared" si="41"/>
        <v>159.22714600146247</v>
      </c>
      <c r="H59" s="112">
        <f t="shared" si="41"/>
        <v>183.64473547698407</v>
      </c>
      <c r="I59" s="112">
        <f t="shared" si="41"/>
        <v>195.3281926395014</v>
      </c>
      <c r="J59" s="112">
        <f t="shared" si="41"/>
        <v>208.62617636613149</v>
      </c>
      <c r="K59" s="112">
        <f t="shared" si="41"/>
        <v>229.27081793368097</v>
      </c>
      <c r="L59" s="112">
        <f t="shared" si="41"/>
        <v>244.50269615199474</v>
      </c>
      <c r="M59" s="112">
        <f t="shared" si="41"/>
        <v>259.6835565019552</v>
      </c>
      <c r="N59" s="112">
        <f t="shared" si="41"/>
        <v>275.58578355918894</v>
      </c>
      <c r="O59" s="112">
        <f t="shared" si="41"/>
        <v>291.96165906837285</v>
      </c>
      <c r="P59" s="112">
        <f t="shared" si="41"/>
        <v>310.37832318427326</v>
      </c>
      <c r="R59" s="57">
        <f>(J59/D59)^(1/6)-1</f>
        <v>9.6331703966618942E-2</v>
      </c>
      <c r="S59" s="57">
        <f>(P59/J59)^(1/6)-1</f>
        <v>6.8448918992136898E-2</v>
      </c>
    </row>
    <row r="60" spans="1:19" x14ac:dyDescent="0.2">
      <c r="A60" s="62" t="s">
        <v>4</v>
      </c>
      <c r="C60" s="63">
        <f t="shared" ref="C60:P60" si="42">C59/B59-1</f>
        <v>0.15300272796723169</v>
      </c>
      <c r="D60" s="63">
        <f t="shared" si="42"/>
        <v>2.2584110994928741E-2</v>
      </c>
      <c r="E60" s="63">
        <f t="shared" si="42"/>
        <v>7.6828014122373611E-2</v>
      </c>
      <c r="F60" s="63">
        <f t="shared" si="42"/>
        <v>0.12287872294572555</v>
      </c>
      <c r="G60" s="63">
        <f t="shared" si="42"/>
        <v>9.6026246319126596E-2</v>
      </c>
      <c r="H60" s="63">
        <f t="shared" si="42"/>
        <v>0.15335066971116418</v>
      </c>
      <c r="I60" s="63">
        <f t="shared" si="42"/>
        <v>6.3619886146867533E-2</v>
      </c>
      <c r="J60" s="63">
        <f t="shared" si="42"/>
        <v>6.8080206686665701E-2</v>
      </c>
      <c r="K60" s="63">
        <f t="shared" si="42"/>
        <v>9.8955183511195033E-2</v>
      </c>
      <c r="L60" s="63">
        <f t="shared" si="42"/>
        <v>6.6436183878925803E-2</v>
      </c>
      <c r="M60" s="63">
        <f t="shared" si="42"/>
        <v>6.2088723719117223E-2</v>
      </c>
      <c r="N60" s="63">
        <f t="shared" si="42"/>
        <v>6.1236942652216131E-2</v>
      </c>
      <c r="O60" s="63">
        <f t="shared" si="42"/>
        <v>5.9422061971737383E-2</v>
      </c>
      <c r="P60" s="63">
        <f t="shared" si="42"/>
        <v>6.3079050087146982E-2</v>
      </c>
      <c r="R60" s="109"/>
      <c r="S60" s="109"/>
    </row>
    <row r="61" spans="1:19" x14ac:dyDescent="0.2">
      <c r="A61" s="68" t="s">
        <v>10</v>
      </c>
      <c r="B61" s="112">
        <f t="shared" ref="B61:P61" si="43">(B49*1000000)/(B36*1000)</f>
        <v>5217.8317952924108</v>
      </c>
      <c r="C61" s="112">
        <f t="shared" si="43"/>
        <v>5684.6955288981753</v>
      </c>
      <c r="D61" s="112">
        <f t="shared" si="43"/>
        <v>6238.9726280943769</v>
      </c>
      <c r="E61" s="112">
        <f t="shared" si="43"/>
        <v>6722.7885394326022</v>
      </c>
      <c r="F61" s="112">
        <f t="shared" si="43"/>
        <v>7785.3176850073241</v>
      </c>
      <c r="G61" s="112">
        <f t="shared" si="43"/>
        <v>8625.1660111950259</v>
      </c>
      <c r="H61" s="112">
        <f t="shared" si="43"/>
        <v>9627.5779982390941</v>
      </c>
      <c r="I61" s="112">
        <f t="shared" si="43"/>
        <v>10392.943235734507</v>
      </c>
      <c r="J61" s="112">
        <f t="shared" si="43"/>
        <v>11172.989974935048</v>
      </c>
      <c r="K61" s="112">
        <f t="shared" si="43"/>
        <v>12033.266609510705</v>
      </c>
      <c r="L61" s="112">
        <f t="shared" si="43"/>
        <v>12790.09280487009</v>
      </c>
      <c r="M61" s="112">
        <f t="shared" si="43"/>
        <v>13541.704116696061</v>
      </c>
      <c r="N61" s="112">
        <f t="shared" si="43"/>
        <v>14327.464109559567</v>
      </c>
      <c r="O61" s="112">
        <f t="shared" si="43"/>
        <v>15134.502486477624</v>
      </c>
      <c r="P61" s="112">
        <f t="shared" si="43"/>
        <v>16025.720395927985</v>
      </c>
      <c r="R61" s="57">
        <f>(J61/D61)^(1/6)-1</f>
        <v>0.1019859433504462</v>
      </c>
      <c r="S61" s="57">
        <f>(P61/J61)^(1/6)-1</f>
        <v>6.1959673629974343E-2</v>
      </c>
    </row>
    <row r="62" spans="1:19" x14ac:dyDescent="0.2">
      <c r="A62" s="62" t="s">
        <v>4</v>
      </c>
      <c r="C62" s="63">
        <f t="shared" ref="C62:P62" si="44">C61/B61-1</f>
        <v>8.9474661491958152E-2</v>
      </c>
      <c r="D62" s="63">
        <f t="shared" si="44"/>
        <v>9.7503392464650229E-2</v>
      </c>
      <c r="E62" s="63">
        <f t="shared" si="44"/>
        <v>7.7547368802289629E-2</v>
      </c>
      <c r="F62" s="63">
        <f t="shared" si="44"/>
        <v>0.15804887203315166</v>
      </c>
      <c r="G62" s="63">
        <f t="shared" si="44"/>
        <v>0.10787592236666854</v>
      </c>
      <c r="H62" s="63">
        <f t="shared" si="44"/>
        <v>0.11621944270324636</v>
      </c>
      <c r="I62" s="63">
        <f t="shared" si="44"/>
        <v>7.9497173394533771E-2</v>
      </c>
      <c r="J62" s="63">
        <f t="shared" si="44"/>
        <v>7.5055421886504048E-2</v>
      </c>
      <c r="K62" s="63">
        <f t="shared" si="44"/>
        <v>7.6996098314377814E-2</v>
      </c>
      <c r="L62" s="63">
        <f t="shared" si="44"/>
        <v>6.289449240335232E-2</v>
      </c>
      <c r="M62" s="63">
        <f t="shared" si="44"/>
        <v>5.8765117915311693E-2</v>
      </c>
      <c r="N62" s="63">
        <f t="shared" si="44"/>
        <v>5.8025192848122797E-2</v>
      </c>
      <c r="O62" s="63">
        <f t="shared" si="44"/>
        <v>5.6328068299231315E-2</v>
      </c>
      <c r="P62" s="63">
        <f t="shared" si="44"/>
        <v>5.8886501901641353E-2</v>
      </c>
      <c r="R62" s="109"/>
      <c r="S62" s="109"/>
    </row>
    <row r="63" spans="1:19" x14ac:dyDescent="0.2">
      <c r="A63" s="68" t="s">
        <v>11</v>
      </c>
      <c r="B63" s="112">
        <f t="shared" ref="B63:P63" si="45">(B51*1000000)/(B38*1000)</f>
        <v>11590.564275646435</v>
      </c>
      <c r="C63" s="112">
        <f t="shared" si="45"/>
        <v>12651.862914254336</v>
      </c>
      <c r="D63" s="112">
        <f t="shared" si="45"/>
        <v>16622.036240860842</v>
      </c>
      <c r="E63" s="112">
        <f t="shared" si="45"/>
        <v>21783.420178501307</v>
      </c>
      <c r="F63" s="112">
        <f t="shared" si="45"/>
        <v>27205.33364225048</v>
      </c>
      <c r="G63" s="112">
        <f t="shared" si="45"/>
        <v>34809.394761327079</v>
      </c>
      <c r="H63" s="112">
        <f t="shared" si="45"/>
        <v>43548.035231423106</v>
      </c>
      <c r="I63" s="112">
        <f t="shared" si="45"/>
        <v>52530.638481699185</v>
      </c>
      <c r="J63" s="112">
        <f t="shared" si="45"/>
        <v>61585.732904034194</v>
      </c>
      <c r="K63" s="112">
        <f t="shared" si="45"/>
        <v>74720.058769223382</v>
      </c>
      <c r="L63" s="112">
        <f t="shared" si="45"/>
        <v>89025.883515151596</v>
      </c>
      <c r="M63" s="112">
        <f t="shared" si="45"/>
        <v>107262.48797539991</v>
      </c>
      <c r="N63" s="112">
        <f t="shared" si="45"/>
        <v>128677.93328363846</v>
      </c>
      <c r="O63" s="112">
        <f t="shared" si="45"/>
        <v>153294.90353999918</v>
      </c>
      <c r="P63" s="112">
        <f t="shared" si="45"/>
        <v>182214.79943931242</v>
      </c>
      <c r="R63" s="57">
        <f>(J63/D63)^(1/6)-1</f>
        <v>0.2439396611787068</v>
      </c>
      <c r="S63" s="57">
        <f>(P63/J63)^(1/6)-1</f>
        <v>0.19816672821503412</v>
      </c>
    </row>
    <row r="64" spans="1:19" x14ac:dyDescent="0.2">
      <c r="A64" s="62" t="s">
        <v>4</v>
      </c>
      <c r="C64" s="63">
        <f t="shared" ref="C64:P64" si="46">C63/B63-1</f>
        <v>9.1565743769512098E-2</v>
      </c>
      <c r="D64" s="63">
        <f t="shared" si="46"/>
        <v>0.31380148152992349</v>
      </c>
      <c r="E64" s="63">
        <f t="shared" si="46"/>
        <v>0.31051454002684586</v>
      </c>
      <c r="F64" s="63">
        <f t="shared" si="46"/>
        <v>0.2489009264532398</v>
      </c>
      <c r="G64" s="63">
        <f t="shared" si="46"/>
        <v>0.27950626223040786</v>
      </c>
      <c r="H64" s="63">
        <f t="shared" si="46"/>
        <v>0.25104258577355609</v>
      </c>
      <c r="I64" s="63">
        <f t="shared" si="46"/>
        <v>0.20626885237280401</v>
      </c>
      <c r="J64" s="63">
        <f t="shared" si="46"/>
        <v>0.17237739125309992</v>
      </c>
      <c r="K64" s="63">
        <f t="shared" si="46"/>
        <v>0.21326897068279949</v>
      </c>
      <c r="L64" s="63">
        <f t="shared" si="46"/>
        <v>0.19145896003792595</v>
      </c>
      <c r="M64" s="63">
        <f t="shared" si="46"/>
        <v>0.20484609352003313</v>
      </c>
      <c r="N64" s="63">
        <f t="shared" si="46"/>
        <v>0.19965456435385009</v>
      </c>
      <c r="O64" s="63">
        <f t="shared" si="46"/>
        <v>0.19130685136276426</v>
      </c>
      <c r="P64" s="63">
        <f t="shared" si="46"/>
        <v>0.18865529924005053</v>
      </c>
      <c r="R64" s="109"/>
      <c r="S64" s="109"/>
    </row>
    <row r="65" spans="1:19" x14ac:dyDescent="0.2">
      <c r="A65" s="77" t="s">
        <v>23</v>
      </c>
      <c r="B65" s="56">
        <f>(B55*1000000)/(B40*1000)</f>
        <v>1094.0750953380702</v>
      </c>
      <c r="C65" s="56">
        <f t="shared" ref="C65:P65" si="47">(C55*1000000)/(C40*1000)</f>
        <v>1218.2115836264275</v>
      </c>
      <c r="D65" s="56">
        <f t="shared" si="47"/>
        <v>1351.0885899052842</v>
      </c>
      <c r="E65" s="56">
        <f t="shared" si="47"/>
        <v>1304.1594215783302</v>
      </c>
      <c r="F65" s="56">
        <f t="shared" si="47"/>
        <v>1492.6421702017119</v>
      </c>
      <c r="G65" s="56">
        <f t="shared" si="47"/>
        <v>1615.673351460385</v>
      </c>
      <c r="H65" s="56">
        <f t="shared" si="47"/>
        <v>1812.2435932094418</v>
      </c>
      <c r="I65" s="56">
        <f t="shared" si="47"/>
        <v>1927.320236009798</v>
      </c>
      <c r="J65" s="56">
        <f t="shared" si="47"/>
        <v>2046.303212382772</v>
      </c>
      <c r="K65" s="56">
        <f t="shared" si="47"/>
        <v>2197.1147448166989</v>
      </c>
      <c r="L65" s="56">
        <f t="shared" si="47"/>
        <v>2311.7538470809163</v>
      </c>
      <c r="M65" s="56">
        <f t="shared" si="47"/>
        <v>2423.1441507760978</v>
      </c>
      <c r="N65" s="56">
        <f t="shared" si="47"/>
        <v>2538.2895234505459</v>
      </c>
      <c r="O65" s="56">
        <f t="shared" si="47"/>
        <v>2654.7784346896528</v>
      </c>
      <c r="P65" s="56">
        <f t="shared" si="47"/>
        <v>2786.2886015592799</v>
      </c>
      <c r="R65" s="57">
        <f>(J65/D65)^(1/6)-1</f>
        <v>7.1636983636238938E-2</v>
      </c>
      <c r="S65" s="57">
        <f>(P65/J65)^(1/6)-1</f>
        <v>5.2792264790870957E-2</v>
      </c>
    </row>
    <row r="66" spans="1:19" x14ac:dyDescent="0.2">
      <c r="A66" s="74" t="s">
        <v>4</v>
      </c>
      <c r="B66" s="66"/>
      <c r="C66" s="59">
        <f t="shared" ref="C66:P66" si="48">C65/B65-1</f>
        <v>0.11346249340407377</v>
      </c>
      <c r="D66" s="59">
        <f t="shared" si="48"/>
        <v>0.10907547429757836</v>
      </c>
      <c r="E66" s="59">
        <f t="shared" si="48"/>
        <v>-3.4734338427240941E-2</v>
      </c>
      <c r="F66" s="59">
        <f t="shared" si="48"/>
        <v>0.14452431620305628</v>
      </c>
      <c r="G66" s="59">
        <f t="shared" si="48"/>
        <v>8.242510074738596E-2</v>
      </c>
      <c r="H66" s="59">
        <f t="shared" si="48"/>
        <v>0.12166459363297633</v>
      </c>
      <c r="I66" s="59">
        <f t="shared" si="48"/>
        <v>6.349954455987783E-2</v>
      </c>
      <c r="J66" s="59">
        <f t="shared" si="48"/>
        <v>6.1734928191958804E-2</v>
      </c>
      <c r="K66" s="59">
        <f t="shared" si="48"/>
        <v>7.3699504316526943E-2</v>
      </c>
      <c r="L66" s="59">
        <f t="shared" si="48"/>
        <v>5.2177112066935649E-2</v>
      </c>
      <c r="M66" s="59">
        <f t="shared" si="48"/>
        <v>4.8184327166076013E-2</v>
      </c>
      <c r="N66" s="59">
        <f t="shared" si="48"/>
        <v>4.751899412899907E-2</v>
      </c>
      <c r="O66" s="59">
        <f t="shared" si="48"/>
        <v>4.589268094238208E-2</v>
      </c>
      <c r="P66" s="59">
        <f t="shared" si="48"/>
        <v>4.9537153515788912E-2</v>
      </c>
      <c r="R66" s="109"/>
      <c r="S66" s="109"/>
    </row>
    <row r="67" spans="1:19" ht="17.100000000000001" customHeight="1" x14ac:dyDescent="0.2">
      <c r="R67" s="109"/>
      <c r="S67" s="109"/>
    </row>
    <row r="68" spans="1:19" x14ac:dyDescent="0.2">
      <c r="A68" s="67" t="s">
        <v>25</v>
      </c>
      <c r="R68" s="109"/>
      <c r="S68" s="109"/>
    </row>
    <row r="69" spans="1:19" x14ac:dyDescent="0.2">
      <c r="A69" s="68" t="s">
        <v>26</v>
      </c>
      <c r="B69" s="46">
        <v>14.520074870999998</v>
      </c>
      <c r="C69" s="46">
        <v>18.175249019999988</v>
      </c>
      <c r="D69" s="46">
        <v>22.977411945000018</v>
      </c>
      <c r="E69" s="46">
        <v>28.662232200000076</v>
      </c>
      <c r="F69" s="46">
        <v>35.914819395000123</v>
      </c>
      <c r="G69" s="46">
        <v>44.7800520300001</v>
      </c>
      <c r="H69" s="46">
        <v>57.384173025000052</v>
      </c>
      <c r="I69" s="46">
        <v>70.301092920000031</v>
      </c>
      <c r="J69" s="46">
        <v>84.773600744999897</v>
      </c>
      <c r="K69" s="46">
        <v>101.74184494688262</v>
      </c>
      <c r="L69" s="46">
        <v>119.5236540607613</v>
      </c>
      <c r="M69" s="46">
        <v>139.20097148623864</v>
      </c>
      <c r="N69" s="46">
        <v>161.44719392485004</v>
      </c>
      <c r="O69" s="46">
        <v>186.33094556038841</v>
      </c>
      <c r="P69" s="46">
        <v>214.54281963425049</v>
      </c>
      <c r="R69" s="57">
        <f>(J69/D69)^(1/6)-1</f>
        <v>0.2430633248338383</v>
      </c>
      <c r="S69" s="57">
        <f>(P69/J69)^(1/6)-1</f>
        <v>0.16737097854261385</v>
      </c>
    </row>
    <row r="70" spans="1:19" x14ac:dyDescent="0.2">
      <c r="A70" s="62" t="s">
        <v>4</v>
      </c>
      <c r="B70" s="63"/>
      <c r="C70" s="63">
        <f t="shared" ref="C70:P70" si="49">C69/B69-1</f>
        <v>0.25173245878368244</v>
      </c>
      <c r="D70" s="63">
        <f t="shared" si="49"/>
        <v>0.26421442257631478</v>
      </c>
      <c r="E70" s="63">
        <f t="shared" si="49"/>
        <v>0.24740907586143956</v>
      </c>
      <c r="F70" s="63">
        <f t="shared" si="49"/>
        <v>0.25303637010518765</v>
      </c>
      <c r="G70" s="63">
        <f t="shared" si="49"/>
        <v>0.24684051832470444</v>
      </c>
      <c r="H70" s="63">
        <f t="shared" si="49"/>
        <v>0.28146731465510366</v>
      </c>
      <c r="I70" s="63">
        <f t="shared" si="49"/>
        <v>0.22509551352029722</v>
      </c>
      <c r="J70" s="63">
        <f t="shared" si="49"/>
        <v>0.20586462064635369</v>
      </c>
      <c r="K70" s="63">
        <f t="shared" si="49"/>
        <v>0.20015953141973331</v>
      </c>
      <c r="L70" s="63">
        <f t="shared" si="49"/>
        <v>0.17477380249161212</v>
      </c>
      <c r="M70" s="63">
        <f t="shared" si="49"/>
        <v>0.16463115673717721</v>
      </c>
      <c r="N70" s="63">
        <f t="shared" si="49"/>
        <v>0.15981370101867887</v>
      </c>
      <c r="O70" s="63">
        <f t="shared" si="49"/>
        <v>0.15412935357130575</v>
      </c>
      <c r="P70" s="63">
        <f t="shared" si="49"/>
        <v>0.15140734669174338</v>
      </c>
      <c r="R70" s="109"/>
      <c r="S70" s="109"/>
    </row>
    <row r="71" spans="1:19" x14ac:dyDescent="0.2">
      <c r="A71" s="68" t="s">
        <v>27</v>
      </c>
      <c r="B71" s="46">
        <v>5.414753576999999</v>
      </c>
      <c r="C71" s="46">
        <v>6.8158615875000059</v>
      </c>
      <c r="D71" s="46">
        <v>8.5600972724999984</v>
      </c>
      <c r="E71" s="46">
        <v>10.821765988499999</v>
      </c>
      <c r="F71" s="46">
        <v>13.398034081500008</v>
      </c>
      <c r="G71" s="46">
        <v>16.947641114999996</v>
      </c>
      <c r="H71" s="46">
        <v>21.864448035000027</v>
      </c>
      <c r="I71" s="46">
        <v>26.737761570000082</v>
      </c>
      <c r="J71" s="46">
        <v>32.339057115000095</v>
      </c>
      <c r="K71" s="46">
        <v>38.77134783941311</v>
      </c>
      <c r="L71" s="46">
        <v>44.756510433171862</v>
      </c>
      <c r="M71" s="46">
        <v>51.196976158011999</v>
      </c>
      <c r="N71" s="46">
        <v>58.331154539411443</v>
      </c>
      <c r="O71" s="46">
        <v>66.122001506638952</v>
      </c>
      <c r="P71" s="46">
        <v>74.870663433769266</v>
      </c>
      <c r="R71" s="57">
        <f>(J71/D71)^(1/6)-1</f>
        <v>0.24798138933071434</v>
      </c>
      <c r="S71" s="57">
        <f>(P71/J71)^(1/6)-1</f>
        <v>0.15017534711080494</v>
      </c>
    </row>
    <row r="72" spans="1:19" x14ac:dyDescent="0.2">
      <c r="A72" s="62" t="s">
        <v>4</v>
      </c>
      <c r="B72" s="63"/>
      <c r="C72" s="63">
        <f t="shared" ref="C72:P72" si="50">C71/B71-1</f>
        <v>0.25875748371106466</v>
      </c>
      <c r="D72" s="63">
        <f t="shared" si="50"/>
        <v>0.25590831952908855</v>
      </c>
      <c r="E72" s="63">
        <f t="shared" si="50"/>
        <v>0.26421063266019118</v>
      </c>
      <c r="F72" s="63">
        <f t="shared" si="50"/>
        <v>0.23806355596099005</v>
      </c>
      <c r="G72" s="63">
        <f t="shared" si="50"/>
        <v>0.26493491596661056</v>
      </c>
      <c r="H72" s="63">
        <f t="shared" si="50"/>
        <v>0.29011747927847442</v>
      </c>
      <c r="I72" s="63">
        <f t="shared" si="50"/>
        <v>0.22288756282340105</v>
      </c>
      <c r="J72" s="63">
        <f t="shared" si="50"/>
        <v>0.20949007007694687</v>
      </c>
      <c r="K72" s="63">
        <f t="shared" si="50"/>
        <v>0.1989016161336834</v>
      </c>
      <c r="L72" s="63">
        <f t="shared" si="50"/>
        <v>0.15437076416710283</v>
      </c>
      <c r="M72" s="63">
        <f t="shared" si="50"/>
        <v>0.14390008654621789</v>
      </c>
      <c r="N72" s="63">
        <f t="shared" si="50"/>
        <v>0.13934765130231219</v>
      </c>
      <c r="O72" s="63">
        <f t="shared" si="50"/>
        <v>0.13356236523594989</v>
      </c>
      <c r="P72" s="63">
        <f t="shared" si="50"/>
        <v>0.13231090601895823</v>
      </c>
      <c r="R72" s="109"/>
      <c r="S72" s="109"/>
    </row>
    <row r="73" spans="1:19" x14ac:dyDescent="0.2">
      <c r="A73" s="68" t="s">
        <v>28</v>
      </c>
      <c r="B73" s="46">
        <v>0.68512244850000004</v>
      </c>
      <c r="C73" s="46">
        <v>0.87084688049999903</v>
      </c>
      <c r="D73" s="46">
        <v>1.1033156609999977</v>
      </c>
      <c r="E73" s="46">
        <v>1.4083604474999958</v>
      </c>
      <c r="F73" s="46">
        <v>1.7585280449999936</v>
      </c>
      <c r="G73" s="46">
        <v>2.2460770274999913</v>
      </c>
      <c r="H73" s="46">
        <v>2.9204233724999868</v>
      </c>
      <c r="I73" s="46">
        <v>3.6041037494999868</v>
      </c>
      <c r="J73" s="46">
        <v>4.396696244999986</v>
      </c>
      <c r="K73" s="46">
        <v>5.3338425885282517</v>
      </c>
      <c r="L73" s="46">
        <v>6.1455935331550249</v>
      </c>
      <c r="M73" s="46">
        <v>7.0054454748103812</v>
      </c>
      <c r="N73" s="46">
        <v>7.9526651625694385</v>
      </c>
      <c r="O73" s="46">
        <v>8.9835222990384729</v>
      </c>
      <c r="P73" s="46">
        <v>10.196309465948753</v>
      </c>
      <c r="R73" s="57">
        <f>(J73/D73)^(1/6)-1</f>
        <v>0.25913157064075798</v>
      </c>
      <c r="S73" s="57">
        <f>(P73/J73)^(1/6)-1</f>
        <v>0.15049859050635783</v>
      </c>
    </row>
    <row r="74" spans="1:19" x14ac:dyDescent="0.2">
      <c r="A74" s="62" t="s">
        <v>4</v>
      </c>
      <c r="B74" s="63"/>
      <c r="C74" s="63">
        <f t="shared" ref="C74:P74" si="51">C73/B73-1</f>
        <v>0.27108209985911591</v>
      </c>
      <c r="D74" s="63">
        <f t="shared" si="51"/>
        <v>0.26694564303488821</v>
      </c>
      <c r="E74" s="63">
        <f t="shared" si="51"/>
        <v>0.27648006575336637</v>
      </c>
      <c r="F74" s="63">
        <f t="shared" si="51"/>
        <v>0.24863492731678605</v>
      </c>
      <c r="G74" s="63">
        <f t="shared" si="51"/>
        <v>0.27724834067118875</v>
      </c>
      <c r="H74" s="63">
        <f t="shared" si="51"/>
        <v>0.30023295583525944</v>
      </c>
      <c r="I74" s="63">
        <f t="shared" si="51"/>
        <v>0.23410317265566372</v>
      </c>
      <c r="J74" s="63">
        <f t="shared" si="51"/>
        <v>0.21991389554475482</v>
      </c>
      <c r="K74" s="63">
        <f t="shared" si="51"/>
        <v>0.21314784813574694</v>
      </c>
      <c r="L74" s="63">
        <f t="shared" si="51"/>
        <v>0.15218877031966493</v>
      </c>
      <c r="M74" s="63">
        <f t="shared" si="51"/>
        <v>0.13991357173501928</v>
      </c>
      <c r="N74" s="63">
        <f t="shared" si="51"/>
        <v>0.13521191352712592</v>
      </c>
      <c r="O74" s="63">
        <f t="shared" si="51"/>
        <v>0.12962410907489708</v>
      </c>
      <c r="P74" s="63">
        <f t="shared" si="51"/>
        <v>0.13500129754674139</v>
      </c>
      <c r="R74" s="109"/>
      <c r="S74" s="109"/>
    </row>
    <row r="75" spans="1:19" x14ac:dyDescent="0.2">
      <c r="A75" s="77" t="s">
        <v>23</v>
      </c>
      <c r="B75" s="56">
        <f t="shared" ref="B75:P75" si="52">B69+B71+B73</f>
        <v>20.619950896499997</v>
      </c>
      <c r="C75" s="56">
        <f t="shared" si="52"/>
        <v>25.861957487999994</v>
      </c>
      <c r="D75" s="56">
        <f t="shared" si="52"/>
        <v>32.640824878500013</v>
      </c>
      <c r="E75" s="56">
        <f t="shared" si="52"/>
        <v>40.892358636000068</v>
      </c>
      <c r="F75" s="56">
        <f t="shared" si="52"/>
        <v>51.071381521500122</v>
      </c>
      <c r="G75" s="56">
        <f t="shared" si="52"/>
        <v>63.973770172500089</v>
      </c>
      <c r="H75" s="56">
        <f t="shared" si="52"/>
        <v>82.169044432500058</v>
      </c>
      <c r="I75" s="56">
        <f t="shared" si="52"/>
        <v>100.6429582395001</v>
      </c>
      <c r="J75" s="56">
        <f t="shared" si="52"/>
        <v>121.50935410499997</v>
      </c>
      <c r="K75" s="56">
        <f t="shared" si="52"/>
        <v>145.847035374824</v>
      </c>
      <c r="L75" s="56">
        <f t="shared" si="52"/>
        <v>170.42575802708819</v>
      </c>
      <c r="M75" s="56">
        <f t="shared" si="52"/>
        <v>197.40339311906104</v>
      </c>
      <c r="N75" s="56">
        <f t="shared" si="52"/>
        <v>227.73101362683093</v>
      </c>
      <c r="O75" s="56">
        <f t="shared" si="52"/>
        <v>261.43646936606586</v>
      </c>
      <c r="P75" s="56">
        <f t="shared" si="52"/>
        <v>299.60979253396852</v>
      </c>
      <c r="R75" s="57">
        <f>(J75/D75)^(1/6)-1</f>
        <v>0.24491996298485463</v>
      </c>
      <c r="S75" s="57">
        <f>(P75/J75)^(1/6)-1</f>
        <v>0.16231644358673769</v>
      </c>
    </row>
    <row r="76" spans="1:19" x14ac:dyDescent="0.2">
      <c r="A76" s="74" t="s">
        <v>4</v>
      </c>
      <c r="B76" s="66"/>
      <c r="C76" s="59">
        <f t="shared" ref="C76:P76" si="53">C75/B75-1</f>
        <v>0.25422012970892993</v>
      </c>
      <c r="D76" s="59">
        <f t="shared" si="53"/>
        <v>0.26211733561333972</v>
      </c>
      <c r="E76" s="59">
        <f t="shared" si="53"/>
        <v>0.25279795434750829</v>
      </c>
      <c r="F76" s="59">
        <f t="shared" si="53"/>
        <v>0.2489223714412705</v>
      </c>
      <c r="G76" s="59">
        <f t="shared" si="53"/>
        <v>0.25263441611753334</v>
      </c>
      <c r="H76" s="59">
        <f t="shared" si="53"/>
        <v>0.28441772637344775</v>
      </c>
      <c r="I76" s="59">
        <f t="shared" si="53"/>
        <v>0.2248281446448599</v>
      </c>
      <c r="J76" s="59">
        <f t="shared" si="53"/>
        <v>0.20733090750218297</v>
      </c>
      <c r="K76" s="59">
        <f t="shared" si="53"/>
        <v>0.20029471351475614</v>
      </c>
      <c r="L76" s="59">
        <f t="shared" si="53"/>
        <v>0.16852397848950007</v>
      </c>
      <c r="M76" s="59">
        <f t="shared" si="53"/>
        <v>0.15829552647602063</v>
      </c>
      <c r="N76" s="59">
        <f t="shared" si="53"/>
        <v>0.15363272144708384</v>
      </c>
      <c r="O76" s="59">
        <f t="shared" si="53"/>
        <v>0.14800555797141457</v>
      </c>
      <c r="P76" s="59">
        <f t="shared" si="53"/>
        <v>0.14601376487551931</v>
      </c>
      <c r="R76" s="109"/>
      <c r="S76" s="109"/>
    </row>
    <row r="77" spans="1:19" ht="17.100000000000001" customHeight="1" x14ac:dyDescent="0.2">
      <c r="B77" s="108"/>
      <c r="C77" s="108"/>
      <c r="D77" s="108"/>
      <c r="E77" s="108"/>
      <c r="F77" s="108"/>
      <c r="G77" s="108"/>
      <c r="H77" s="108"/>
      <c r="I77" s="108"/>
      <c r="J77" s="108"/>
      <c r="K77" s="108"/>
      <c r="L77" s="108"/>
      <c r="M77" s="108"/>
      <c r="N77" s="108"/>
      <c r="O77" s="108"/>
      <c r="P77" s="108"/>
      <c r="R77" s="109"/>
      <c r="S77" s="109"/>
    </row>
    <row r="78" spans="1:19" x14ac:dyDescent="0.2">
      <c r="A78" s="67" t="s">
        <v>29</v>
      </c>
      <c r="B78" s="111"/>
      <c r="C78" s="111"/>
      <c r="D78" s="111"/>
      <c r="E78" s="111"/>
      <c r="F78" s="111"/>
      <c r="G78" s="111"/>
      <c r="H78" s="111"/>
      <c r="I78" s="111"/>
      <c r="J78" s="111"/>
      <c r="K78" s="111"/>
      <c r="L78" s="111"/>
      <c r="M78" s="111"/>
      <c r="N78" s="111"/>
      <c r="O78" s="111"/>
      <c r="P78" s="111"/>
      <c r="R78" s="109"/>
      <c r="S78" s="109"/>
    </row>
    <row r="79" spans="1:19" x14ac:dyDescent="0.2">
      <c r="A79" s="68" t="s">
        <v>30</v>
      </c>
      <c r="B79" s="46">
        <v>9.5033815380629605</v>
      </c>
      <c r="C79" s="46">
        <v>11.722120241369964</v>
      </c>
      <c r="D79" s="46">
        <v>14.516009844124506</v>
      </c>
      <c r="E79" s="46">
        <v>17.928592742794763</v>
      </c>
      <c r="F79" s="46">
        <v>22.04945818037946</v>
      </c>
      <c r="G79" s="46">
        <v>26.964573491380346</v>
      </c>
      <c r="H79" s="46">
        <v>33.951213779148659</v>
      </c>
      <c r="I79" s="46">
        <v>41.154633687251888</v>
      </c>
      <c r="J79" s="46">
        <v>49.117572110800097</v>
      </c>
      <c r="K79" s="46">
        <v>58.187141075777156</v>
      </c>
      <c r="L79" s="46">
        <v>67.519868132093592</v>
      </c>
      <c r="M79" s="46">
        <v>77.728726178955398</v>
      </c>
      <c r="N79" s="46">
        <v>89.177296657211031</v>
      </c>
      <c r="O79" s="46">
        <v>101.88905109179035</v>
      </c>
      <c r="P79" s="46">
        <v>116.23051704263183</v>
      </c>
      <c r="R79" s="57">
        <f>(J79/D79)^(1/6)-1</f>
        <v>0.22526945274477006</v>
      </c>
      <c r="S79" s="57">
        <f>(P79/J79)^(1/6)-1</f>
        <v>0.15437579812665136</v>
      </c>
    </row>
    <row r="80" spans="1:19" x14ac:dyDescent="0.2">
      <c r="A80" s="62" t="s">
        <v>4</v>
      </c>
      <c r="B80" s="63"/>
      <c r="C80" s="63">
        <f t="shared" ref="C80:P80" si="54">C79/B79-1</f>
        <v>0.23346833907704401</v>
      </c>
      <c r="D80" s="63">
        <f t="shared" si="54"/>
        <v>0.23834336666282296</v>
      </c>
      <c r="E80" s="63">
        <f t="shared" si="54"/>
        <v>0.23509097440103566</v>
      </c>
      <c r="F80" s="63">
        <f t="shared" si="54"/>
        <v>0.22984879497811184</v>
      </c>
      <c r="G80" s="63">
        <f t="shared" si="54"/>
        <v>0.22291320134907266</v>
      </c>
      <c r="H80" s="63">
        <f t="shared" si="54"/>
        <v>0.25910442418092416</v>
      </c>
      <c r="I80" s="63">
        <f t="shared" si="54"/>
        <v>0.21216973139638529</v>
      </c>
      <c r="J80" s="63">
        <f t="shared" si="54"/>
        <v>0.19348825903934164</v>
      </c>
      <c r="K80" s="63">
        <f t="shared" si="54"/>
        <v>0.18465018882687856</v>
      </c>
      <c r="L80" s="63">
        <f t="shared" si="54"/>
        <v>0.16039157249816438</v>
      </c>
      <c r="M80" s="63">
        <f t="shared" si="54"/>
        <v>0.15119783745562931</v>
      </c>
      <c r="N80" s="63">
        <f t="shared" si="54"/>
        <v>0.14728879580372256</v>
      </c>
      <c r="O80" s="63">
        <f t="shared" si="54"/>
        <v>0.14254473852736393</v>
      </c>
      <c r="P80" s="63">
        <f t="shared" si="54"/>
        <v>0.14075571219052252</v>
      </c>
      <c r="R80" s="109"/>
      <c r="S80" s="109"/>
    </row>
    <row r="81" spans="1:19" x14ac:dyDescent="0.2">
      <c r="A81" s="68" t="s">
        <v>31</v>
      </c>
      <c r="B81" s="46">
        <v>5.016693332937038</v>
      </c>
      <c r="C81" s="46">
        <v>6.453128778630024</v>
      </c>
      <c r="D81" s="46">
        <v>8.461402100875512</v>
      </c>
      <c r="E81" s="46">
        <v>10.733639457205314</v>
      </c>
      <c r="F81" s="46">
        <v>13.865361214620663</v>
      </c>
      <c r="G81" s="46">
        <v>17.815478538619754</v>
      </c>
      <c r="H81" s="46">
        <v>23.432959245851393</v>
      </c>
      <c r="I81" s="46">
        <v>29.146459232748143</v>
      </c>
      <c r="J81" s="46">
        <v>35.656028634199799</v>
      </c>
      <c r="K81" s="46">
        <v>43.554703871105467</v>
      </c>
      <c r="L81" s="46">
        <v>52.00378592866771</v>
      </c>
      <c r="M81" s="46">
        <v>61.472245307283245</v>
      </c>
      <c r="N81" s="46">
        <v>72.26989726763901</v>
      </c>
      <c r="O81" s="46">
        <v>84.441894468598065</v>
      </c>
      <c r="P81" s="46">
        <v>98.312302591618661</v>
      </c>
      <c r="R81" s="57">
        <f>(J81/D81)^(1/6)-1</f>
        <v>0.27091090445919619</v>
      </c>
      <c r="S81" s="57">
        <f>(P81/J81)^(1/6)-1</f>
        <v>0.18416571542794191</v>
      </c>
    </row>
    <row r="82" spans="1:19" x14ac:dyDescent="0.2">
      <c r="A82" s="62" t="s">
        <v>4</v>
      </c>
      <c r="B82" s="63"/>
      <c r="C82" s="63">
        <f t="shared" ref="C82:P82" si="55">C81/B81-1</f>
        <v>0.28633112497869595</v>
      </c>
      <c r="D82" s="63">
        <f t="shared" si="55"/>
        <v>0.31120924301030883</v>
      </c>
      <c r="E82" s="63">
        <f t="shared" si="55"/>
        <v>0.2685414697517674</v>
      </c>
      <c r="F82" s="63">
        <f t="shared" si="55"/>
        <v>0.29176699756885127</v>
      </c>
      <c r="G82" s="63">
        <f t="shared" si="55"/>
        <v>0.28489105064452236</v>
      </c>
      <c r="H82" s="63">
        <f t="shared" si="55"/>
        <v>0.31531461223757007</v>
      </c>
      <c r="I82" s="63">
        <f t="shared" si="55"/>
        <v>0.24382323747301693</v>
      </c>
      <c r="J82" s="63">
        <f t="shared" si="55"/>
        <v>0.22333997242923043</v>
      </c>
      <c r="K82" s="63">
        <f t="shared" si="55"/>
        <v>0.2215242566113933</v>
      </c>
      <c r="L82" s="63">
        <f t="shared" si="55"/>
        <v>0.19398782006568593</v>
      </c>
      <c r="M82" s="63">
        <f t="shared" si="55"/>
        <v>0.18207250125218155</v>
      </c>
      <c r="N82" s="63">
        <f t="shared" si="55"/>
        <v>0.17565084708360978</v>
      </c>
      <c r="O82" s="63">
        <f t="shared" si="55"/>
        <v>0.168424166370158</v>
      </c>
      <c r="P82" s="63">
        <f t="shared" si="55"/>
        <v>0.16425979320227913</v>
      </c>
      <c r="R82" s="109"/>
      <c r="S82" s="109"/>
    </row>
    <row r="83" spans="1:19" x14ac:dyDescent="0.2">
      <c r="A83" s="77" t="s">
        <v>23</v>
      </c>
      <c r="B83" s="56">
        <f t="shared" ref="B83:P83" si="56">B79+B81</f>
        <v>14.520074870999998</v>
      </c>
      <c r="C83" s="56">
        <f t="shared" si="56"/>
        <v>18.175249019999988</v>
      </c>
      <c r="D83" s="56">
        <f t="shared" si="56"/>
        <v>22.977411945000018</v>
      </c>
      <c r="E83" s="56">
        <f t="shared" si="56"/>
        <v>28.662232200000076</v>
      </c>
      <c r="F83" s="56">
        <f t="shared" si="56"/>
        <v>35.914819395000123</v>
      </c>
      <c r="G83" s="56">
        <f t="shared" si="56"/>
        <v>44.7800520300001</v>
      </c>
      <c r="H83" s="56">
        <f t="shared" si="56"/>
        <v>57.384173025000052</v>
      </c>
      <c r="I83" s="56">
        <f t="shared" si="56"/>
        <v>70.301092920000031</v>
      </c>
      <c r="J83" s="56">
        <f t="shared" si="56"/>
        <v>84.773600744999897</v>
      </c>
      <c r="K83" s="56">
        <f t="shared" si="56"/>
        <v>101.74184494688262</v>
      </c>
      <c r="L83" s="56">
        <f t="shared" si="56"/>
        <v>119.5236540607613</v>
      </c>
      <c r="M83" s="56">
        <f t="shared" si="56"/>
        <v>139.20097148623864</v>
      </c>
      <c r="N83" s="56">
        <f t="shared" si="56"/>
        <v>161.44719392485004</v>
      </c>
      <c r="O83" s="56">
        <f t="shared" si="56"/>
        <v>186.33094556038841</v>
      </c>
      <c r="P83" s="56">
        <f t="shared" si="56"/>
        <v>214.54281963425049</v>
      </c>
      <c r="R83" s="57">
        <f>(J83/D83)^(1/6)-1</f>
        <v>0.2430633248338383</v>
      </c>
      <c r="S83" s="57">
        <f>(P83/J83)^(1/6)-1</f>
        <v>0.16737097854261385</v>
      </c>
    </row>
    <row r="84" spans="1:19" x14ac:dyDescent="0.2">
      <c r="A84" s="74" t="s">
        <v>4</v>
      </c>
      <c r="B84" s="66"/>
      <c r="C84" s="59">
        <f t="shared" ref="C84:P84" si="57">C83/B83-1</f>
        <v>0.25173245878368244</v>
      </c>
      <c r="D84" s="59">
        <f t="shared" si="57"/>
        <v>0.26421442257631478</v>
      </c>
      <c r="E84" s="59">
        <f t="shared" si="57"/>
        <v>0.24740907586143956</v>
      </c>
      <c r="F84" s="59">
        <f t="shared" si="57"/>
        <v>0.25303637010518765</v>
      </c>
      <c r="G84" s="59">
        <f t="shared" si="57"/>
        <v>0.24684051832470444</v>
      </c>
      <c r="H84" s="59">
        <f t="shared" si="57"/>
        <v>0.28146731465510366</v>
      </c>
      <c r="I84" s="59">
        <f t="shared" si="57"/>
        <v>0.22509551352029722</v>
      </c>
      <c r="J84" s="59">
        <f t="shared" si="57"/>
        <v>0.20586462064635369</v>
      </c>
      <c r="K84" s="59">
        <f t="shared" si="57"/>
        <v>0.20015953141973331</v>
      </c>
      <c r="L84" s="59">
        <f t="shared" si="57"/>
        <v>0.17477380249161212</v>
      </c>
      <c r="M84" s="59">
        <f t="shared" si="57"/>
        <v>0.16463115673717721</v>
      </c>
      <c r="N84" s="59">
        <f t="shared" si="57"/>
        <v>0.15981370101867887</v>
      </c>
      <c r="O84" s="59">
        <f t="shared" si="57"/>
        <v>0.15412935357130575</v>
      </c>
      <c r="P84" s="59">
        <f t="shared" si="57"/>
        <v>0.15140734669174338</v>
      </c>
      <c r="R84" s="109"/>
      <c r="S84" s="109"/>
    </row>
    <row r="85" spans="1:19" ht="17.100000000000001" customHeight="1" x14ac:dyDescent="0.2">
      <c r="B85" s="108"/>
      <c r="C85" s="108"/>
      <c r="D85" s="108"/>
      <c r="E85" s="108"/>
      <c r="F85" s="108"/>
      <c r="G85" s="108"/>
      <c r="H85" s="108"/>
      <c r="I85" s="108"/>
      <c r="J85" s="108"/>
      <c r="K85" s="108"/>
      <c r="L85" s="108"/>
      <c r="M85" s="108"/>
      <c r="N85" s="108"/>
      <c r="O85" s="108"/>
      <c r="P85" s="108"/>
      <c r="R85" s="109"/>
      <c r="S85" s="109"/>
    </row>
    <row r="86" spans="1:19" ht="17.100000000000001" customHeight="1" x14ac:dyDescent="0.2">
      <c r="A86" s="67" t="s">
        <v>47</v>
      </c>
      <c r="R86" s="109"/>
      <c r="S86" s="109"/>
    </row>
    <row r="87" spans="1:19" ht="17.100000000000001" customHeight="1" x14ac:dyDescent="0.2">
      <c r="A87" s="68" t="s">
        <v>48</v>
      </c>
      <c r="B87" s="46">
        <v>1.6244260731</v>
      </c>
      <c r="C87" s="46">
        <v>2.1265488153000018</v>
      </c>
      <c r="D87" s="46">
        <v>2.7775803629807996</v>
      </c>
      <c r="E87" s="46">
        <v>3.6519044930664193</v>
      </c>
      <c r="F87" s="46">
        <v>4.7021414572243581</v>
      </c>
      <c r="G87" s="46">
        <v>6.1858190254194962</v>
      </c>
      <c r="H87" s="46">
        <v>8.2996505782809109</v>
      </c>
      <c r="I87" s="46">
        <v>10.555521046678164</v>
      </c>
      <c r="J87" s="46">
        <v>13.149801827158825</v>
      </c>
      <c r="K87" s="46">
        <v>16.080625035666746</v>
      </c>
      <c r="L87" s="46">
        <v>18.934263478921412</v>
      </c>
      <c r="M87" s="46">
        <v>22.092083744871637</v>
      </c>
      <c r="N87" s="46">
        <v>25.422269364364425</v>
      </c>
      <c r="O87" s="46">
        <v>29.105905068237714</v>
      </c>
      <c r="P87" s="46">
        <v>33.286503075701212</v>
      </c>
      <c r="R87" s="57">
        <f>(J87/D87)^(1/6)-1</f>
        <v>0.2958122934101719</v>
      </c>
      <c r="S87" s="57">
        <f>(P87/J87)^(1/6)-1</f>
        <v>0.16741381251051024</v>
      </c>
    </row>
    <row r="88" spans="1:19" ht="17.100000000000001" customHeight="1" x14ac:dyDescent="0.2">
      <c r="A88" s="62" t="s">
        <v>4</v>
      </c>
      <c r="B88" s="63"/>
      <c r="C88" s="63">
        <f t="shared" ref="C88:P88" si="58">C87/B87-1</f>
        <v>0.30910778305950704</v>
      </c>
      <c r="D88" s="63">
        <f t="shared" si="58"/>
        <v>0.30614465231025223</v>
      </c>
      <c r="E88" s="63">
        <f t="shared" si="58"/>
        <v>0.31477905796659877</v>
      </c>
      <c r="F88" s="63">
        <f t="shared" si="58"/>
        <v>0.28758609819943004</v>
      </c>
      <c r="G88" s="63">
        <f t="shared" si="58"/>
        <v>0.3155323126052747</v>
      </c>
      <c r="H88" s="63">
        <f t="shared" si="58"/>
        <v>0.34172217844961339</v>
      </c>
      <c r="I88" s="63">
        <f t="shared" si="58"/>
        <v>0.27180306533633702</v>
      </c>
      <c r="J88" s="63">
        <f t="shared" si="58"/>
        <v>0.24577477217925536</v>
      </c>
      <c r="K88" s="63">
        <f t="shared" si="58"/>
        <v>0.2228796484563571</v>
      </c>
      <c r="L88" s="63">
        <f t="shared" si="58"/>
        <v>0.17745817945044484</v>
      </c>
      <c r="M88" s="63">
        <f t="shared" si="58"/>
        <v>0.16677808827714213</v>
      </c>
      <c r="N88" s="63">
        <f t="shared" si="58"/>
        <v>0.15074112781533544</v>
      </c>
      <c r="O88" s="63">
        <f t="shared" si="58"/>
        <v>0.14489798888830951</v>
      </c>
      <c r="P88" s="63">
        <f t="shared" si="58"/>
        <v>0.14363401507914775</v>
      </c>
      <c r="R88" s="109"/>
      <c r="S88" s="109"/>
    </row>
    <row r="89" spans="1:19" ht="17.100000000000001" customHeight="1" x14ac:dyDescent="0.2">
      <c r="A89" s="68" t="s">
        <v>49</v>
      </c>
      <c r="B89" s="46">
        <v>3.7903275038999995</v>
      </c>
      <c r="C89" s="46">
        <v>4.6893127722000036</v>
      </c>
      <c r="D89" s="46">
        <v>5.7825169095191988</v>
      </c>
      <c r="E89" s="46">
        <v>7.1698614954335795</v>
      </c>
      <c r="F89" s="46">
        <v>8.6958926242756505</v>
      </c>
      <c r="G89" s="46">
        <v>10.7618220895805</v>
      </c>
      <c r="H89" s="46">
        <v>13.564797456719116</v>
      </c>
      <c r="I89" s="46">
        <v>16.182240523321919</v>
      </c>
      <c r="J89" s="46">
        <v>19.18925528784127</v>
      </c>
      <c r="K89" s="46">
        <v>22.690722803746361</v>
      </c>
      <c r="L89" s="46">
        <v>25.822246954250449</v>
      </c>
      <c r="M89" s="46">
        <v>29.104892413140362</v>
      </c>
      <c r="N89" s="46">
        <v>32.908885175047018</v>
      </c>
      <c r="O89" s="46">
        <v>37.016096438401242</v>
      </c>
      <c r="P89" s="46">
        <v>41.584160358068054</v>
      </c>
      <c r="R89" s="57">
        <f>(J89/D89)^(1/6)-1</f>
        <v>0.22130331205135945</v>
      </c>
      <c r="S89" s="57">
        <f>(P89/J89)^(1/6)-1</f>
        <v>0.13757045155977377</v>
      </c>
    </row>
    <row r="90" spans="1:19" ht="17.100000000000001" customHeight="1" x14ac:dyDescent="0.2">
      <c r="A90" s="62" t="s">
        <v>4</v>
      </c>
      <c r="B90" s="63"/>
      <c r="C90" s="63">
        <f t="shared" ref="C90:P90" si="59">C89/B89-1</f>
        <v>0.23717878399030345</v>
      </c>
      <c r="D90" s="63">
        <f t="shared" si="59"/>
        <v>0.23312672675623536</v>
      </c>
      <c r="E90" s="63">
        <f t="shared" si="59"/>
        <v>0.23992054111083183</v>
      </c>
      <c r="F90" s="63">
        <f t="shared" si="59"/>
        <v>0.21283969429730076</v>
      </c>
      <c r="G90" s="63">
        <f t="shared" si="59"/>
        <v>0.23757531912682017</v>
      </c>
      <c r="H90" s="63">
        <f t="shared" si="59"/>
        <v>0.26045546412186393</v>
      </c>
      <c r="I90" s="63">
        <f t="shared" si="59"/>
        <v>0.19295850711772267</v>
      </c>
      <c r="J90" s="63">
        <f t="shared" si="59"/>
        <v>0.18582190520438924</v>
      </c>
      <c r="K90" s="63">
        <f t="shared" si="59"/>
        <v>0.18247021384533335</v>
      </c>
      <c r="L90" s="63">
        <f t="shared" si="59"/>
        <v>0.13800900824486106</v>
      </c>
      <c r="M90" s="63">
        <f t="shared" si="59"/>
        <v>0.12712470238185736</v>
      </c>
      <c r="N90" s="63">
        <f t="shared" si="59"/>
        <v>0.13069942702104664</v>
      </c>
      <c r="O90" s="63">
        <f t="shared" si="59"/>
        <v>0.12480554237882524</v>
      </c>
      <c r="P90" s="63">
        <f t="shared" si="59"/>
        <v>0.12340749995798617</v>
      </c>
      <c r="R90" s="109"/>
      <c r="S90" s="109"/>
    </row>
    <row r="91" spans="1:19" ht="17.100000000000001" customHeight="1" x14ac:dyDescent="0.2">
      <c r="A91" s="77" t="s">
        <v>23</v>
      </c>
      <c r="B91" s="56">
        <f t="shared" ref="B91:P91" si="60">B89+B87</f>
        <v>5.414753576999999</v>
      </c>
      <c r="C91" s="56">
        <f t="shared" si="60"/>
        <v>6.8158615875000059</v>
      </c>
      <c r="D91" s="56">
        <f t="shared" si="60"/>
        <v>8.5600972724999984</v>
      </c>
      <c r="E91" s="56">
        <f t="shared" si="60"/>
        <v>10.821765988499999</v>
      </c>
      <c r="F91" s="56">
        <f t="shared" si="60"/>
        <v>13.398034081500008</v>
      </c>
      <c r="G91" s="56">
        <f t="shared" si="60"/>
        <v>16.947641114999996</v>
      </c>
      <c r="H91" s="56">
        <f t="shared" si="60"/>
        <v>21.864448035000027</v>
      </c>
      <c r="I91" s="56">
        <f t="shared" si="60"/>
        <v>26.737761570000082</v>
      </c>
      <c r="J91" s="56">
        <f t="shared" si="60"/>
        <v>32.339057115000095</v>
      </c>
      <c r="K91" s="56">
        <f t="shared" si="60"/>
        <v>38.77134783941311</v>
      </c>
      <c r="L91" s="56">
        <f t="shared" si="60"/>
        <v>44.756510433171862</v>
      </c>
      <c r="M91" s="56">
        <f t="shared" si="60"/>
        <v>51.196976158011999</v>
      </c>
      <c r="N91" s="56">
        <f t="shared" si="60"/>
        <v>58.331154539411443</v>
      </c>
      <c r="O91" s="56">
        <f t="shared" si="60"/>
        <v>66.122001506638952</v>
      </c>
      <c r="P91" s="56">
        <f t="shared" si="60"/>
        <v>74.870663433769266</v>
      </c>
      <c r="R91" s="57">
        <f>(J91/D91)^(1/6)-1</f>
        <v>0.24798138933071434</v>
      </c>
      <c r="S91" s="57">
        <f>(P91/J91)^(1/6)-1</f>
        <v>0.15017534711080494</v>
      </c>
    </row>
    <row r="92" spans="1:19" ht="17.100000000000001" customHeight="1" x14ac:dyDescent="0.2">
      <c r="A92" s="74" t="s">
        <v>4</v>
      </c>
      <c r="B92" s="66"/>
      <c r="C92" s="59">
        <f t="shared" ref="C92:P92" si="61">C91/B91-1</f>
        <v>0.25875748371106466</v>
      </c>
      <c r="D92" s="59">
        <f t="shared" si="61"/>
        <v>0.25590831952908855</v>
      </c>
      <c r="E92" s="59">
        <f t="shared" si="61"/>
        <v>0.26421063266019118</v>
      </c>
      <c r="F92" s="59">
        <f t="shared" si="61"/>
        <v>0.23806355596099005</v>
      </c>
      <c r="G92" s="59">
        <f t="shared" si="61"/>
        <v>0.26493491596661056</v>
      </c>
      <c r="H92" s="59">
        <f t="shared" si="61"/>
        <v>0.29011747927847442</v>
      </c>
      <c r="I92" s="59">
        <f t="shared" si="61"/>
        <v>0.22288756282340105</v>
      </c>
      <c r="J92" s="59">
        <f t="shared" si="61"/>
        <v>0.20949007007694687</v>
      </c>
      <c r="K92" s="59">
        <f t="shared" si="61"/>
        <v>0.1989016161336834</v>
      </c>
      <c r="L92" s="59">
        <f t="shared" si="61"/>
        <v>0.15437076416710283</v>
      </c>
      <c r="M92" s="59">
        <f t="shared" si="61"/>
        <v>0.14390008654621789</v>
      </c>
      <c r="N92" s="59">
        <f t="shared" si="61"/>
        <v>0.13934765130231219</v>
      </c>
      <c r="O92" s="59">
        <f t="shared" si="61"/>
        <v>0.13356236523594989</v>
      </c>
      <c r="P92" s="59">
        <f t="shared" si="61"/>
        <v>0.13231090601895823</v>
      </c>
      <c r="R92" s="109"/>
      <c r="S92" s="109"/>
    </row>
    <row r="93" spans="1:19" ht="17.100000000000001" customHeight="1" x14ac:dyDescent="0.2">
      <c r="R93" s="109"/>
      <c r="S93" s="109"/>
    </row>
    <row r="94" spans="1:19" ht="17.100000000000001" customHeight="1" x14ac:dyDescent="0.2">
      <c r="A94" s="67" t="s">
        <v>50</v>
      </c>
      <c r="R94" s="109"/>
      <c r="S94" s="109"/>
    </row>
    <row r="95" spans="1:19" ht="17.100000000000001" customHeight="1" x14ac:dyDescent="0.2">
      <c r="A95" s="68" t="s">
        <v>48</v>
      </c>
      <c r="B95" s="46">
        <v>0.30830510182500004</v>
      </c>
      <c r="C95" s="46">
        <v>0.41147515103624954</v>
      </c>
      <c r="D95" s="46">
        <v>0.54738248231362385</v>
      </c>
      <c r="E95" s="46">
        <v>0.73365896836673228</v>
      </c>
      <c r="F95" s="46">
        <v>0.96187582327399823</v>
      </c>
      <c r="G95" s="46">
        <v>1.2899820141688703</v>
      </c>
      <c r="H95" s="46">
        <v>1.7611409836199672</v>
      </c>
      <c r="I95" s="46">
        <v>2.2821011591482838</v>
      </c>
      <c r="J95" s="46">
        <v>2.8953255916871345</v>
      </c>
      <c r="K95" s="46">
        <v>3.5827071714317573</v>
      </c>
      <c r="L95" s="46">
        <v>4.2105140696727492</v>
      </c>
      <c r="M95" s="46">
        <v>4.8956145746412396</v>
      </c>
      <c r="N95" s="46">
        <v>5.613135589061466</v>
      </c>
      <c r="O95" s="46">
        <v>6.4041406217992582</v>
      </c>
      <c r="P95" s="46">
        <v>7.2687079154139536</v>
      </c>
      <c r="R95" s="57">
        <f>(J95/D95)^(1/6)-1</f>
        <v>0.31998122016848596</v>
      </c>
      <c r="S95" s="57">
        <f>(P95/J95)^(1/6)-1</f>
        <v>0.16580693577097239</v>
      </c>
    </row>
    <row r="96" spans="1:19" ht="17.100000000000001" customHeight="1" x14ac:dyDescent="0.2">
      <c r="A96" s="62" t="s">
        <v>4</v>
      </c>
      <c r="B96" s="63"/>
      <c r="C96" s="63">
        <f t="shared" ref="C96:P96" si="62">C95/B95-1</f>
        <v>0.33463620485207168</v>
      </c>
      <c r="D96" s="63">
        <f t="shared" si="62"/>
        <v>0.33029292518663267</v>
      </c>
      <c r="E96" s="63">
        <f t="shared" si="62"/>
        <v>0.34030406904103483</v>
      </c>
      <c r="F96" s="63">
        <f t="shared" si="62"/>
        <v>0.31106667368262553</v>
      </c>
      <c r="G96" s="63">
        <f t="shared" si="62"/>
        <v>0.3411107577047483</v>
      </c>
      <c r="H96" s="63">
        <f t="shared" si="62"/>
        <v>0.36524460362702227</v>
      </c>
      <c r="I96" s="63">
        <f t="shared" si="62"/>
        <v>0.29580833128844697</v>
      </c>
      <c r="J96" s="63">
        <f t="shared" si="62"/>
        <v>0.26871045136654503</v>
      </c>
      <c r="K96" s="63">
        <f t="shared" si="62"/>
        <v>0.2374108050984618</v>
      </c>
      <c r="L96" s="63">
        <f t="shared" si="62"/>
        <v>0.17523254572605818</v>
      </c>
      <c r="M96" s="63">
        <f t="shared" si="62"/>
        <v>0.16271184316971965</v>
      </c>
      <c r="N96" s="63">
        <f t="shared" si="62"/>
        <v>0.14656403266239715</v>
      </c>
      <c r="O96" s="63">
        <f t="shared" si="62"/>
        <v>0.14092035016564619</v>
      </c>
      <c r="P96" s="63">
        <f t="shared" si="62"/>
        <v>0.13500129754674139</v>
      </c>
      <c r="R96" s="109"/>
      <c r="S96" s="109"/>
    </row>
    <row r="97" spans="1:19" ht="17.100000000000001" customHeight="1" x14ac:dyDescent="0.2">
      <c r="A97" s="68" t="s">
        <v>49</v>
      </c>
      <c r="B97" s="46">
        <v>0.37681734667500005</v>
      </c>
      <c r="C97" s="46">
        <v>0.45937172946374949</v>
      </c>
      <c r="D97" s="46">
        <v>0.55593317868637382</v>
      </c>
      <c r="E97" s="46">
        <v>0.6747014791332635</v>
      </c>
      <c r="F97" s="46">
        <v>0.79665222172599537</v>
      </c>
      <c r="G97" s="46">
        <v>0.95609501333112101</v>
      </c>
      <c r="H97" s="46">
        <v>1.1592823888800197</v>
      </c>
      <c r="I97" s="46">
        <v>1.3220025903517032</v>
      </c>
      <c r="J97" s="46">
        <v>1.5013706533128515</v>
      </c>
      <c r="K97" s="46">
        <v>1.7511354170964943</v>
      </c>
      <c r="L97" s="46">
        <v>1.9350794634822754</v>
      </c>
      <c r="M97" s="46">
        <v>2.1098309001691415</v>
      </c>
      <c r="N97" s="46">
        <v>2.339529573507972</v>
      </c>
      <c r="O97" s="46">
        <v>2.5793816772392151</v>
      </c>
      <c r="P97" s="46">
        <v>2.9276015505347992</v>
      </c>
      <c r="R97" s="57">
        <f>(J97/D97)^(1/6)-1</f>
        <v>0.18007847321065129</v>
      </c>
      <c r="S97" s="57">
        <f>(P97/J97)^(1/6)-1</f>
        <v>0.11773111536882297</v>
      </c>
    </row>
    <row r="98" spans="1:19" ht="17.100000000000001" customHeight="1" x14ac:dyDescent="0.2">
      <c r="A98" s="62" t="s">
        <v>4</v>
      </c>
      <c r="B98" s="63"/>
      <c r="C98" s="63">
        <f t="shared" ref="C98:P98" si="63">C97/B97-1</f>
        <v>0.21908328668306098</v>
      </c>
      <c r="D98" s="63">
        <f t="shared" si="63"/>
        <v>0.21020329077574273</v>
      </c>
      <c r="E98" s="63">
        <f t="shared" si="63"/>
        <v>0.2136377266194649</v>
      </c>
      <c r="F98" s="63">
        <f t="shared" si="63"/>
        <v>0.18074770304252552</v>
      </c>
      <c r="G98" s="63">
        <f t="shared" si="63"/>
        <v>0.20014102422219215</v>
      </c>
      <c r="H98" s="63">
        <f t="shared" si="63"/>
        <v>0.21251797438099329</v>
      </c>
      <c r="I98" s="63">
        <f t="shared" si="63"/>
        <v>0.14036286847149215</v>
      </c>
      <c r="J98" s="63">
        <f t="shared" si="63"/>
        <v>0.13567905560111604</v>
      </c>
      <c r="K98" s="63">
        <f t="shared" si="63"/>
        <v>0.16635782991530035</v>
      </c>
      <c r="L98" s="63">
        <f t="shared" si="63"/>
        <v>0.1050427308990034</v>
      </c>
      <c r="M98" s="63">
        <f t="shared" si="63"/>
        <v>9.0307111405333096E-2</v>
      </c>
      <c r="N98" s="63">
        <f t="shared" si="63"/>
        <v>0.10887065561529874</v>
      </c>
      <c r="O98" s="63">
        <f t="shared" si="63"/>
        <v>0.10252150964332563</v>
      </c>
      <c r="P98" s="63">
        <f t="shared" si="63"/>
        <v>0.13500129754674139</v>
      </c>
      <c r="R98" s="109"/>
      <c r="S98" s="109"/>
    </row>
    <row r="99" spans="1:19" ht="17.100000000000001" customHeight="1" x14ac:dyDescent="0.2">
      <c r="A99" s="77" t="s">
        <v>23</v>
      </c>
      <c r="B99" s="56">
        <f t="shared" ref="B99:P99" si="64">B97+B95</f>
        <v>0.68512244850000004</v>
      </c>
      <c r="C99" s="56">
        <f t="shared" si="64"/>
        <v>0.87084688049999903</v>
      </c>
      <c r="D99" s="56">
        <f t="shared" si="64"/>
        <v>1.1033156609999977</v>
      </c>
      <c r="E99" s="56">
        <f t="shared" si="64"/>
        <v>1.4083604474999958</v>
      </c>
      <c r="F99" s="56">
        <f t="shared" si="64"/>
        <v>1.7585280449999936</v>
      </c>
      <c r="G99" s="56">
        <f t="shared" si="64"/>
        <v>2.2460770274999913</v>
      </c>
      <c r="H99" s="56">
        <f t="shared" si="64"/>
        <v>2.9204233724999868</v>
      </c>
      <c r="I99" s="56">
        <f t="shared" si="64"/>
        <v>3.6041037494999868</v>
      </c>
      <c r="J99" s="56">
        <f t="shared" si="64"/>
        <v>4.396696244999986</v>
      </c>
      <c r="K99" s="56">
        <f t="shared" si="64"/>
        <v>5.3338425885282517</v>
      </c>
      <c r="L99" s="56">
        <f t="shared" si="64"/>
        <v>6.1455935331550249</v>
      </c>
      <c r="M99" s="56">
        <f t="shared" si="64"/>
        <v>7.0054454748103812</v>
      </c>
      <c r="N99" s="56">
        <f t="shared" si="64"/>
        <v>7.9526651625694385</v>
      </c>
      <c r="O99" s="56">
        <f t="shared" si="64"/>
        <v>8.9835222990384729</v>
      </c>
      <c r="P99" s="56">
        <f t="shared" si="64"/>
        <v>10.196309465948753</v>
      </c>
      <c r="R99" s="57">
        <f>(J99/D99)^(1/6)-1</f>
        <v>0.25913157064075798</v>
      </c>
      <c r="S99" s="57">
        <f>(P99/J99)^(1/6)-1</f>
        <v>0.15049859050635783</v>
      </c>
    </row>
    <row r="100" spans="1:19" ht="17.100000000000001" customHeight="1" x14ac:dyDescent="0.2">
      <c r="A100" s="74" t="s">
        <v>4</v>
      </c>
      <c r="B100" s="66"/>
      <c r="C100" s="59">
        <f t="shared" ref="C100:P100" si="65">C99/B99-1</f>
        <v>0.27108209985911591</v>
      </c>
      <c r="D100" s="59">
        <f t="shared" si="65"/>
        <v>0.26694564303488821</v>
      </c>
      <c r="E100" s="59">
        <f t="shared" si="65"/>
        <v>0.27648006575336637</v>
      </c>
      <c r="F100" s="59">
        <f t="shared" si="65"/>
        <v>0.24863492731678605</v>
      </c>
      <c r="G100" s="59">
        <f t="shared" si="65"/>
        <v>0.27724834067118875</v>
      </c>
      <c r="H100" s="59">
        <f t="shared" si="65"/>
        <v>0.30023295583525944</v>
      </c>
      <c r="I100" s="59">
        <f t="shared" si="65"/>
        <v>0.23410317265566372</v>
      </c>
      <c r="J100" s="59">
        <f t="shared" si="65"/>
        <v>0.21991389554475482</v>
      </c>
      <c r="K100" s="59">
        <f t="shared" si="65"/>
        <v>0.21314784813574694</v>
      </c>
      <c r="L100" s="59">
        <f t="shared" si="65"/>
        <v>0.15218877031966493</v>
      </c>
      <c r="M100" s="59">
        <f t="shared" si="65"/>
        <v>0.13991357173501928</v>
      </c>
      <c r="N100" s="59">
        <f t="shared" si="65"/>
        <v>0.13521191352712592</v>
      </c>
      <c r="O100" s="59">
        <f t="shared" si="65"/>
        <v>0.12962410907489708</v>
      </c>
      <c r="P100" s="59">
        <f t="shared" si="65"/>
        <v>0.13500129754674139</v>
      </c>
      <c r="R100" s="109"/>
      <c r="S100" s="109"/>
    </row>
    <row r="101" spans="1:19" ht="17.100000000000001" customHeight="1" x14ac:dyDescent="0.2">
      <c r="R101" s="109"/>
      <c r="S101" s="109"/>
    </row>
    <row r="102" spans="1:19" x14ac:dyDescent="0.2">
      <c r="A102" s="67" t="s">
        <v>32</v>
      </c>
      <c r="R102" s="109"/>
      <c r="S102" s="109"/>
    </row>
    <row r="103" spans="1:19" x14ac:dyDescent="0.2">
      <c r="A103" s="68" t="s">
        <v>82</v>
      </c>
      <c r="B103" s="43">
        <v>1.8118341761091291E-4</v>
      </c>
      <c r="C103" s="43">
        <v>2.514627603258287E-4</v>
      </c>
      <c r="D103" s="43">
        <v>3.0136613463841507E-4</v>
      </c>
      <c r="E103" s="43">
        <v>4.8418966188069532E-4</v>
      </c>
      <c r="F103" s="43">
        <v>6.2529694027271929E-4</v>
      </c>
      <c r="G103" s="43">
        <v>8.5210351156192791E-4</v>
      </c>
      <c r="H103" s="43">
        <v>1.1929789125936486E-3</v>
      </c>
      <c r="I103" s="43">
        <v>1.5102208331471917E-3</v>
      </c>
      <c r="J103" s="43">
        <v>1.8884960962161827E-3</v>
      </c>
      <c r="K103" s="43">
        <v>2.4455296495192332E-3</v>
      </c>
      <c r="L103" s="43">
        <v>2.970904036664293E-3</v>
      </c>
      <c r="M103" s="43">
        <v>3.5645638499878533E-3</v>
      </c>
      <c r="N103" s="43">
        <v>4.2546991872768076E-3</v>
      </c>
      <c r="O103" s="43">
        <v>5.0473513714659971E-3</v>
      </c>
      <c r="P103" s="43">
        <v>5.9755519437936118E-3</v>
      </c>
      <c r="R103" s="57">
        <f>(J103/D103)^(1/6)-1</f>
        <v>0.35780355246539486</v>
      </c>
      <c r="S103" s="57">
        <f>(P103/J103)^(1/6)-1</f>
        <v>0.2116494488327465</v>
      </c>
    </row>
    <row r="104" spans="1:19" x14ac:dyDescent="0.2">
      <c r="A104" s="62" t="s">
        <v>4</v>
      </c>
      <c r="B104" s="75"/>
      <c r="C104" s="63">
        <f t="shared" ref="C104:P104" si="66">C103/B103-1</f>
        <v>0.38789058977703483</v>
      </c>
      <c r="D104" s="63">
        <f t="shared" si="66"/>
        <v>0.19845234438659975</v>
      </c>
      <c r="E104" s="63">
        <f t="shared" si="66"/>
        <v>0.60664920914765519</v>
      </c>
      <c r="F104" s="63">
        <f t="shared" si="66"/>
        <v>0.29142976296506085</v>
      </c>
      <c r="G104" s="63">
        <f t="shared" si="66"/>
        <v>0.36271818504387432</v>
      </c>
      <c r="H104" s="63">
        <f t="shared" si="66"/>
        <v>0.4000398970389023</v>
      </c>
      <c r="I104" s="63">
        <f t="shared" si="66"/>
        <v>0.26592416446308276</v>
      </c>
      <c r="J104" s="63">
        <f t="shared" si="66"/>
        <v>0.25047678774281801</v>
      </c>
      <c r="K104" s="63">
        <f t="shared" si="66"/>
        <v>0.29496145341212543</v>
      </c>
      <c r="L104" s="63">
        <f t="shared" si="66"/>
        <v>0.21483051217487525</v>
      </c>
      <c r="M104" s="63">
        <f t="shared" si="66"/>
        <v>0.19982463452105192</v>
      </c>
      <c r="N104" s="63">
        <f t="shared" si="66"/>
        <v>0.19361003655224351</v>
      </c>
      <c r="O104" s="63">
        <f t="shared" si="66"/>
        <v>0.18630040557497596</v>
      </c>
      <c r="P104" s="63">
        <f t="shared" si="66"/>
        <v>0.18389854480410772</v>
      </c>
      <c r="R104" s="109"/>
      <c r="S104" s="109"/>
    </row>
    <row r="105" spans="1:19" x14ac:dyDescent="0.2">
      <c r="A105" s="68" t="s">
        <v>10</v>
      </c>
      <c r="B105" s="43">
        <v>1.0134093056544582</v>
      </c>
      <c r="C105" s="43">
        <v>1.2838082818260039</v>
      </c>
      <c r="D105" s="43">
        <v>1.6255079779752133</v>
      </c>
      <c r="E105" s="43">
        <v>2.0130893229065765</v>
      </c>
      <c r="F105" s="43">
        <v>2.5463591221876469</v>
      </c>
      <c r="G105" s="43">
        <v>3.1946603178520587</v>
      </c>
      <c r="H105" s="43">
        <v>4.1384186816104362</v>
      </c>
      <c r="I105" s="43">
        <v>5.0464220278613494</v>
      </c>
      <c r="J105" s="43">
        <v>6.0784325138792399</v>
      </c>
      <c r="K105" s="43">
        <v>7.1779938544492357</v>
      </c>
      <c r="L105" s="43">
        <v>8.2050951465377953</v>
      </c>
      <c r="M105" s="43">
        <v>9.2775187745190859</v>
      </c>
      <c r="N105" s="43">
        <v>10.450131261377761</v>
      </c>
      <c r="O105" s="43">
        <v>11.713304472982324</v>
      </c>
      <c r="P105" s="43">
        <v>13.117078335786902</v>
      </c>
      <c r="R105" s="57">
        <f>(J105/D105)^(1/6)-1</f>
        <v>0.24585380326306616</v>
      </c>
      <c r="S105" s="57">
        <f>(P105/J105)^(1/6)-1</f>
        <v>0.13677431459156675</v>
      </c>
    </row>
    <row r="106" spans="1:19" x14ac:dyDescent="0.2">
      <c r="A106" s="62" t="s">
        <v>4</v>
      </c>
      <c r="B106" s="75"/>
      <c r="C106" s="63">
        <f t="shared" ref="C106:P106" si="67">C105/B105-1</f>
        <v>0.26682109061246728</v>
      </c>
      <c r="D106" s="63">
        <f t="shared" si="67"/>
        <v>0.26616100003903886</v>
      </c>
      <c r="E106" s="63">
        <f t="shared" si="67"/>
        <v>0.23843706101900985</v>
      </c>
      <c r="F106" s="63">
        <f t="shared" si="67"/>
        <v>0.26490121089665042</v>
      </c>
      <c r="G106" s="63">
        <f t="shared" si="67"/>
        <v>0.25459927863884269</v>
      </c>
      <c r="H106" s="63">
        <f t="shared" si="67"/>
        <v>0.29541743717933588</v>
      </c>
      <c r="I106" s="63">
        <f t="shared" si="67"/>
        <v>0.21940828517079147</v>
      </c>
      <c r="J106" s="63">
        <f t="shared" si="67"/>
        <v>0.20450340465386163</v>
      </c>
      <c r="K106" s="63">
        <f t="shared" si="67"/>
        <v>0.18089554141784148</v>
      </c>
      <c r="L106" s="63">
        <f t="shared" si="67"/>
        <v>0.14309029972934817</v>
      </c>
      <c r="M106" s="63">
        <f t="shared" si="67"/>
        <v>0.13070215626126025</v>
      </c>
      <c r="N106" s="63">
        <f t="shared" si="67"/>
        <v>0.12639289829078892</v>
      </c>
      <c r="O106" s="63">
        <f t="shared" si="67"/>
        <v>0.12087630097748892</v>
      </c>
      <c r="P106" s="63">
        <f t="shared" si="67"/>
        <v>0.11984439284767978</v>
      </c>
      <c r="R106" s="109"/>
      <c r="S106" s="109"/>
    </row>
    <row r="107" spans="1:19" x14ac:dyDescent="0.2">
      <c r="A107" s="68" t="s">
        <v>11</v>
      </c>
      <c r="B107" s="43">
        <v>2.1548789495999934</v>
      </c>
      <c r="C107" s="43">
        <v>2.682802170104662</v>
      </c>
      <c r="D107" s="43">
        <v>3.676868110402693</v>
      </c>
      <c r="E107" s="43">
        <v>4.6919343695468214</v>
      </c>
      <c r="F107" s="43">
        <v>5.8006612918796483</v>
      </c>
      <c r="G107" s="43">
        <v>7.3441242989983202</v>
      </c>
      <c r="H107" s="43">
        <v>9.9016854629368911</v>
      </c>
      <c r="I107" s="43">
        <v>12.325725220135633</v>
      </c>
      <c r="J107" s="43">
        <v>15.058268561722247</v>
      </c>
      <c r="K107" s="43">
        <v>18.227840442418717</v>
      </c>
      <c r="L107" s="43">
        <v>21.2796740411796</v>
      </c>
      <c r="M107" s="43">
        <v>24.580215762931807</v>
      </c>
      <c r="N107" s="43">
        <v>28.292807543530891</v>
      </c>
      <c r="O107" s="43">
        <v>32.416569297065848</v>
      </c>
      <c r="P107" s="43">
        <v>37.118985732419304</v>
      </c>
      <c r="R107" s="57">
        <f>(J107/D107)^(1/6)-1</f>
        <v>0.26488050119449014</v>
      </c>
      <c r="S107" s="57">
        <f>(P107/J107)^(1/6)-1</f>
        <v>0.16226058573856306</v>
      </c>
    </row>
    <row r="108" spans="1:19" x14ac:dyDescent="0.2">
      <c r="A108" s="62" t="s">
        <v>4</v>
      </c>
      <c r="B108" s="75"/>
      <c r="C108" s="63">
        <f t="shared" ref="C108:P108" si="68">C107/B107-1</f>
        <v>0.24498973392573453</v>
      </c>
      <c r="D108" s="63">
        <f t="shared" si="68"/>
        <v>0.37053270322174003</v>
      </c>
      <c r="E108" s="63">
        <f t="shared" si="68"/>
        <v>0.27606817233184833</v>
      </c>
      <c r="F108" s="63">
        <f t="shared" si="68"/>
        <v>0.23630486596936673</v>
      </c>
      <c r="G108" s="63">
        <f t="shared" si="68"/>
        <v>0.26608397378405235</v>
      </c>
      <c r="H108" s="63">
        <f t="shared" si="68"/>
        <v>0.34824589832819175</v>
      </c>
      <c r="I108" s="63">
        <f t="shared" si="68"/>
        <v>0.24481082198300408</v>
      </c>
      <c r="J108" s="63">
        <f t="shared" si="68"/>
        <v>0.22169432571177716</v>
      </c>
      <c r="K108" s="63">
        <f t="shared" si="68"/>
        <v>0.2104871398530801</v>
      </c>
      <c r="L108" s="63">
        <f t="shared" si="68"/>
        <v>0.16742705250254675</v>
      </c>
      <c r="M108" s="63">
        <f t="shared" si="68"/>
        <v>0.15510302062734271</v>
      </c>
      <c r="N108" s="63">
        <f t="shared" si="68"/>
        <v>0.15103983693250811</v>
      </c>
      <c r="O108" s="63">
        <f t="shared" si="68"/>
        <v>0.14575300620803366</v>
      </c>
      <c r="P108" s="63">
        <f t="shared" si="68"/>
        <v>0.14506212524405204</v>
      </c>
      <c r="R108" s="109"/>
      <c r="S108" s="109"/>
    </row>
    <row r="109" spans="1:19" x14ac:dyDescent="0.2">
      <c r="A109" s="68" t="s">
        <v>22</v>
      </c>
      <c r="B109" s="43">
        <v>0.27359756082793707</v>
      </c>
      <c r="C109" s="43">
        <v>0.35075203830900664</v>
      </c>
      <c r="D109" s="43">
        <v>0.48550373548744397</v>
      </c>
      <c r="E109" s="43">
        <v>0.62972221188470312</v>
      </c>
      <c r="F109" s="43">
        <v>0.80192053699240984</v>
      </c>
      <c r="G109" s="43">
        <v>1.0382406266380226</v>
      </c>
      <c r="H109" s="43">
        <v>1.4068696665400515</v>
      </c>
      <c r="I109" s="43">
        <v>1.7644305561698295</v>
      </c>
      <c r="J109" s="43">
        <v>2.1824062983022294</v>
      </c>
      <c r="K109" s="43">
        <v>2.702415028918812</v>
      </c>
      <c r="L109" s="43">
        <v>3.2010774764565832</v>
      </c>
      <c r="M109" s="43">
        <v>3.7505299609240508</v>
      </c>
      <c r="N109" s="43">
        <v>4.377490357300549</v>
      </c>
      <c r="O109" s="43">
        <v>5.0842831492852714</v>
      </c>
      <c r="P109" s="43">
        <v>5.8999485407813488</v>
      </c>
      <c r="R109" s="57">
        <f>(J109/D109)^(1/6)-1</f>
        <v>0.28466681308595354</v>
      </c>
      <c r="S109" s="57">
        <f>(P109/J109)^(1/6)-1</f>
        <v>0.18028105508587511</v>
      </c>
    </row>
    <row r="110" spans="1:19" x14ac:dyDescent="0.2">
      <c r="A110" s="62" t="s">
        <v>4</v>
      </c>
      <c r="B110" s="63"/>
      <c r="C110" s="63">
        <f t="shared" ref="C110:P110" si="69">C109/B109-1</f>
        <v>0.28199987327223019</v>
      </c>
      <c r="D110" s="63">
        <f t="shared" si="69"/>
        <v>0.38417937021287774</v>
      </c>
      <c r="E110" s="63">
        <f t="shared" si="69"/>
        <v>0.29704915916344965</v>
      </c>
      <c r="F110" s="63">
        <f t="shared" si="69"/>
        <v>0.27345124859472936</v>
      </c>
      <c r="G110" s="63">
        <f t="shared" si="69"/>
        <v>0.29469265188285054</v>
      </c>
      <c r="H110" s="63">
        <f t="shared" si="69"/>
        <v>0.35505164260014022</v>
      </c>
      <c r="I110" s="63">
        <f t="shared" si="69"/>
        <v>0.25415352831448557</v>
      </c>
      <c r="J110" s="63">
        <f t="shared" si="69"/>
        <v>0.23688987966731245</v>
      </c>
      <c r="K110" s="63">
        <f t="shared" si="69"/>
        <v>0.23827310754240205</v>
      </c>
      <c r="L110" s="63">
        <f t="shared" si="69"/>
        <v>0.18452474627380866</v>
      </c>
      <c r="M110" s="63">
        <f t="shared" si="69"/>
        <v>0.17164610619661769</v>
      </c>
      <c r="N110" s="63">
        <f t="shared" si="69"/>
        <v>0.16716581467383573</v>
      </c>
      <c r="O110" s="63">
        <f t="shared" si="69"/>
        <v>0.16146073076002798</v>
      </c>
      <c r="P110" s="63">
        <f t="shared" si="69"/>
        <v>0.16042878957493545</v>
      </c>
      <c r="R110" s="109"/>
      <c r="S110" s="109"/>
    </row>
    <row r="111" spans="1:19" x14ac:dyDescent="0.2">
      <c r="A111" s="77" t="s">
        <v>23</v>
      </c>
      <c r="B111" s="56">
        <f t="shared" ref="B111:O111" si="70">B109+B107+B105+B103</f>
        <v>3.4420669994999993</v>
      </c>
      <c r="C111" s="56">
        <f t="shared" si="70"/>
        <v>4.3176139529999977</v>
      </c>
      <c r="D111" s="56">
        <f t="shared" si="70"/>
        <v>5.7881811899999889</v>
      </c>
      <c r="E111" s="56">
        <f t="shared" si="70"/>
        <v>7.3352300939999822</v>
      </c>
      <c r="F111" s="56">
        <f t="shared" si="70"/>
        <v>9.149566247999978</v>
      </c>
      <c r="G111" s="56">
        <f t="shared" si="70"/>
        <v>11.577877346999964</v>
      </c>
      <c r="H111" s="56">
        <f t="shared" si="70"/>
        <v>15.448166789999972</v>
      </c>
      <c r="I111" s="56">
        <f t="shared" si="70"/>
        <v>19.138088024999959</v>
      </c>
      <c r="J111" s="56">
        <f t="shared" si="70"/>
        <v>23.320995869999933</v>
      </c>
      <c r="K111" s="56">
        <f t="shared" si="70"/>
        <v>28.110694855436286</v>
      </c>
      <c r="L111" s="56">
        <f t="shared" si="70"/>
        <v>32.688817568210645</v>
      </c>
      <c r="M111" s="56">
        <f t="shared" si="70"/>
        <v>37.611829062224928</v>
      </c>
      <c r="N111" s="56">
        <f t="shared" si="70"/>
        <v>43.124683861396484</v>
      </c>
      <c r="O111" s="56">
        <f t="shared" si="70"/>
        <v>49.219204270704907</v>
      </c>
      <c r="P111" s="56">
        <f>P109+P107+P105+P103</f>
        <v>56.141988160931348</v>
      </c>
      <c r="R111" s="57">
        <f>(J111/D111)^(1/6)-1</f>
        <v>0.26144260680224796</v>
      </c>
      <c r="S111" s="57">
        <f>(P111/J111)^(1/6)-1</f>
        <v>0.15768422647416758</v>
      </c>
    </row>
    <row r="112" spans="1:19" x14ac:dyDescent="0.2">
      <c r="A112" s="74" t="s">
        <v>4</v>
      </c>
      <c r="B112" s="66"/>
      <c r="C112" s="59">
        <f t="shared" ref="C112:P112" si="71">C111/B111-1</f>
        <v>0.25436662145948397</v>
      </c>
      <c r="D112" s="59">
        <f t="shared" si="71"/>
        <v>0.34059720322568454</v>
      </c>
      <c r="E112" s="59">
        <f t="shared" si="71"/>
        <v>0.26727720733289551</v>
      </c>
      <c r="F112" s="59">
        <f t="shared" si="71"/>
        <v>0.2473454998342961</v>
      </c>
      <c r="G112" s="59">
        <f t="shared" si="71"/>
        <v>0.2654017724097899</v>
      </c>
      <c r="H112" s="59">
        <f t="shared" si="71"/>
        <v>0.3342831614987587</v>
      </c>
      <c r="I112" s="59">
        <f t="shared" si="71"/>
        <v>0.23885819496644589</v>
      </c>
      <c r="J112" s="59">
        <f t="shared" si="71"/>
        <v>0.21856456295612547</v>
      </c>
      <c r="K112" s="59">
        <f t="shared" si="71"/>
        <v>0.20538140875869759</v>
      </c>
      <c r="L112" s="59">
        <f t="shared" si="71"/>
        <v>0.1628605317768943</v>
      </c>
      <c r="M112" s="59">
        <f t="shared" si="71"/>
        <v>0.15060231174595407</v>
      </c>
      <c r="N112" s="59">
        <f t="shared" si="71"/>
        <v>0.14657236663633411</v>
      </c>
      <c r="O112" s="59">
        <f t="shared" si="71"/>
        <v>0.14132324839519561</v>
      </c>
      <c r="P112" s="59">
        <f t="shared" si="71"/>
        <v>0.14065208880971003</v>
      </c>
      <c r="R112" s="109"/>
      <c r="S112" s="109"/>
    </row>
    <row r="113" spans="1:19" ht="17.100000000000001" customHeight="1" x14ac:dyDescent="0.2">
      <c r="B113" s="108"/>
      <c r="C113" s="108"/>
      <c r="D113" s="108"/>
      <c r="E113" s="108"/>
      <c r="F113" s="108"/>
      <c r="G113" s="108"/>
      <c r="H113" s="108"/>
      <c r="I113" s="108"/>
      <c r="J113" s="108"/>
      <c r="K113" s="108"/>
      <c r="L113" s="108"/>
      <c r="M113" s="108"/>
      <c r="N113" s="108"/>
      <c r="O113" s="108"/>
      <c r="P113" s="108"/>
      <c r="R113" s="109"/>
      <c r="S113" s="109"/>
    </row>
    <row r="114" spans="1:19" x14ac:dyDescent="0.2">
      <c r="A114" s="67" t="s">
        <v>33</v>
      </c>
      <c r="C114" s="108"/>
      <c r="D114" s="108"/>
      <c r="E114" s="108"/>
      <c r="F114" s="108"/>
      <c r="G114" s="108"/>
      <c r="H114" s="108"/>
      <c r="I114" s="108"/>
      <c r="J114" s="108"/>
      <c r="R114" s="109"/>
      <c r="S114" s="109"/>
    </row>
    <row r="115" spans="1:19" x14ac:dyDescent="0.2">
      <c r="A115" s="68" t="s">
        <v>82</v>
      </c>
      <c r="B115" s="112">
        <f t="shared" ref="B115:P115" si="72">(B103*1000000)/(B34*1000)</f>
        <v>1.167166485242545E-2</v>
      </c>
      <c r="C115" s="112">
        <f t="shared" si="72"/>
        <v>1.4425117202657881E-2</v>
      </c>
      <c r="D115" s="112">
        <f t="shared" si="72"/>
        <v>1.5172211785743961E-2</v>
      </c>
      <c r="E115" s="112">
        <f t="shared" si="72"/>
        <v>1.8255580940154757E-2</v>
      </c>
      <c r="F115" s="112">
        <f t="shared" si="72"/>
        <v>2.152581802355118E-2</v>
      </c>
      <c r="G115" s="112">
        <f t="shared" si="72"/>
        <v>2.5158453415400954E-2</v>
      </c>
      <c r="H115" s="112">
        <f t="shared" si="72"/>
        <v>3.0669842831772928E-2</v>
      </c>
      <c r="I115" s="112">
        <f t="shared" si="72"/>
        <v>3.3549807295382303E-2</v>
      </c>
      <c r="J115" s="112">
        <f t="shared" si="72"/>
        <v>3.6735373572804007E-2</v>
      </c>
      <c r="K115" s="112">
        <f t="shared" si="72"/>
        <v>4.2376184578199402E-2</v>
      </c>
      <c r="L115" s="112">
        <f t="shared" si="72"/>
        <v>4.6145426087411741E-2</v>
      </c>
      <c r="M115" s="112">
        <f t="shared" si="72"/>
        <v>4.9879209667337734E-2</v>
      </c>
      <c r="N115" s="112">
        <f t="shared" si="72"/>
        <v>5.3825934839806022E-2</v>
      </c>
      <c r="O115" s="112">
        <f t="shared" si="72"/>
        <v>5.7930137304917154E-2</v>
      </c>
      <c r="P115" s="112">
        <f t="shared" si="72"/>
        <v>6.2562234164134201E-2</v>
      </c>
      <c r="R115" s="57">
        <f>(J115/D115)^(1/6)-1</f>
        <v>0.15879317164115947</v>
      </c>
      <c r="S115" s="57">
        <f>(P115/J115)^(1/6)-1</f>
        <v>9.2793151902410109E-2</v>
      </c>
    </row>
    <row r="116" spans="1:19" x14ac:dyDescent="0.2">
      <c r="A116" s="62" t="s">
        <v>4</v>
      </c>
      <c r="B116" s="75"/>
      <c r="C116" s="13">
        <f>C115/B115-1</f>
        <v>0.23590913421920656</v>
      </c>
      <c r="D116" s="13">
        <f t="shared" ref="D116:P116" si="73">D115/C115-1</f>
        <v>5.1791231404929139E-2</v>
      </c>
      <c r="E116" s="13">
        <f t="shared" si="73"/>
        <v>0.20322476366352693</v>
      </c>
      <c r="F116" s="13">
        <f t="shared" si="73"/>
        <v>0.17913629229970152</v>
      </c>
      <c r="G116" s="13">
        <f t="shared" si="73"/>
        <v>0.16875713563476857</v>
      </c>
      <c r="H116" s="13">
        <f t="shared" si="73"/>
        <v>0.21906709945048264</v>
      </c>
      <c r="I116" s="13">
        <f t="shared" si="73"/>
        <v>9.3902159179825695E-2</v>
      </c>
      <c r="J116" s="13">
        <f t="shared" si="73"/>
        <v>9.4950359904456327E-2</v>
      </c>
      <c r="K116" s="13">
        <f t="shared" si="73"/>
        <v>0.15355256954760921</v>
      </c>
      <c r="L116" s="13">
        <f t="shared" si="73"/>
        <v>8.894716564811822E-2</v>
      </c>
      <c r="M116" s="13">
        <f t="shared" si="73"/>
        <v>8.0913405650501868E-2</v>
      </c>
      <c r="N116" s="13">
        <f t="shared" si="73"/>
        <v>7.9125655734932687E-2</v>
      </c>
      <c r="O116" s="13">
        <f t="shared" si="73"/>
        <v>7.624953430582937E-2</v>
      </c>
      <c r="P116" s="13">
        <f t="shared" si="73"/>
        <v>7.9960053172942747E-2</v>
      </c>
      <c r="R116" s="109"/>
      <c r="S116" s="109"/>
    </row>
    <row r="117" spans="1:19" x14ac:dyDescent="0.2">
      <c r="A117" s="68" t="s">
        <v>10</v>
      </c>
      <c r="B117" s="112">
        <f t="shared" ref="B117:P117" si="74">(B105*1000000)/(B36*1000)</f>
        <v>320.25173420650481</v>
      </c>
      <c r="C117" s="112">
        <f t="shared" si="74"/>
        <v>356.17611720399293</v>
      </c>
      <c r="D117" s="112">
        <f t="shared" si="74"/>
        <v>399.09128124443464</v>
      </c>
      <c r="E117" s="112">
        <f t="shared" si="74"/>
        <v>437.66813776787029</v>
      </c>
      <c r="F117" s="112">
        <f t="shared" si="74"/>
        <v>517.26957679240434</v>
      </c>
      <c r="G117" s="112">
        <f t="shared" si="74"/>
        <v>584.25125385805552</v>
      </c>
      <c r="H117" s="112">
        <f t="shared" si="74"/>
        <v>672.27291002203344</v>
      </c>
      <c r="I117" s="112">
        <f t="shared" si="74"/>
        <v>731.6581311795702</v>
      </c>
      <c r="J117" s="112">
        <f t="shared" si="74"/>
        <v>795.7155423733692</v>
      </c>
      <c r="K117" s="112">
        <f t="shared" si="74"/>
        <v>863.01290091823546</v>
      </c>
      <c r="L117" s="112">
        <f t="shared" si="74"/>
        <v>914.35723806264582</v>
      </c>
      <c r="M117" s="112">
        <f t="shared" si="74"/>
        <v>963.31073352658314</v>
      </c>
      <c r="N117" s="112">
        <f t="shared" si="74"/>
        <v>1014.7740694597085</v>
      </c>
      <c r="O117" s="112">
        <f t="shared" si="74"/>
        <v>1067.6663639365327</v>
      </c>
      <c r="P117" s="112">
        <f t="shared" si="74"/>
        <v>1127.4114627664965</v>
      </c>
      <c r="R117" s="57">
        <f>(J117/D117)^(1/6)-1</f>
        <v>0.12188308523426272</v>
      </c>
      <c r="S117" s="57">
        <f>(P117/J117)^(1/6)-1</f>
        <v>5.9792318848751247E-2</v>
      </c>
    </row>
    <row r="118" spans="1:19" x14ac:dyDescent="0.2">
      <c r="A118" s="62" t="s">
        <v>4</v>
      </c>
      <c r="B118" s="75"/>
      <c r="C118" s="13">
        <f>C117/B117-1</f>
        <v>0.11217545187225553</v>
      </c>
      <c r="D118" s="13">
        <f t="shared" ref="D118:P118" si="75">D117/C117-1</f>
        <v>0.12048860652794113</v>
      </c>
      <c r="E118" s="13">
        <f t="shared" si="75"/>
        <v>9.666173714230597E-2</v>
      </c>
      <c r="F118" s="13">
        <f t="shared" si="75"/>
        <v>0.18187624858986862</v>
      </c>
      <c r="G118" s="13">
        <f t="shared" si="75"/>
        <v>0.12949084978282599</v>
      </c>
      <c r="H118" s="13">
        <f t="shared" si="75"/>
        <v>0.15065719685278234</v>
      </c>
      <c r="I118" s="13">
        <f t="shared" si="75"/>
        <v>8.8334990555532622E-2</v>
      </c>
      <c r="J118" s="13">
        <f t="shared" si="75"/>
        <v>8.7551013873824468E-2</v>
      </c>
      <c r="K118" s="13">
        <f t="shared" si="75"/>
        <v>8.4574643778025704E-2</v>
      </c>
      <c r="L118" s="13">
        <f t="shared" si="75"/>
        <v>5.9494286921760509E-2</v>
      </c>
      <c r="M118" s="13">
        <f t="shared" si="75"/>
        <v>5.3538697377909727E-2</v>
      </c>
      <c r="N118" s="13">
        <f t="shared" si="75"/>
        <v>5.3423401340835452E-2</v>
      </c>
      <c r="O118" s="13">
        <f t="shared" si="75"/>
        <v>5.2122236928053844E-2</v>
      </c>
      <c r="P118" s="13">
        <f t="shared" si="75"/>
        <v>5.5958584861361516E-2</v>
      </c>
      <c r="R118" s="109"/>
      <c r="S118" s="109"/>
    </row>
    <row r="119" spans="1:19" x14ac:dyDescent="0.2">
      <c r="A119" s="68" t="s">
        <v>11</v>
      </c>
      <c r="B119" s="112">
        <f t="shared" ref="B119:P119" si="76">(B107*1000000)/(B38*1000)</f>
        <v>13539.655484460684</v>
      </c>
      <c r="C119" s="112">
        <f t="shared" si="76"/>
        <v>13919.204119111506</v>
      </c>
      <c r="D119" s="112">
        <f t="shared" si="76"/>
        <v>16499.110717427284</v>
      </c>
      <c r="E119" s="112">
        <f t="shared" si="76"/>
        <v>20143.242196742856</v>
      </c>
      <c r="F119" s="112">
        <f t="shared" si="76"/>
        <v>23769.947388924527</v>
      </c>
      <c r="G119" s="112">
        <f t="shared" si="76"/>
        <v>28431.954176948471</v>
      </c>
      <c r="H119" s="112">
        <f t="shared" si="76"/>
        <v>34411.843521241921</v>
      </c>
      <c r="I119" s="112">
        <f t="shared" si="76"/>
        <v>40072.858188417704</v>
      </c>
      <c r="J119" s="112">
        <f t="shared" si="76"/>
        <v>45236.958348683329</v>
      </c>
      <c r="K119" s="112">
        <f t="shared" si="76"/>
        <v>51520.473088189392</v>
      </c>
      <c r="L119" s="112">
        <f t="shared" si="76"/>
        <v>58068.453742364378</v>
      </c>
      <c r="M119" s="112">
        <f t="shared" si="76"/>
        <v>66250.652247570164</v>
      </c>
      <c r="N119" s="112">
        <f t="shared" si="76"/>
        <v>75490.62113743517</v>
      </c>
      <c r="O119" s="112">
        <f t="shared" si="76"/>
        <v>85642.722351864781</v>
      </c>
      <c r="P119" s="112">
        <f t="shared" si="76"/>
        <v>97258.031657011452</v>
      </c>
      <c r="Q119" s="114"/>
      <c r="R119" s="57">
        <f>(J119/D119)^(1/6)-1</f>
        <v>0.18305647417904325</v>
      </c>
      <c r="S119" s="57">
        <f>(P119/J119)^(1/6)-1</f>
        <v>0.13607066702330184</v>
      </c>
    </row>
    <row r="120" spans="1:19" x14ac:dyDescent="0.2">
      <c r="A120" s="62" t="s">
        <v>4</v>
      </c>
      <c r="B120" s="75"/>
      <c r="C120" s="13">
        <f>C119/B119-1</f>
        <v>2.8032370180055555E-2</v>
      </c>
      <c r="D120" s="13">
        <f t="shared" ref="D120:P120" si="77">D119/C119-1</f>
        <v>0.1853487150729749</v>
      </c>
      <c r="E120" s="13">
        <f t="shared" si="77"/>
        <v>0.22086835719372666</v>
      </c>
      <c r="F120" s="13">
        <f t="shared" si="77"/>
        <v>0.18004575215642826</v>
      </c>
      <c r="G120" s="13">
        <f t="shared" si="77"/>
        <v>0.19613029476860255</v>
      </c>
      <c r="H120" s="13">
        <f t="shared" si="77"/>
        <v>0.21032283982582212</v>
      </c>
      <c r="I120" s="13">
        <f t="shared" si="77"/>
        <v>0.16450774175121774</v>
      </c>
      <c r="J120" s="13">
        <f t="shared" si="77"/>
        <v>0.12886777718685938</v>
      </c>
      <c r="K120" s="13">
        <f t="shared" si="77"/>
        <v>0.1389022376587119</v>
      </c>
      <c r="L120" s="13">
        <f t="shared" si="77"/>
        <v>0.12709473072901667</v>
      </c>
      <c r="M120" s="13">
        <f t="shared" si="77"/>
        <v>0.14090608545404382</v>
      </c>
      <c r="N120" s="13">
        <f t="shared" si="77"/>
        <v>0.1394698554111804</v>
      </c>
      <c r="O120" s="13">
        <f t="shared" si="77"/>
        <v>0.13448162250443141</v>
      </c>
      <c r="P120" s="13">
        <f t="shared" si="77"/>
        <v>0.13562517615244585</v>
      </c>
      <c r="R120" s="109"/>
      <c r="S120" s="109"/>
    </row>
    <row r="121" spans="1:19" x14ac:dyDescent="0.2">
      <c r="A121" s="77" t="s">
        <v>23</v>
      </c>
      <c r="B121" s="56">
        <f t="shared" ref="B121:P121" si="78">(B111*1000000)/(B40*1000)</f>
        <v>182.63282000720972</v>
      </c>
      <c r="C121" s="56">
        <f t="shared" si="78"/>
        <v>203.37854679454293</v>
      </c>
      <c r="D121" s="56">
        <f t="shared" si="78"/>
        <v>239.58786554026432</v>
      </c>
      <c r="E121" s="56">
        <f t="shared" si="78"/>
        <v>233.93880313162376</v>
      </c>
      <c r="F121" s="56">
        <f t="shared" si="78"/>
        <v>267.41059305532315</v>
      </c>
      <c r="G121" s="56">
        <f t="shared" si="78"/>
        <v>292.40214928063961</v>
      </c>
      <c r="H121" s="56">
        <f t="shared" si="78"/>
        <v>340.71031840958358</v>
      </c>
      <c r="I121" s="56">
        <f t="shared" si="78"/>
        <v>366.49582816657096</v>
      </c>
      <c r="J121" s="56">
        <f t="shared" si="78"/>
        <v>392.74201658177128</v>
      </c>
      <c r="K121" s="56">
        <f t="shared" si="78"/>
        <v>423.47396363041406</v>
      </c>
      <c r="L121" s="56">
        <f t="shared" si="78"/>
        <v>443.41008451214293</v>
      </c>
      <c r="M121" s="56">
        <f t="shared" si="78"/>
        <v>461.68853610916273</v>
      </c>
      <c r="N121" s="56">
        <f t="shared" si="78"/>
        <v>480.66765920108583</v>
      </c>
      <c r="O121" s="56">
        <f t="shared" si="78"/>
        <v>499.80051515877966</v>
      </c>
      <c r="P121" s="56">
        <f t="shared" si="78"/>
        <v>522.10503654997842</v>
      </c>
      <c r="R121" s="109"/>
      <c r="S121" s="109"/>
    </row>
    <row r="122" spans="1:19" x14ac:dyDescent="0.2">
      <c r="A122" s="74" t="s">
        <v>4</v>
      </c>
      <c r="B122" s="66"/>
      <c r="C122" s="59">
        <f t="shared" ref="C122:P122" si="79">C121/B121-1</f>
        <v>0.11359254479295799</v>
      </c>
      <c r="D122" s="59">
        <f t="shared" si="79"/>
        <v>0.17803902779530012</v>
      </c>
      <c r="E122" s="59">
        <f t="shared" si="79"/>
        <v>-2.3578249240219562E-2</v>
      </c>
      <c r="F122" s="59">
        <f t="shared" si="79"/>
        <v>0.14307925609445293</v>
      </c>
      <c r="G122" s="59">
        <f t="shared" si="79"/>
        <v>9.3457614897649588E-2</v>
      </c>
      <c r="H122" s="59">
        <f t="shared" si="79"/>
        <v>0.16521140233678344</v>
      </c>
      <c r="I122" s="59">
        <f t="shared" si="79"/>
        <v>7.5681622668056114E-2</v>
      </c>
      <c r="J122" s="59">
        <f t="shared" si="79"/>
        <v>7.1613880426686594E-2</v>
      </c>
      <c r="K122" s="59">
        <f t="shared" si="79"/>
        <v>7.8249705280117876E-2</v>
      </c>
      <c r="L122" s="59">
        <f t="shared" si="79"/>
        <v>4.7077559883063058E-2</v>
      </c>
      <c r="M122" s="59">
        <f t="shared" si="79"/>
        <v>4.1222453515306068E-2</v>
      </c>
      <c r="N122" s="59">
        <f t="shared" si="79"/>
        <v>4.1108066602363325E-2</v>
      </c>
      <c r="O122" s="59">
        <f t="shared" si="79"/>
        <v>3.9804749896205749E-2</v>
      </c>
      <c r="P122" s="59">
        <f t="shared" si="79"/>
        <v>4.4626847541589409E-2</v>
      </c>
      <c r="R122" s="109"/>
      <c r="S122" s="109"/>
    </row>
    <row r="123" spans="1:19" x14ac:dyDescent="0.2">
      <c r="J123" s="113"/>
      <c r="K123" s="113"/>
      <c r="L123" s="113"/>
      <c r="M123" s="113"/>
      <c r="N123" s="113"/>
      <c r="O123" s="113"/>
      <c r="P123" s="113"/>
      <c r="R123" s="109"/>
      <c r="S123" s="109"/>
    </row>
    <row r="124" spans="1:19" x14ac:dyDescent="0.2">
      <c r="A124" s="67" t="s">
        <v>51</v>
      </c>
      <c r="R124" s="109"/>
      <c r="S124" s="109"/>
    </row>
    <row r="125" spans="1:19" x14ac:dyDescent="0.2">
      <c r="A125" s="68" t="s">
        <v>52</v>
      </c>
      <c r="B125" s="46">
        <v>1.5127396811541864</v>
      </c>
      <c r="C125" s="46">
        <v>1.9499779243104702</v>
      </c>
      <c r="D125" s="46">
        <v>2.6863896797813602</v>
      </c>
      <c r="E125" s="46">
        <v>3.4984980880992365</v>
      </c>
      <c r="F125" s="46">
        <v>4.4844523326548487</v>
      </c>
      <c r="G125" s="46">
        <v>5.8314808944178651</v>
      </c>
      <c r="H125" s="46">
        <v>7.9959094817886962</v>
      </c>
      <c r="I125" s="46">
        <v>10.179594388229148</v>
      </c>
      <c r="J125" s="46">
        <v>12.747353353396662</v>
      </c>
      <c r="K125" s="46">
        <v>15.790123251239965</v>
      </c>
      <c r="L125" s="46">
        <v>18.869229083291522</v>
      </c>
      <c r="M125" s="46">
        <v>22.31107036860093</v>
      </c>
      <c r="N125" s="46">
        <v>26.288323063611966</v>
      </c>
      <c r="O125" s="46">
        <v>30.832770739288648</v>
      </c>
      <c r="P125" s="46">
        <v>36.141548853825959</v>
      </c>
      <c r="R125" s="57">
        <f>(J125/D125)^(1/6)-1</f>
        <v>0.29630889880764943</v>
      </c>
      <c r="S125" s="57">
        <f>(P125/J125)^(1/6)-1</f>
        <v>0.18968263533766594</v>
      </c>
    </row>
    <row r="126" spans="1:19" x14ac:dyDescent="0.2">
      <c r="A126" s="62" t="s">
        <v>4</v>
      </c>
      <c r="B126" s="75"/>
      <c r="C126" s="63">
        <f t="shared" ref="C126:P126" si="80">C125/B125-1</f>
        <v>0.28903733312705904</v>
      </c>
      <c r="D126" s="63">
        <f t="shared" si="80"/>
        <v>0.37765132942789181</v>
      </c>
      <c r="E126" s="63">
        <f t="shared" si="80"/>
        <v>0.30230476778185511</v>
      </c>
      <c r="F126" s="63">
        <f t="shared" si="80"/>
        <v>0.28182214759799673</v>
      </c>
      <c r="G126" s="63">
        <f t="shared" si="80"/>
        <v>0.30037749581018724</v>
      </c>
      <c r="H126" s="63">
        <f t="shared" si="80"/>
        <v>0.37116276749576804</v>
      </c>
      <c r="I126" s="63">
        <f t="shared" si="80"/>
        <v>0.27310025350011324</v>
      </c>
      <c r="J126" s="63">
        <f t="shared" si="80"/>
        <v>0.25224570520576539</v>
      </c>
      <c r="K126" s="63">
        <f t="shared" si="80"/>
        <v>0.23869816843451086</v>
      </c>
      <c r="L126" s="63">
        <f t="shared" si="80"/>
        <v>0.19500201379427229</v>
      </c>
      <c r="M126" s="63">
        <f t="shared" si="80"/>
        <v>0.18240497638332864</v>
      </c>
      <c r="N126" s="63">
        <f t="shared" si="80"/>
        <v>0.17826364353224156</v>
      </c>
      <c r="O126" s="63">
        <f t="shared" si="80"/>
        <v>0.17286943958654644</v>
      </c>
      <c r="P126" s="63">
        <f t="shared" si="80"/>
        <v>0.17217972914035262</v>
      </c>
      <c r="R126" s="109"/>
      <c r="S126" s="109"/>
    </row>
    <row r="127" spans="1:19" x14ac:dyDescent="0.2">
      <c r="A127" s="68" t="s">
        <v>53</v>
      </c>
      <c r="B127" s="46">
        <v>1.9293273183458133</v>
      </c>
      <c r="C127" s="46">
        <v>2.3676360286895264</v>
      </c>
      <c r="D127" s="46">
        <v>3.1017915102186295</v>
      </c>
      <c r="E127" s="46">
        <v>3.8367320059007475</v>
      </c>
      <c r="F127" s="46">
        <v>4.6651139153451293</v>
      </c>
      <c r="G127" s="46">
        <v>5.7463964525820934</v>
      </c>
      <c r="H127" s="46">
        <v>7.4522573082112773</v>
      </c>
      <c r="I127" s="46">
        <v>8.958493636770811</v>
      </c>
      <c r="J127" s="46">
        <v>10.573642516603279</v>
      </c>
      <c r="K127" s="46">
        <v>12.32057160419631</v>
      </c>
      <c r="L127" s="46">
        <v>13.819588484919095</v>
      </c>
      <c r="M127" s="46">
        <v>15.30075869362404</v>
      </c>
      <c r="N127" s="46">
        <v>16.836360797784526</v>
      </c>
      <c r="O127" s="46">
        <v>18.386433531416237</v>
      </c>
      <c r="P127" s="46">
        <v>20.000439307105339</v>
      </c>
      <c r="R127" s="57">
        <f>(J127/D127)^(1/6)-1</f>
        <v>0.22678560130280134</v>
      </c>
      <c r="S127" s="57">
        <f>(P127/J127)^(1/6)-1</f>
        <v>0.11207945787587348</v>
      </c>
    </row>
    <row r="128" spans="1:19" x14ac:dyDescent="0.2">
      <c r="A128" s="62" t="s">
        <v>4</v>
      </c>
      <c r="B128" s="63"/>
      <c r="C128" s="63">
        <f t="shared" ref="C128:P128" si="81">C127/B127-1</f>
        <v>0.22718214072639298</v>
      </c>
      <c r="D128" s="63">
        <f t="shared" si="81"/>
        <v>0.31007953614198636</v>
      </c>
      <c r="E128" s="63">
        <f t="shared" si="81"/>
        <v>0.23694064970547157</v>
      </c>
      <c r="F128" s="63">
        <f t="shared" si="81"/>
        <v>0.21590820212888517</v>
      </c>
      <c r="G128" s="63">
        <f t="shared" si="81"/>
        <v>0.23178052173179786</v>
      </c>
      <c r="H128" s="63">
        <f t="shared" si="81"/>
        <v>0.29685749490233482</v>
      </c>
      <c r="I128" s="63">
        <f t="shared" si="81"/>
        <v>0.20211813230065023</v>
      </c>
      <c r="J128" s="63">
        <f t="shared" si="81"/>
        <v>0.18029246269740784</v>
      </c>
      <c r="K128" s="63">
        <f t="shared" si="81"/>
        <v>0.16521544821001033</v>
      </c>
      <c r="L128" s="63">
        <f t="shared" si="81"/>
        <v>0.12166780315713832</v>
      </c>
      <c r="M128" s="63">
        <f t="shared" si="81"/>
        <v>0.10717903867552225</v>
      </c>
      <c r="N128" s="63">
        <f t="shared" si="81"/>
        <v>0.1003611739070418</v>
      </c>
      <c r="O128" s="63">
        <f t="shared" si="81"/>
        <v>9.2066970543639437E-2</v>
      </c>
      <c r="P128" s="63">
        <f t="shared" si="81"/>
        <v>8.7782427893441595E-2</v>
      </c>
      <c r="R128" s="109"/>
      <c r="S128" s="109"/>
    </row>
    <row r="129" spans="1:19" x14ac:dyDescent="0.2">
      <c r="A129" s="77" t="s">
        <v>23</v>
      </c>
      <c r="B129" s="56">
        <f t="shared" ref="B129:P129" si="82">B125+B127</f>
        <v>3.4420669994999997</v>
      </c>
      <c r="C129" s="56">
        <f t="shared" si="82"/>
        <v>4.3176139529999968</v>
      </c>
      <c r="D129" s="56">
        <f t="shared" si="82"/>
        <v>5.7881811899999898</v>
      </c>
      <c r="E129" s="56">
        <f t="shared" si="82"/>
        <v>7.3352300939999839</v>
      </c>
      <c r="F129" s="56">
        <f t="shared" si="82"/>
        <v>9.149566247999978</v>
      </c>
      <c r="G129" s="56">
        <f t="shared" si="82"/>
        <v>11.577877346999959</v>
      </c>
      <c r="H129" s="56">
        <f t="shared" si="82"/>
        <v>15.448166789999974</v>
      </c>
      <c r="I129" s="56">
        <f t="shared" si="82"/>
        <v>19.138088024999959</v>
      </c>
      <c r="J129" s="56">
        <f t="shared" si="82"/>
        <v>23.32099586999994</v>
      </c>
      <c r="K129" s="56">
        <f t="shared" si="82"/>
        <v>28.110694855436275</v>
      </c>
      <c r="L129" s="56">
        <f t="shared" si="82"/>
        <v>32.688817568210617</v>
      </c>
      <c r="M129" s="56">
        <f t="shared" si="82"/>
        <v>37.61182906222497</v>
      </c>
      <c r="N129" s="56">
        <f t="shared" si="82"/>
        <v>43.124683861396491</v>
      </c>
      <c r="O129" s="56">
        <f t="shared" si="82"/>
        <v>49.219204270704886</v>
      </c>
      <c r="P129" s="56">
        <f t="shared" si="82"/>
        <v>56.141988160931298</v>
      </c>
      <c r="R129" s="57">
        <f>(J129/D129)^(1/6)-1</f>
        <v>0.26144260680224796</v>
      </c>
      <c r="S129" s="57">
        <f>(P129/J129)^(1/6)-1</f>
        <v>0.15768422647416735</v>
      </c>
    </row>
    <row r="130" spans="1:19" x14ac:dyDescent="0.2">
      <c r="A130" s="74" t="s">
        <v>4</v>
      </c>
      <c r="B130" s="66"/>
      <c r="C130" s="59">
        <f t="shared" ref="C130:P130" si="83">C129/B129-1</f>
        <v>0.25436662145948374</v>
      </c>
      <c r="D130" s="59">
        <f t="shared" si="83"/>
        <v>0.34059720322568499</v>
      </c>
      <c r="E130" s="59">
        <f t="shared" si="83"/>
        <v>0.26727720733289573</v>
      </c>
      <c r="F130" s="59">
        <f t="shared" si="83"/>
        <v>0.24734549983429566</v>
      </c>
      <c r="G130" s="59">
        <f t="shared" si="83"/>
        <v>0.26540177240978946</v>
      </c>
      <c r="H130" s="59">
        <f t="shared" si="83"/>
        <v>0.33428316149875936</v>
      </c>
      <c r="I130" s="59">
        <f t="shared" si="83"/>
        <v>0.23885819496644567</v>
      </c>
      <c r="J130" s="59">
        <f t="shared" si="83"/>
        <v>0.21856456295612592</v>
      </c>
      <c r="K130" s="59">
        <f t="shared" si="83"/>
        <v>0.2053814087586967</v>
      </c>
      <c r="L130" s="59">
        <f t="shared" si="83"/>
        <v>0.16286053177689364</v>
      </c>
      <c r="M130" s="59">
        <f t="shared" si="83"/>
        <v>0.15060231174595651</v>
      </c>
      <c r="N130" s="59">
        <f t="shared" si="83"/>
        <v>0.146572366636333</v>
      </c>
      <c r="O130" s="59">
        <f t="shared" si="83"/>
        <v>0.14132324839519494</v>
      </c>
      <c r="P130" s="59">
        <f t="shared" si="83"/>
        <v>0.14065208880970936</v>
      </c>
      <c r="R130" s="109"/>
      <c r="S130" s="109"/>
    </row>
    <row r="131" spans="1:19" x14ac:dyDescent="0.2">
      <c r="R131" s="109"/>
      <c r="S131" s="109"/>
    </row>
    <row r="132" spans="1:19" x14ac:dyDescent="0.2">
      <c r="A132" s="67" t="s">
        <v>34</v>
      </c>
      <c r="C132" s="114"/>
      <c r="D132" s="114"/>
      <c r="E132" s="114"/>
      <c r="F132" s="114"/>
      <c r="G132" s="114"/>
      <c r="H132" s="114"/>
      <c r="I132" s="114"/>
      <c r="J132" s="114"/>
      <c r="K132" s="114"/>
      <c r="L132" s="114"/>
      <c r="M132" s="114"/>
      <c r="N132" s="114"/>
      <c r="O132" s="114"/>
      <c r="P132" s="114"/>
      <c r="R132" s="109"/>
      <c r="S132" s="109"/>
    </row>
    <row r="133" spans="1:19" x14ac:dyDescent="0.2">
      <c r="A133" s="79" t="s">
        <v>35</v>
      </c>
      <c r="B133" s="45">
        <v>9310.1904568569444</v>
      </c>
      <c r="C133" s="45">
        <v>9873.0965628431532</v>
      </c>
      <c r="D133" s="45">
        <v>10567.345212781927</v>
      </c>
      <c r="E133" s="45">
        <v>11264.036935658496</v>
      </c>
      <c r="F133" s="45">
        <v>11927.926737362877</v>
      </c>
      <c r="G133" s="45">
        <v>15238.735280742912</v>
      </c>
      <c r="H133" s="45">
        <v>16002.299513597292</v>
      </c>
      <c r="I133" s="45">
        <v>20683.282842360233</v>
      </c>
      <c r="J133" s="45">
        <v>21246.76254790341</v>
      </c>
      <c r="K133" s="45">
        <v>23581.523455217543</v>
      </c>
      <c r="L133" s="45">
        <v>25962.079882238606</v>
      </c>
      <c r="M133" s="45">
        <v>26720.926629198937</v>
      </c>
      <c r="N133" s="45">
        <v>30888.695883547738</v>
      </c>
      <c r="O133" s="45">
        <v>35010.028372523368</v>
      </c>
      <c r="P133" s="45">
        <v>39277.218092796087</v>
      </c>
      <c r="R133" s="57">
        <f>(J133/D133)^(1/6)-1</f>
        <v>0.12345188739427049</v>
      </c>
      <c r="S133" s="57">
        <f>(P133/J133)^(1/6)-1</f>
        <v>0.10783392241058731</v>
      </c>
    </row>
    <row r="134" spans="1:19" x14ac:dyDescent="0.2">
      <c r="A134" s="80" t="s">
        <v>36</v>
      </c>
      <c r="B134" s="75"/>
      <c r="C134" s="63">
        <f t="shared" ref="C134:P134" si="84">C133/B133-1</f>
        <v>6.0461287939778785E-2</v>
      </c>
      <c r="D134" s="63">
        <f t="shared" si="84"/>
        <v>7.031721461649032E-2</v>
      </c>
      <c r="E134" s="63">
        <f t="shared" si="84"/>
        <v>6.5928736957875822E-2</v>
      </c>
      <c r="F134" s="63">
        <f t="shared" si="84"/>
        <v>5.8938887141137597E-2</v>
      </c>
      <c r="G134" s="63">
        <f t="shared" si="84"/>
        <v>0.27756781344148451</v>
      </c>
      <c r="H134" s="63">
        <f t="shared" si="84"/>
        <v>5.0106798155309606E-2</v>
      </c>
      <c r="I134" s="63">
        <f t="shared" si="84"/>
        <v>0.29251941727409037</v>
      </c>
      <c r="J134" s="63">
        <f t="shared" si="84"/>
        <v>2.7243243243241233E-2</v>
      </c>
      <c r="K134" s="63">
        <f t="shared" si="84"/>
        <v>0.10988784300902932</v>
      </c>
      <c r="L134" s="63">
        <f t="shared" si="84"/>
        <v>0.10095006930073258</v>
      </c>
      <c r="M134" s="63">
        <f t="shared" si="84"/>
        <v>2.9229042911907754E-2</v>
      </c>
      <c r="N134" s="63">
        <f t="shared" si="84"/>
        <v>0.15597397920304634</v>
      </c>
      <c r="O134" s="63">
        <f t="shared" si="84"/>
        <v>0.13342526678734856</v>
      </c>
      <c r="P134" s="63">
        <f t="shared" si="84"/>
        <v>0.12188478326460617</v>
      </c>
      <c r="R134" s="109"/>
      <c r="S134" s="109"/>
    </row>
    <row r="135" spans="1:19" x14ac:dyDescent="0.2">
      <c r="A135" s="79" t="s">
        <v>37</v>
      </c>
      <c r="B135" s="45">
        <v>5096.2599905977268</v>
      </c>
      <c r="C135" s="45">
        <v>5343.746806350774</v>
      </c>
      <c r="D135" s="45">
        <v>5683.1037279515504</v>
      </c>
      <c r="E135" s="45">
        <v>5976.525596628464</v>
      </c>
      <c r="F135" s="45">
        <v>6237.1367132169053</v>
      </c>
      <c r="G135" s="45">
        <v>7937.1367132169053</v>
      </c>
      <c r="H135" s="45">
        <v>8222.3558938716997</v>
      </c>
      <c r="I135" s="45">
        <v>10422.3558938717</v>
      </c>
      <c r="J135" s="45">
        <v>10681</v>
      </c>
      <c r="K135" s="45">
        <v>11813.635898932809</v>
      </c>
      <c r="L135" s="45">
        <v>12948.422214919145</v>
      </c>
      <c r="M135" s="45">
        <v>13272.011271813248</v>
      </c>
      <c r="N135" s="45">
        <v>15283.642729851617</v>
      </c>
      <c r="O135" s="45">
        <v>17261.845869806319</v>
      </c>
      <c r="P135" s="45">
        <v>19297.753382290543</v>
      </c>
      <c r="R135" s="57">
        <f>(J135/D135)^(1/6)-1</f>
        <v>0.11088999490989493</v>
      </c>
      <c r="S135" s="57">
        <f>(P135/J135)^(1/6)-1</f>
        <v>0.10361045515109724</v>
      </c>
    </row>
    <row r="136" spans="1:19" x14ac:dyDescent="0.2">
      <c r="A136" s="80" t="s">
        <v>36</v>
      </c>
      <c r="B136" s="75"/>
      <c r="C136" s="63">
        <f t="shared" ref="C136:P136" si="85">C135/B135-1</f>
        <v>4.8562439163159832E-2</v>
      </c>
      <c r="D136" s="63">
        <f t="shared" si="85"/>
        <v>6.3505426791079955E-2</v>
      </c>
      <c r="E136" s="63">
        <f t="shared" si="85"/>
        <v>5.1630567155366069E-2</v>
      </c>
      <c r="F136" s="63">
        <f t="shared" si="85"/>
        <v>4.3605789413076357E-2</v>
      </c>
      <c r="G136" s="63">
        <f t="shared" si="85"/>
        <v>0.27256096477692848</v>
      </c>
      <c r="H136" s="63">
        <f t="shared" si="85"/>
        <v>3.5934769799271349E-2</v>
      </c>
      <c r="I136" s="63">
        <f t="shared" si="85"/>
        <v>0.26756321769527247</v>
      </c>
      <c r="J136" s="63">
        <f t="shared" si="85"/>
        <v>2.4816280384397649E-2</v>
      </c>
      <c r="K136" s="63">
        <f t="shared" si="85"/>
        <v>0.10604212142428704</v>
      </c>
      <c r="L136" s="63">
        <f t="shared" si="85"/>
        <v>9.6057329487261978E-2</v>
      </c>
      <c r="M136" s="63">
        <f t="shared" si="85"/>
        <v>2.4990616734853255E-2</v>
      </c>
      <c r="N136" s="63">
        <f t="shared" si="85"/>
        <v>0.1515694506913674</v>
      </c>
      <c r="O136" s="63">
        <f t="shared" si="85"/>
        <v>0.12943269971175964</v>
      </c>
      <c r="P136" s="63">
        <f t="shared" si="85"/>
        <v>0.11794263069196709</v>
      </c>
      <c r="R136" s="109"/>
      <c r="S136" s="109"/>
    </row>
    <row r="137" spans="1:19" x14ac:dyDescent="0.2">
      <c r="A137" s="79" t="s">
        <v>38</v>
      </c>
      <c r="B137" s="46">
        <v>34.701332765557972</v>
      </c>
      <c r="C137" s="46">
        <v>41.820390270164054</v>
      </c>
      <c r="D137" s="46">
        <v>51.109572029340711</v>
      </c>
      <c r="E137" s="46">
        <v>61.887368707324498</v>
      </c>
      <c r="F137" s="46">
        <v>74.803339911143624</v>
      </c>
      <c r="G137" s="46">
        <v>93.270154250062916</v>
      </c>
      <c r="H137" s="46">
        <v>116.25703681789349</v>
      </c>
      <c r="I137" s="46">
        <v>143.76896271818921</v>
      </c>
      <c r="J137" s="46">
        <v>169.78326913404129</v>
      </c>
      <c r="K137" s="46">
        <v>202.42015785198581</v>
      </c>
      <c r="L137" s="46">
        <v>234.38682974256736</v>
      </c>
      <c r="M137" s="46">
        <v>267.12543755510353</v>
      </c>
      <c r="N137" s="46">
        <v>307.92729692154614</v>
      </c>
      <c r="O137" s="46">
        <v>352.61891989304303</v>
      </c>
      <c r="P137" s="46">
        <v>402.75888295430389</v>
      </c>
      <c r="R137" s="57">
        <f>(J137/D137)^(1/6)-1</f>
        <v>0.22151491597517148</v>
      </c>
      <c r="S137" s="57">
        <f>(P137/J137)^(1/6)-1</f>
        <v>0.15484856584330742</v>
      </c>
    </row>
    <row r="138" spans="1:19" x14ac:dyDescent="0.2">
      <c r="A138" s="80" t="s">
        <v>36</v>
      </c>
      <c r="B138" s="75"/>
      <c r="C138" s="63">
        <f t="shared" ref="C138:P138" si="86">C137/B137-1</f>
        <v>0.20515227909839662</v>
      </c>
      <c r="D138" s="63">
        <f t="shared" si="86"/>
        <v>0.22212087690161608</v>
      </c>
      <c r="E138" s="63">
        <f t="shared" si="86"/>
        <v>0.21087628500971456</v>
      </c>
      <c r="F138" s="63">
        <f t="shared" si="86"/>
        <v>0.20870124992550365</v>
      </c>
      <c r="G138" s="63">
        <f t="shared" si="86"/>
        <v>0.24687152152371006</v>
      </c>
      <c r="H138" s="63">
        <f t="shared" si="86"/>
        <v>0.24645485742632478</v>
      </c>
      <c r="I138" s="63">
        <f t="shared" si="86"/>
        <v>0.23664740348913904</v>
      </c>
      <c r="J138" s="63">
        <f t="shared" si="86"/>
        <v>0.18094521880111492</v>
      </c>
      <c r="K138" s="63">
        <f t="shared" si="86"/>
        <v>0.19222676583155085</v>
      </c>
      <c r="L138" s="63">
        <f t="shared" si="86"/>
        <v>0.15792237408468135</v>
      </c>
      <c r="M138" s="63">
        <f t="shared" si="86"/>
        <v>0.139677676636071</v>
      </c>
      <c r="N138" s="63">
        <f t="shared" si="86"/>
        <v>0.15274419291508279</v>
      </c>
      <c r="O138" s="63">
        <f t="shared" si="86"/>
        <v>0.14513693140651784</v>
      </c>
      <c r="P138" s="63">
        <f t="shared" si="86"/>
        <v>0.14219305951158101</v>
      </c>
      <c r="R138" s="109"/>
      <c r="S138" s="109"/>
    </row>
    <row r="139" spans="1:19" x14ac:dyDescent="0.2">
      <c r="A139" s="79" t="s">
        <v>60</v>
      </c>
      <c r="B139" s="46">
        <v>10.639314869557975</v>
      </c>
      <c r="C139" s="46">
        <v>11.640818829164065</v>
      </c>
      <c r="D139" s="46">
        <v>12.680565960840713</v>
      </c>
      <c r="E139" s="46">
        <v>13.659779977324451</v>
      </c>
      <c r="F139" s="46">
        <v>14.58239214164352</v>
      </c>
      <c r="G139" s="46">
        <v>17.718506730562869</v>
      </c>
      <c r="H139" s="46">
        <v>18.639825595393464</v>
      </c>
      <c r="I139" s="46">
        <v>23.987916453689152</v>
      </c>
      <c r="J139" s="46">
        <v>24.952919159041379</v>
      </c>
      <c r="K139" s="46">
        <v>28.462427621725549</v>
      </c>
      <c r="L139" s="46">
        <v>31.272254147268544</v>
      </c>
      <c r="M139" s="46">
        <v>32.110215373817546</v>
      </c>
      <c r="N139" s="46">
        <v>37.071599433318738</v>
      </c>
      <c r="O139" s="46">
        <v>41.963246256272278</v>
      </c>
      <c r="P139" s="46">
        <v>47.007102259404078</v>
      </c>
      <c r="R139" s="57">
        <f>(J139/D139)^(1/6)-1</f>
        <v>0.11943046091464127</v>
      </c>
      <c r="S139" s="57">
        <f>(P139/J139)^(1/6)-1</f>
        <v>0.11132312995418592</v>
      </c>
    </row>
    <row r="140" spans="1:19" x14ac:dyDescent="0.2">
      <c r="A140" s="80" t="s">
        <v>36</v>
      </c>
      <c r="B140" s="75"/>
      <c r="C140" s="63">
        <f t="shared" ref="C140:P140" si="87">C139/B139-1</f>
        <v>9.413237336096425E-2</v>
      </c>
      <c r="D140" s="63">
        <f t="shared" si="87"/>
        <v>8.9319071702391062E-2</v>
      </c>
      <c r="E140" s="63">
        <f t="shared" si="87"/>
        <v>7.7221633443466331E-2</v>
      </c>
      <c r="F140" s="63">
        <f t="shared" si="87"/>
        <v>6.7542241957822657E-2</v>
      </c>
      <c r="G140" s="63">
        <f t="shared" si="87"/>
        <v>0.21506173736498413</v>
      </c>
      <c r="H140" s="63">
        <f t="shared" si="87"/>
        <v>5.1997545777455523E-2</v>
      </c>
      <c r="I140" s="63">
        <f t="shared" si="87"/>
        <v>0.28691743015113746</v>
      </c>
      <c r="J140" s="63">
        <f t="shared" si="87"/>
        <v>4.0228700446545806E-2</v>
      </c>
      <c r="K140" s="63">
        <f t="shared" si="87"/>
        <v>0.14064520629092581</v>
      </c>
      <c r="L140" s="63">
        <f t="shared" si="87"/>
        <v>9.8720550575883914E-2</v>
      </c>
      <c r="M140" s="63">
        <f t="shared" si="87"/>
        <v>2.6795677171298271E-2</v>
      </c>
      <c r="N140" s="63">
        <f t="shared" si="87"/>
        <v>0.15451108009529801</v>
      </c>
      <c r="O140" s="63">
        <f t="shared" si="87"/>
        <v>0.13195132925818909</v>
      </c>
      <c r="P140" s="63">
        <f t="shared" si="87"/>
        <v>0.12019699268089612</v>
      </c>
      <c r="R140" s="109"/>
      <c r="S140" s="109"/>
    </row>
    <row r="141" spans="1:19" x14ac:dyDescent="0.2">
      <c r="A141" s="79" t="s">
        <v>39</v>
      </c>
      <c r="B141" s="46">
        <v>11.246797379763635</v>
      </c>
      <c r="C141" s="46">
        <v>11.667488753569575</v>
      </c>
      <c r="D141" s="46">
        <v>12.240650162513003</v>
      </c>
      <c r="E141" s="46">
        <v>12.727425968285916</v>
      </c>
      <c r="F141" s="46">
        <v>13.189527176913712</v>
      </c>
      <c r="G141" s="46">
        <v>16.289527176913712</v>
      </c>
      <c r="H141" s="46">
        <v>16.775209626201232</v>
      </c>
      <c r="I141" s="46">
        <v>21.17520962620123</v>
      </c>
      <c r="J141" s="46">
        <v>22</v>
      </c>
      <c r="K141" s="46">
        <v>25.965135381582577</v>
      </c>
      <c r="L141" s="46">
        <v>30.030593310281493</v>
      </c>
      <c r="M141" s="46">
        <v>30.45574141429617</v>
      </c>
      <c r="N141" s="46">
        <v>38.147323955711514</v>
      </c>
      <c r="O141" s="46">
        <v>45.85104911447047</v>
      </c>
      <c r="P141" s="46">
        <v>53.686722743476317</v>
      </c>
      <c r="R141" s="57">
        <f>(J141/D141)^(1/6)-1</f>
        <v>0.10264665875430712</v>
      </c>
      <c r="S141" s="57">
        <f>(P141/J141)^(1/6)-1</f>
        <v>0.16031000079111113</v>
      </c>
    </row>
    <row r="142" spans="1:19" x14ac:dyDescent="0.2">
      <c r="A142" s="80" t="s">
        <v>36</v>
      </c>
      <c r="B142" s="75"/>
      <c r="C142" s="63">
        <f t="shared" ref="C142:P142" si="88">C141/B141-1</f>
        <v>3.7405437263668517E-2</v>
      </c>
      <c r="D142" s="63">
        <f t="shared" si="88"/>
        <v>4.9124659217526512E-2</v>
      </c>
      <c r="E142" s="63">
        <f t="shared" si="88"/>
        <v>3.9767152831772234E-2</v>
      </c>
      <c r="F142" s="63">
        <f t="shared" si="88"/>
        <v>3.6307514950725706E-2</v>
      </c>
      <c r="G142" s="63">
        <f t="shared" si="88"/>
        <v>0.23503496057281592</v>
      </c>
      <c r="H142" s="63">
        <f t="shared" si="88"/>
        <v>2.9815625954806801E-2</v>
      </c>
      <c r="I142" s="63">
        <f t="shared" si="88"/>
        <v>0.26229180427811949</v>
      </c>
      <c r="J142" s="63">
        <f t="shared" si="88"/>
        <v>3.8950753657626791E-2</v>
      </c>
      <c r="K142" s="63">
        <f t="shared" si="88"/>
        <v>0.18023342643557161</v>
      </c>
      <c r="L142" s="63">
        <f t="shared" si="88"/>
        <v>0.15657372353169396</v>
      </c>
      <c r="M142" s="63">
        <f t="shared" si="88"/>
        <v>1.4157166314430425E-2</v>
      </c>
      <c r="N142" s="63">
        <f t="shared" si="88"/>
        <v>0.25254950903296192</v>
      </c>
      <c r="O142" s="63">
        <f t="shared" si="88"/>
        <v>0.20194667305373426</v>
      </c>
      <c r="P142" s="63">
        <f t="shared" si="88"/>
        <v>0.17089409687101198</v>
      </c>
      <c r="R142" s="109"/>
      <c r="S142" s="109"/>
    </row>
    <row r="143" spans="1:19" x14ac:dyDescent="0.2">
      <c r="R143" s="109"/>
      <c r="S143" s="109"/>
    </row>
    <row r="144" spans="1:19" x14ac:dyDescent="0.2">
      <c r="A144" s="67" t="s">
        <v>176</v>
      </c>
      <c r="R144" s="109"/>
      <c r="S144" s="109"/>
    </row>
    <row r="145" spans="1:19" x14ac:dyDescent="0.2">
      <c r="A145" s="76" t="s">
        <v>178</v>
      </c>
      <c r="B145" s="56">
        <f t="shared" ref="B145:P145" si="89">B147+B153+B159+B165+B171</f>
        <v>34.701332765557972</v>
      </c>
      <c r="C145" s="56">
        <f t="shared" si="89"/>
        <v>41.820390270164054</v>
      </c>
      <c r="D145" s="56">
        <f t="shared" si="89"/>
        <v>51.109572029340711</v>
      </c>
      <c r="E145" s="56">
        <f t="shared" si="89"/>
        <v>61.887368707324498</v>
      </c>
      <c r="F145" s="56">
        <f t="shared" si="89"/>
        <v>74.803339911143624</v>
      </c>
      <c r="G145" s="56">
        <f t="shared" si="89"/>
        <v>93.270154250062916</v>
      </c>
      <c r="H145" s="56">
        <f t="shared" si="89"/>
        <v>116.25703681789351</v>
      </c>
      <c r="I145" s="56">
        <f t="shared" si="89"/>
        <v>143.76896271818921</v>
      </c>
      <c r="J145" s="56">
        <f t="shared" si="89"/>
        <v>169.78326913404132</v>
      </c>
      <c r="K145" s="56">
        <f t="shared" si="89"/>
        <v>202.42015785198578</v>
      </c>
      <c r="L145" s="56">
        <f t="shared" si="89"/>
        <v>234.38682974256736</v>
      </c>
      <c r="M145" s="56">
        <f t="shared" si="89"/>
        <v>267.12543755510353</v>
      </c>
      <c r="N145" s="56">
        <f t="shared" si="89"/>
        <v>307.92729692154614</v>
      </c>
      <c r="O145" s="56">
        <f t="shared" si="89"/>
        <v>352.61891989304303</v>
      </c>
      <c r="P145" s="56">
        <f t="shared" si="89"/>
        <v>402.75888295430389</v>
      </c>
      <c r="R145" s="57">
        <f>(J145/D145)^(1/6)-1</f>
        <v>0.22151491597517148</v>
      </c>
      <c r="S145" s="57">
        <f>(P145/J145)^(1/6)-1</f>
        <v>0.15484856584330742</v>
      </c>
    </row>
    <row r="146" spans="1:19" x14ac:dyDescent="0.2">
      <c r="A146" s="58" t="s">
        <v>4</v>
      </c>
      <c r="B146" s="66"/>
      <c r="C146" s="59">
        <f t="shared" ref="C146:P146" si="90">C145/B145-1</f>
        <v>0.20515227909839662</v>
      </c>
      <c r="D146" s="59">
        <f t="shared" si="90"/>
        <v>0.22212087690161608</v>
      </c>
      <c r="E146" s="59">
        <f t="shared" si="90"/>
        <v>0.21087628500971456</v>
      </c>
      <c r="F146" s="59">
        <f t="shared" si="90"/>
        <v>0.20870124992550365</v>
      </c>
      <c r="G146" s="59">
        <f t="shared" si="90"/>
        <v>0.24687152152371006</v>
      </c>
      <c r="H146" s="59">
        <f t="shared" si="90"/>
        <v>0.246454857426325</v>
      </c>
      <c r="I146" s="59">
        <f t="shared" si="90"/>
        <v>0.23664740348913882</v>
      </c>
      <c r="J146" s="59">
        <f t="shared" si="90"/>
        <v>0.18094521880111514</v>
      </c>
      <c r="K146" s="59">
        <f t="shared" si="90"/>
        <v>0.19222676583155041</v>
      </c>
      <c r="L146" s="59">
        <f t="shared" si="90"/>
        <v>0.15792237408468157</v>
      </c>
      <c r="M146" s="59">
        <f t="shared" si="90"/>
        <v>0.139677676636071</v>
      </c>
      <c r="N146" s="59">
        <f t="shared" si="90"/>
        <v>0.15274419291508279</v>
      </c>
      <c r="O146" s="59">
        <f t="shared" si="90"/>
        <v>0.14513693140651784</v>
      </c>
      <c r="P146" s="59">
        <f t="shared" si="90"/>
        <v>0.14219305951158101</v>
      </c>
      <c r="R146" s="109"/>
      <c r="S146" s="109"/>
    </row>
    <row r="147" spans="1:19" x14ac:dyDescent="0.2">
      <c r="A147" s="68" t="s">
        <v>26</v>
      </c>
      <c r="B147" s="46">
        <f t="shared" ref="B147:P147" si="91">B149+B151</f>
        <v>14.520074870999998</v>
      </c>
      <c r="C147" s="46">
        <f t="shared" si="91"/>
        <v>18.175249019999988</v>
      </c>
      <c r="D147" s="46">
        <f t="shared" si="91"/>
        <v>22.977411945000018</v>
      </c>
      <c r="E147" s="46">
        <f t="shared" si="91"/>
        <v>28.662232200000076</v>
      </c>
      <c r="F147" s="46">
        <f t="shared" si="91"/>
        <v>35.914819395000123</v>
      </c>
      <c r="G147" s="46">
        <f t="shared" si="91"/>
        <v>44.7800520300001</v>
      </c>
      <c r="H147" s="46">
        <f t="shared" si="91"/>
        <v>57.384173025000052</v>
      </c>
      <c r="I147" s="46">
        <f t="shared" si="91"/>
        <v>70.301092920000031</v>
      </c>
      <c r="J147" s="46">
        <f t="shared" si="91"/>
        <v>84.773600744999897</v>
      </c>
      <c r="K147" s="46">
        <f t="shared" si="91"/>
        <v>101.74184494688262</v>
      </c>
      <c r="L147" s="46">
        <f t="shared" si="91"/>
        <v>119.5236540607613</v>
      </c>
      <c r="M147" s="46">
        <f t="shared" si="91"/>
        <v>139.20097148623864</v>
      </c>
      <c r="N147" s="46">
        <f t="shared" si="91"/>
        <v>161.44719392485004</v>
      </c>
      <c r="O147" s="46">
        <f t="shared" si="91"/>
        <v>186.33094556038841</v>
      </c>
      <c r="P147" s="46">
        <f t="shared" si="91"/>
        <v>214.54281963425049</v>
      </c>
      <c r="R147" s="57">
        <f>(J147/D147)^(1/6)-1</f>
        <v>0.2430633248338383</v>
      </c>
      <c r="S147" s="57">
        <f>(P147/J147)^(1/6)-1</f>
        <v>0.16737097854261385</v>
      </c>
    </row>
    <row r="148" spans="1:19" x14ac:dyDescent="0.2">
      <c r="A148" s="62" t="s">
        <v>4</v>
      </c>
      <c r="B148" s="75"/>
      <c r="C148" s="63">
        <f t="shared" ref="C148:P148" si="92">C147/B147-1</f>
        <v>0.25173245878368244</v>
      </c>
      <c r="D148" s="63">
        <f t="shared" si="92"/>
        <v>0.26421442257631478</v>
      </c>
      <c r="E148" s="63">
        <f t="shared" si="92"/>
        <v>0.24740907586143956</v>
      </c>
      <c r="F148" s="63">
        <f t="shared" si="92"/>
        <v>0.25303637010518765</v>
      </c>
      <c r="G148" s="63">
        <f t="shared" si="92"/>
        <v>0.24684051832470444</v>
      </c>
      <c r="H148" s="63">
        <f t="shared" si="92"/>
        <v>0.28146731465510366</v>
      </c>
      <c r="I148" s="63">
        <f t="shared" si="92"/>
        <v>0.22509551352029722</v>
      </c>
      <c r="J148" s="63">
        <f t="shared" si="92"/>
        <v>0.20586462064635369</v>
      </c>
      <c r="K148" s="63">
        <f t="shared" si="92"/>
        <v>0.20015953141973331</v>
      </c>
      <c r="L148" s="63">
        <f t="shared" si="92"/>
        <v>0.17477380249161212</v>
      </c>
      <c r="M148" s="63">
        <f t="shared" si="92"/>
        <v>0.16463115673717721</v>
      </c>
      <c r="N148" s="63">
        <f t="shared" si="92"/>
        <v>0.15981370101867887</v>
      </c>
      <c r="O148" s="63">
        <f t="shared" si="92"/>
        <v>0.15412935357130575</v>
      </c>
      <c r="P148" s="63">
        <f t="shared" si="92"/>
        <v>0.15140734669174338</v>
      </c>
      <c r="R148" s="109"/>
      <c r="S148" s="109"/>
    </row>
    <row r="149" spans="1:19" x14ac:dyDescent="0.2">
      <c r="A149" s="82" t="s">
        <v>30</v>
      </c>
      <c r="B149" s="46">
        <f t="shared" ref="B149:P149" si="93">B79</f>
        <v>9.5033815380629605</v>
      </c>
      <c r="C149" s="46">
        <f t="shared" si="93"/>
        <v>11.722120241369964</v>
      </c>
      <c r="D149" s="46">
        <f t="shared" si="93"/>
        <v>14.516009844124506</v>
      </c>
      <c r="E149" s="46">
        <f t="shared" si="93"/>
        <v>17.928592742794763</v>
      </c>
      <c r="F149" s="46">
        <f t="shared" si="93"/>
        <v>22.04945818037946</v>
      </c>
      <c r="G149" s="46">
        <f t="shared" si="93"/>
        <v>26.964573491380346</v>
      </c>
      <c r="H149" s="46">
        <f t="shared" si="93"/>
        <v>33.951213779148659</v>
      </c>
      <c r="I149" s="46">
        <f t="shared" si="93"/>
        <v>41.154633687251888</v>
      </c>
      <c r="J149" s="46">
        <f t="shared" si="93"/>
        <v>49.117572110800097</v>
      </c>
      <c r="K149" s="46">
        <f t="shared" si="93"/>
        <v>58.187141075777156</v>
      </c>
      <c r="L149" s="46">
        <f t="shared" si="93"/>
        <v>67.519868132093592</v>
      </c>
      <c r="M149" s="46">
        <f t="shared" si="93"/>
        <v>77.728726178955398</v>
      </c>
      <c r="N149" s="46">
        <f t="shared" si="93"/>
        <v>89.177296657211031</v>
      </c>
      <c r="O149" s="46">
        <f t="shared" si="93"/>
        <v>101.88905109179035</v>
      </c>
      <c r="P149" s="46">
        <f t="shared" si="93"/>
        <v>116.23051704263183</v>
      </c>
      <c r="R149" s="57">
        <f>(J149/D149)^(1/6)-1</f>
        <v>0.22526945274477006</v>
      </c>
      <c r="S149" s="57">
        <f>(P149/J149)^(1/6)-1</f>
        <v>0.15437579812665136</v>
      </c>
    </row>
    <row r="150" spans="1:19" x14ac:dyDescent="0.2">
      <c r="A150" s="83" t="s">
        <v>4</v>
      </c>
      <c r="B150" s="75"/>
      <c r="C150" s="63">
        <f t="shared" ref="C150:P150" si="94">C149/B149-1</f>
        <v>0.23346833907704401</v>
      </c>
      <c r="D150" s="63">
        <f t="shared" si="94"/>
        <v>0.23834336666282296</v>
      </c>
      <c r="E150" s="63">
        <f t="shared" si="94"/>
        <v>0.23509097440103566</v>
      </c>
      <c r="F150" s="63">
        <f t="shared" si="94"/>
        <v>0.22984879497811184</v>
      </c>
      <c r="G150" s="63">
        <f t="shared" si="94"/>
        <v>0.22291320134907266</v>
      </c>
      <c r="H150" s="63">
        <f t="shared" si="94"/>
        <v>0.25910442418092416</v>
      </c>
      <c r="I150" s="63">
        <f t="shared" si="94"/>
        <v>0.21216973139638529</v>
      </c>
      <c r="J150" s="63">
        <f t="shared" si="94"/>
        <v>0.19348825903934164</v>
      </c>
      <c r="K150" s="63">
        <f t="shared" si="94"/>
        <v>0.18465018882687856</v>
      </c>
      <c r="L150" s="63">
        <f t="shared" si="94"/>
        <v>0.16039157249816438</v>
      </c>
      <c r="M150" s="63">
        <f t="shared" si="94"/>
        <v>0.15119783745562931</v>
      </c>
      <c r="N150" s="63">
        <f t="shared" si="94"/>
        <v>0.14728879580372256</v>
      </c>
      <c r="O150" s="63">
        <f t="shared" si="94"/>
        <v>0.14254473852736393</v>
      </c>
      <c r="P150" s="63">
        <f t="shared" si="94"/>
        <v>0.14075571219052252</v>
      </c>
      <c r="R150" s="109"/>
      <c r="S150" s="109"/>
    </row>
    <row r="151" spans="1:19" x14ac:dyDescent="0.2">
      <c r="A151" s="82" t="s">
        <v>31</v>
      </c>
      <c r="B151" s="46">
        <f t="shared" ref="B151:P151" si="95">B81</f>
        <v>5.016693332937038</v>
      </c>
      <c r="C151" s="46">
        <f t="shared" si="95"/>
        <v>6.453128778630024</v>
      </c>
      <c r="D151" s="46">
        <f t="shared" si="95"/>
        <v>8.461402100875512</v>
      </c>
      <c r="E151" s="46">
        <f t="shared" si="95"/>
        <v>10.733639457205314</v>
      </c>
      <c r="F151" s="46">
        <f t="shared" si="95"/>
        <v>13.865361214620663</v>
      </c>
      <c r="G151" s="46">
        <f t="shared" si="95"/>
        <v>17.815478538619754</v>
      </c>
      <c r="H151" s="46">
        <f t="shared" si="95"/>
        <v>23.432959245851393</v>
      </c>
      <c r="I151" s="46">
        <f t="shared" si="95"/>
        <v>29.146459232748143</v>
      </c>
      <c r="J151" s="46">
        <f t="shared" si="95"/>
        <v>35.656028634199799</v>
      </c>
      <c r="K151" s="46">
        <f t="shared" si="95"/>
        <v>43.554703871105467</v>
      </c>
      <c r="L151" s="46">
        <f t="shared" si="95"/>
        <v>52.00378592866771</v>
      </c>
      <c r="M151" s="46">
        <f t="shared" si="95"/>
        <v>61.472245307283245</v>
      </c>
      <c r="N151" s="46">
        <f t="shared" si="95"/>
        <v>72.26989726763901</v>
      </c>
      <c r="O151" s="46">
        <f t="shared" si="95"/>
        <v>84.441894468598065</v>
      </c>
      <c r="P151" s="46">
        <f t="shared" si="95"/>
        <v>98.312302591618661</v>
      </c>
      <c r="R151" s="57">
        <f>(J151/D151)^(1/6)-1</f>
        <v>0.27091090445919619</v>
      </c>
      <c r="S151" s="57">
        <f>(P151/J151)^(1/6)-1</f>
        <v>0.18416571542794191</v>
      </c>
    </row>
    <row r="152" spans="1:19" x14ac:dyDescent="0.2">
      <c r="A152" s="83" t="s">
        <v>4</v>
      </c>
      <c r="B152" s="75"/>
      <c r="C152" s="63">
        <f t="shared" ref="C152:P152" si="96">C151/B151-1</f>
        <v>0.28633112497869595</v>
      </c>
      <c r="D152" s="63">
        <f t="shared" si="96"/>
        <v>0.31120924301030883</v>
      </c>
      <c r="E152" s="63">
        <f t="shared" si="96"/>
        <v>0.2685414697517674</v>
      </c>
      <c r="F152" s="63">
        <f t="shared" si="96"/>
        <v>0.29176699756885127</v>
      </c>
      <c r="G152" s="63">
        <f t="shared" si="96"/>
        <v>0.28489105064452236</v>
      </c>
      <c r="H152" s="63">
        <f t="shared" si="96"/>
        <v>0.31531461223757007</v>
      </c>
      <c r="I152" s="63">
        <f t="shared" si="96"/>
        <v>0.24382323747301693</v>
      </c>
      <c r="J152" s="63">
        <f t="shared" si="96"/>
        <v>0.22333997242923043</v>
      </c>
      <c r="K152" s="63">
        <f t="shared" si="96"/>
        <v>0.2215242566113933</v>
      </c>
      <c r="L152" s="63">
        <f t="shared" si="96"/>
        <v>0.19398782006568593</v>
      </c>
      <c r="M152" s="63">
        <f t="shared" si="96"/>
        <v>0.18207250125218155</v>
      </c>
      <c r="N152" s="63">
        <f t="shared" si="96"/>
        <v>0.17565084708360978</v>
      </c>
      <c r="O152" s="63">
        <f t="shared" si="96"/>
        <v>0.168424166370158</v>
      </c>
      <c r="P152" s="63">
        <f t="shared" si="96"/>
        <v>0.16425979320227913</v>
      </c>
      <c r="R152" s="109"/>
      <c r="S152" s="109"/>
    </row>
    <row r="153" spans="1:19" x14ac:dyDescent="0.2">
      <c r="A153" s="68" t="s">
        <v>55</v>
      </c>
      <c r="B153" s="46">
        <f t="shared" ref="B153:P153" si="97">B155+B157</f>
        <v>1.932731174925</v>
      </c>
      <c r="C153" s="46">
        <f t="shared" si="97"/>
        <v>2.5380239663362514</v>
      </c>
      <c r="D153" s="46">
        <f t="shared" si="97"/>
        <v>3.3249628452944235</v>
      </c>
      <c r="E153" s="46">
        <f t="shared" si="97"/>
        <v>4.3855634614331516</v>
      </c>
      <c r="F153" s="46">
        <f t="shared" si="97"/>
        <v>5.6640172804983564</v>
      </c>
      <c r="G153" s="46">
        <f t="shared" si="97"/>
        <v>7.4758010395883669</v>
      </c>
      <c r="H153" s="46">
        <f t="shared" si="97"/>
        <v>10.060791561900878</v>
      </c>
      <c r="I153" s="46">
        <f t="shared" si="97"/>
        <v>12.837622205826449</v>
      </c>
      <c r="J153" s="46">
        <f t="shared" si="97"/>
        <v>16.045127418845958</v>
      </c>
      <c r="K153" s="46">
        <f t="shared" si="97"/>
        <v>19.663332207098502</v>
      </c>
      <c r="L153" s="46">
        <f t="shared" si="97"/>
        <v>23.144777548594163</v>
      </c>
      <c r="M153" s="46">
        <f t="shared" si="97"/>
        <v>26.987698319512877</v>
      </c>
      <c r="N153" s="46">
        <f t="shared" si="97"/>
        <v>31.035404953425889</v>
      </c>
      <c r="O153" s="46">
        <f t="shared" si="97"/>
        <v>35.510045690036975</v>
      </c>
      <c r="P153" s="46">
        <f t="shared" si="97"/>
        <v>40.555210991115167</v>
      </c>
      <c r="R153" s="57">
        <f>(J153/D153)^(1/6)-1</f>
        <v>0.29994824572712964</v>
      </c>
      <c r="S153" s="57">
        <f>(P153/J153)^(1/6)-1</f>
        <v>0.16712467034478107</v>
      </c>
    </row>
    <row r="154" spans="1:19" x14ac:dyDescent="0.2">
      <c r="A154" s="62" t="s">
        <v>4</v>
      </c>
      <c r="B154" s="75"/>
      <c r="C154" s="63">
        <f t="shared" ref="C154:P154" si="98">C153/B153-1</f>
        <v>0.31318002175586579</v>
      </c>
      <c r="D154" s="63">
        <f t="shared" si="98"/>
        <v>0.31005967216856223</v>
      </c>
      <c r="E154" s="63">
        <f t="shared" si="98"/>
        <v>0.31898119332061659</v>
      </c>
      <c r="F154" s="63">
        <f t="shared" si="98"/>
        <v>0.29151415326855656</v>
      </c>
      <c r="G154" s="63">
        <f t="shared" si="98"/>
        <v>0.31987610018919255</v>
      </c>
      <c r="H154" s="63">
        <f t="shared" si="98"/>
        <v>0.34578107531535451</v>
      </c>
      <c r="I154" s="63">
        <f t="shared" si="98"/>
        <v>0.27600518575905353</v>
      </c>
      <c r="J154" s="63">
        <f t="shared" si="98"/>
        <v>0.24985197115114977</v>
      </c>
      <c r="K154" s="63">
        <f t="shared" si="98"/>
        <v>0.22550177968688168</v>
      </c>
      <c r="L154" s="63">
        <f t="shared" si="98"/>
        <v>0.17705266354798455</v>
      </c>
      <c r="M154" s="63">
        <f t="shared" si="98"/>
        <v>0.16603835413195123</v>
      </c>
      <c r="N154" s="63">
        <f t="shared" si="98"/>
        <v>0.14998339561941831</v>
      </c>
      <c r="O154" s="63">
        <f t="shared" si="98"/>
        <v>0.14417858388914451</v>
      </c>
      <c r="P154" s="63">
        <f t="shared" si="98"/>
        <v>0.14207712783917126</v>
      </c>
      <c r="R154" s="109"/>
      <c r="S154" s="109"/>
    </row>
    <row r="155" spans="1:19" x14ac:dyDescent="0.2">
      <c r="A155" s="82" t="s">
        <v>28</v>
      </c>
      <c r="B155" s="46">
        <f t="shared" ref="B155:P155" si="99">B95</f>
        <v>0.30830510182500004</v>
      </c>
      <c r="C155" s="46">
        <f t="shared" si="99"/>
        <v>0.41147515103624954</v>
      </c>
      <c r="D155" s="46">
        <f t="shared" si="99"/>
        <v>0.54738248231362385</v>
      </c>
      <c r="E155" s="46">
        <f t="shared" si="99"/>
        <v>0.73365896836673228</v>
      </c>
      <c r="F155" s="46">
        <f t="shared" si="99"/>
        <v>0.96187582327399823</v>
      </c>
      <c r="G155" s="46">
        <f t="shared" si="99"/>
        <v>1.2899820141688703</v>
      </c>
      <c r="H155" s="46">
        <f t="shared" si="99"/>
        <v>1.7611409836199672</v>
      </c>
      <c r="I155" s="46">
        <f t="shared" si="99"/>
        <v>2.2821011591482838</v>
      </c>
      <c r="J155" s="46">
        <f t="shared" si="99"/>
        <v>2.8953255916871345</v>
      </c>
      <c r="K155" s="46">
        <f t="shared" si="99"/>
        <v>3.5827071714317573</v>
      </c>
      <c r="L155" s="46">
        <f t="shared" si="99"/>
        <v>4.2105140696727492</v>
      </c>
      <c r="M155" s="46">
        <f t="shared" si="99"/>
        <v>4.8956145746412396</v>
      </c>
      <c r="N155" s="46">
        <f t="shared" si="99"/>
        <v>5.613135589061466</v>
      </c>
      <c r="O155" s="46">
        <f t="shared" si="99"/>
        <v>6.4041406217992582</v>
      </c>
      <c r="P155" s="46">
        <f t="shared" si="99"/>
        <v>7.2687079154139536</v>
      </c>
      <c r="R155" s="57">
        <f>(J155/D155)^(1/6)-1</f>
        <v>0.31998122016848596</v>
      </c>
      <c r="S155" s="57">
        <f>(P155/J155)^(1/6)-1</f>
        <v>0.16580693577097239</v>
      </c>
    </row>
    <row r="156" spans="1:19" x14ac:dyDescent="0.2">
      <c r="A156" s="83" t="s">
        <v>4</v>
      </c>
      <c r="B156" s="75"/>
      <c r="C156" s="63">
        <f t="shared" ref="C156:P156" si="100">C155/B155-1</f>
        <v>0.33463620485207168</v>
      </c>
      <c r="D156" s="63">
        <f t="shared" si="100"/>
        <v>0.33029292518663267</v>
      </c>
      <c r="E156" s="63">
        <f t="shared" si="100"/>
        <v>0.34030406904103483</v>
      </c>
      <c r="F156" s="63">
        <f t="shared" si="100"/>
        <v>0.31106667368262553</v>
      </c>
      <c r="G156" s="63">
        <f t="shared" si="100"/>
        <v>0.3411107577047483</v>
      </c>
      <c r="H156" s="63">
        <f t="shared" si="100"/>
        <v>0.36524460362702227</v>
      </c>
      <c r="I156" s="63">
        <f t="shared" si="100"/>
        <v>0.29580833128844697</v>
      </c>
      <c r="J156" s="63">
        <f t="shared" si="100"/>
        <v>0.26871045136654503</v>
      </c>
      <c r="K156" s="63">
        <f t="shared" si="100"/>
        <v>0.2374108050984618</v>
      </c>
      <c r="L156" s="63">
        <f t="shared" si="100"/>
        <v>0.17523254572605818</v>
      </c>
      <c r="M156" s="63">
        <f t="shared" si="100"/>
        <v>0.16271184316971965</v>
      </c>
      <c r="N156" s="63">
        <f t="shared" si="100"/>
        <v>0.14656403266239715</v>
      </c>
      <c r="O156" s="63">
        <f t="shared" si="100"/>
        <v>0.14092035016564619</v>
      </c>
      <c r="P156" s="63">
        <f t="shared" si="100"/>
        <v>0.13500129754674139</v>
      </c>
      <c r="R156" s="109"/>
      <c r="S156" s="109"/>
    </row>
    <row r="157" spans="1:19" x14ac:dyDescent="0.2">
      <c r="A157" s="82" t="s">
        <v>27</v>
      </c>
      <c r="B157" s="46">
        <f t="shared" ref="B157:P157" si="101">B87</f>
        <v>1.6244260731</v>
      </c>
      <c r="C157" s="46">
        <f t="shared" si="101"/>
        <v>2.1265488153000018</v>
      </c>
      <c r="D157" s="46">
        <f t="shared" si="101"/>
        <v>2.7775803629807996</v>
      </c>
      <c r="E157" s="46">
        <f t="shared" si="101"/>
        <v>3.6519044930664193</v>
      </c>
      <c r="F157" s="46">
        <f t="shared" si="101"/>
        <v>4.7021414572243581</v>
      </c>
      <c r="G157" s="46">
        <f t="shared" si="101"/>
        <v>6.1858190254194962</v>
      </c>
      <c r="H157" s="46">
        <f t="shared" si="101"/>
        <v>8.2996505782809109</v>
      </c>
      <c r="I157" s="46">
        <f t="shared" si="101"/>
        <v>10.555521046678164</v>
      </c>
      <c r="J157" s="46">
        <f t="shared" si="101"/>
        <v>13.149801827158825</v>
      </c>
      <c r="K157" s="46">
        <f t="shared" si="101"/>
        <v>16.080625035666746</v>
      </c>
      <c r="L157" s="46">
        <f t="shared" si="101"/>
        <v>18.934263478921412</v>
      </c>
      <c r="M157" s="46">
        <f t="shared" si="101"/>
        <v>22.092083744871637</v>
      </c>
      <c r="N157" s="46">
        <f t="shared" si="101"/>
        <v>25.422269364364425</v>
      </c>
      <c r="O157" s="46">
        <f t="shared" si="101"/>
        <v>29.105905068237714</v>
      </c>
      <c r="P157" s="46">
        <f t="shared" si="101"/>
        <v>33.286503075701212</v>
      </c>
      <c r="R157" s="57">
        <f>(J157/D157)^(1/6)-1</f>
        <v>0.2958122934101719</v>
      </c>
      <c r="S157" s="57">
        <f>(P157/J157)^(1/6)-1</f>
        <v>0.16741381251051024</v>
      </c>
    </row>
    <row r="158" spans="1:19" x14ac:dyDescent="0.2">
      <c r="A158" s="83" t="s">
        <v>4</v>
      </c>
      <c r="B158" s="75"/>
      <c r="C158" s="63">
        <f t="shared" ref="C158:P158" si="102">C157/B157-1</f>
        <v>0.30910778305950704</v>
      </c>
      <c r="D158" s="63">
        <f t="shared" si="102"/>
        <v>0.30614465231025223</v>
      </c>
      <c r="E158" s="63">
        <f t="shared" si="102"/>
        <v>0.31477905796659877</v>
      </c>
      <c r="F158" s="63">
        <f t="shared" si="102"/>
        <v>0.28758609819943004</v>
      </c>
      <c r="G158" s="63">
        <f t="shared" si="102"/>
        <v>0.3155323126052747</v>
      </c>
      <c r="H158" s="63">
        <f t="shared" si="102"/>
        <v>0.34172217844961339</v>
      </c>
      <c r="I158" s="63">
        <f t="shared" si="102"/>
        <v>0.27180306533633702</v>
      </c>
      <c r="J158" s="63">
        <f t="shared" si="102"/>
        <v>0.24577477217925536</v>
      </c>
      <c r="K158" s="63">
        <f t="shared" si="102"/>
        <v>0.2228796484563571</v>
      </c>
      <c r="L158" s="63">
        <f t="shared" si="102"/>
        <v>0.17745817945044484</v>
      </c>
      <c r="M158" s="63">
        <f t="shared" si="102"/>
        <v>0.16677808827714213</v>
      </c>
      <c r="N158" s="63">
        <f t="shared" si="102"/>
        <v>0.15074112781533544</v>
      </c>
      <c r="O158" s="63">
        <f t="shared" si="102"/>
        <v>0.14489798888830951</v>
      </c>
      <c r="P158" s="63">
        <f t="shared" si="102"/>
        <v>0.14363401507914775</v>
      </c>
      <c r="R158" s="109"/>
      <c r="S158" s="109"/>
    </row>
    <row r="159" spans="1:19" x14ac:dyDescent="0.2">
      <c r="A159" s="68" t="s">
        <v>56</v>
      </c>
      <c r="B159" s="46">
        <f t="shared" ref="B159:P159" si="103">B161+B163</f>
        <v>4.1671448505749993</v>
      </c>
      <c r="C159" s="46">
        <f t="shared" si="103"/>
        <v>5.1486845016637535</v>
      </c>
      <c r="D159" s="46">
        <f t="shared" si="103"/>
        <v>6.3384500882055725</v>
      </c>
      <c r="E159" s="46">
        <f t="shared" si="103"/>
        <v>7.844562974566843</v>
      </c>
      <c r="F159" s="46">
        <f t="shared" si="103"/>
        <v>9.4925448460016462</v>
      </c>
      <c r="G159" s="46">
        <f t="shared" si="103"/>
        <v>11.71791710291162</v>
      </c>
      <c r="H159" s="46">
        <f t="shared" si="103"/>
        <v>14.724079845599135</v>
      </c>
      <c r="I159" s="46">
        <f t="shared" si="103"/>
        <v>17.504243113673624</v>
      </c>
      <c r="J159" s="46">
        <f t="shared" si="103"/>
        <v>20.690625941154121</v>
      </c>
      <c r="K159" s="46">
        <f t="shared" si="103"/>
        <v>24.441858220842857</v>
      </c>
      <c r="L159" s="46">
        <f t="shared" si="103"/>
        <v>27.757326417732724</v>
      </c>
      <c r="M159" s="46">
        <f t="shared" si="103"/>
        <v>31.214723313309506</v>
      </c>
      <c r="N159" s="46">
        <f t="shared" si="103"/>
        <v>35.248414748554993</v>
      </c>
      <c r="O159" s="46">
        <f t="shared" si="103"/>
        <v>39.595478115640454</v>
      </c>
      <c r="P159" s="46">
        <f t="shared" si="103"/>
        <v>44.51176190860285</v>
      </c>
      <c r="R159" s="57">
        <f>(J159/D159)^(1/6)-1</f>
        <v>0.21795644832878458</v>
      </c>
      <c r="S159" s="57">
        <f>(P159/J159)^(1/6)-1</f>
        <v>0.13618798575922031</v>
      </c>
    </row>
    <row r="160" spans="1:19" x14ac:dyDescent="0.2">
      <c r="A160" s="62" t="s">
        <v>4</v>
      </c>
      <c r="B160" s="75"/>
      <c r="C160" s="63">
        <f t="shared" ref="C160:P160" si="104">C159/B159-1</f>
        <v>0.23554248443111292</v>
      </c>
      <c r="D160" s="63">
        <f t="shared" si="104"/>
        <v>0.23108147064698881</v>
      </c>
      <c r="E160" s="63">
        <f t="shared" si="104"/>
        <v>0.23761532636563754</v>
      </c>
      <c r="F160" s="63">
        <f t="shared" si="104"/>
        <v>0.21007950051236612</v>
      </c>
      <c r="G160" s="63">
        <f t="shared" si="104"/>
        <v>0.23443368380264462</v>
      </c>
      <c r="H160" s="63">
        <f t="shared" si="104"/>
        <v>0.25654412096331991</v>
      </c>
      <c r="I160" s="63">
        <f t="shared" si="104"/>
        <v>0.18881745394130345</v>
      </c>
      <c r="J160" s="63">
        <f t="shared" si="104"/>
        <v>0.18203488187337968</v>
      </c>
      <c r="K160" s="63">
        <f t="shared" si="104"/>
        <v>0.18130105345085035</v>
      </c>
      <c r="L160" s="63">
        <f t="shared" si="104"/>
        <v>0.13564714134797629</v>
      </c>
      <c r="M160" s="63">
        <f t="shared" si="104"/>
        <v>0.1245579939344601</v>
      </c>
      <c r="N160" s="63">
        <f t="shared" si="104"/>
        <v>0.12922400095488196</v>
      </c>
      <c r="O160" s="63">
        <f t="shared" si="104"/>
        <v>0.12332649278259145</v>
      </c>
      <c r="P160" s="63">
        <f t="shared" si="104"/>
        <v>0.12416275865148441</v>
      </c>
      <c r="R160" s="109"/>
      <c r="S160" s="109"/>
    </row>
    <row r="161" spans="1:19" x14ac:dyDescent="0.2">
      <c r="A161" s="82" t="s">
        <v>28</v>
      </c>
      <c r="B161" s="46">
        <f t="shared" ref="B161:P161" si="105">B97</f>
        <v>0.37681734667500005</v>
      </c>
      <c r="C161" s="46">
        <f t="shared" si="105"/>
        <v>0.45937172946374949</v>
      </c>
      <c r="D161" s="46">
        <f t="shared" si="105"/>
        <v>0.55593317868637382</v>
      </c>
      <c r="E161" s="46">
        <f t="shared" si="105"/>
        <v>0.6747014791332635</v>
      </c>
      <c r="F161" s="46">
        <f t="shared" si="105"/>
        <v>0.79665222172599537</v>
      </c>
      <c r="G161" s="46">
        <f t="shared" si="105"/>
        <v>0.95609501333112101</v>
      </c>
      <c r="H161" s="46">
        <f t="shared" si="105"/>
        <v>1.1592823888800197</v>
      </c>
      <c r="I161" s="46">
        <f t="shared" si="105"/>
        <v>1.3220025903517032</v>
      </c>
      <c r="J161" s="46">
        <f t="shared" si="105"/>
        <v>1.5013706533128515</v>
      </c>
      <c r="K161" s="46">
        <f t="shared" si="105"/>
        <v>1.7511354170964943</v>
      </c>
      <c r="L161" s="46">
        <f t="shared" si="105"/>
        <v>1.9350794634822754</v>
      </c>
      <c r="M161" s="46">
        <f t="shared" si="105"/>
        <v>2.1098309001691415</v>
      </c>
      <c r="N161" s="46">
        <f t="shared" si="105"/>
        <v>2.339529573507972</v>
      </c>
      <c r="O161" s="46">
        <f t="shared" si="105"/>
        <v>2.5793816772392151</v>
      </c>
      <c r="P161" s="46">
        <f t="shared" si="105"/>
        <v>2.9276015505347992</v>
      </c>
      <c r="R161" s="57">
        <f>(J161/D161)^(1/6)-1</f>
        <v>0.18007847321065129</v>
      </c>
      <c r="S161" s="57">
        <f>(P161/J161)^(1/6)-1</f>
        <v>0.11773111536882297</v>
      </c>
    </row>
    <row r="162" spans="1:19" x14ac:dyDescent="0.2">
      <c r="A162" s="83" t="s">
        <v>4</v>
      </c>
      <c r="B162" s="75"/>
      <c r="C162" s="63">
        <f t="shared" ref="C162:P162" si="106">C161/B161-1</f>
        <v>0.21908328668306098</v>
      </c>
      <c r="D162" s="63">
        <f t="shared" si="106"/>
        <v>0.21020329077574273</v>
      </c>
      <c r="E162" s="63">
        <f t="shared" si="106"/>
        <v>0.2136377266194649</v>
      </c>
      <c r="F162" s="63">
        <f t="shared" si="106"/>
        <v>0.18074770304252552</v>
      </c>
      <c r="G162" s="63">
        <f t="shared" si="106"/>
        <v>0.20014102422219215</v>
      </c>
      <c r="H162" s="63">
        <f t="shared" si="106"/>
        <v>0.21251797438099329</v>
      </c>
      <c r="I162" s="63">
        <f t="shared" si="106"/>
        <v>0.14036286847149215</v>
      </c>
      <c r="J162" s="63">
        <f t="shared" si="106"/>
        <v>0.13567905560111604</v>
      </c>
      <c r="K162" s="63">
        <f t="shared" si="106"/>
        <v>0.16635782991530035</v>
      </c>
      <c r="L162" s="63">
        <f t="shared" si="106"/>
        <v>0.1050427308990034</v>
      </c>
      <c r="M162" s="63">
        <f t="shared" si="106"/>
        <v>9.0307111405333096E-2</v>
      </c>
      <c r="N162" s="63">
        <f t="shared" si="106"/>
        <v>0.10887065561529874</v>
      </c>
      <c r="O162" s="63">
        <f t="shared" si="106"/>
        <v>0.10252150964332563</v>
      </c>
      <c r="P162" s="63">
        <f t="shared" si="106"/>
        <v>0.13500129754674139</v>
      </c>
      <c r="R162" s="109"/>
      <c r="S162" s="109"/>
    </row>
    <row r="163" spans="1:19" x14ac:dyDescent="0.2">
      <c r="A163" s="82" t="s">
        <v>27</v>
      </c>
      <c r="B163" s="46">
        <f t="shared" ref="B163:P163" si="107">B89</f>
        <v>3.7903275038999995</v>
      </c>
      <c r="C163" s="46">
        <f t="shared" si="107"/>
        <v>4.6893127722000036</v>
      </c>
      <c r="D163" s="46">
        <f t="shared" si="107"/>
        <v>5.7825169095191988</v>
      </c>
      <c r="E163" s="46">
        <f t="shared" si="107"/>
        <v>7.1698614954335795</v>
      </c>
      <c r="F163" s="46">
        <f t="shared" si="107"/>
        <v>8.6958926242756505</v>
      </c>
      <c r="G163" s="46">
        <f t="shared" si="107"/>
        <v>10.7618220895805</v>
      </c>
      <c r="H163" s="46">
        <f t="shared" si="107"/>
        <v>13.564797456719116</v>
      </c>
      <c r="I163" s="46">
        <f t="shared" si="107"/>
        <v>16.182240523321919</v>
      </c>
      <c r="J163" s="46">
        <f t="shared" si="107"/>
        <v>19.18925528784127</v>
      </c>
      <c r="K163" s="46">
        <f t="shared" si="107"/>
        <v>22.690722803746361</v>
      </c>
      <c r="L163" s="46">
        <f t="shared" si="107"/>
        <v>25.822246954250449</v>
      </c>
      <c r="M163" s="46">
        <f t="shared" si="107"/>
        <v>29.104892413140362</v>
      </c>
      <c r="N163" s="46">
        <f t="shared" si="107"/>
        <v>32.908885175047018</v>
      </c>
      <c r="O163" s="46">
        <f t="shared" si="107"/>
        <v>37.016096438401242</v>
      </c>
      <c r="P163" s="46">
        <f t="shared" si="107"/>
        <v>41.584160358068054</v>
      </c>
      <c r="R163" s="57">
        <f>(J163/D163)^(1/6)-1</f>
        <v>0.22130331205135945</v>
      </c>
      <c r="S163" s="57">
        <f>(P163/J163)^(1/6)-1</f>
        <v>0.13757045155977377</v>
      </c>
    </row>
    <row r="164" spans="1:19" x14ac:dyDescent="0.2">
      <c r="A164" s="83" t="s">
        <v>4</v>
      </c>
      <c r="B164" s="75"/>
      <c r="C164" s="63">
        <f t="shared" ref="C164:P164" si="108">C163/B163-1</f>
        <v>0.23717878399030345</v>
      </c>
      <c r="D164" s="63">
        <f t="shared" si="108"/>
        <v>0.23312672675623536</v>
      </c>
      <c r="E164" s="63">
        <f t="shared" si="108"/>
        <v>0.23992054111083183</v>
      </c>
      <c r="F164" s="63">
        <f t="shared" si="108"/>
        <v>0.21283969429730076</v>
      </c>
      <c r="G164" s="63">
        <f t="shared" si="108"/>
        <v>0.23757531912682017</v>
      </c>
      <c r="H164" s="63">
        <f t="shared" si="108"/>
        <v>0.26045546412186393</v>
      </c>
      <c r="I164" s="63">
        <f t="shared" si="108"/>
        <v>0.19295850711772267</v>
      </c>
      <c r="J164" s="63">
        <f t="shared" si="108"/>
        <v>0.18582190520438924</v>
      </c>
      <c r="K164" s="63">
        <f t="shared" si="108"/>
        <v>0.18247021384533335</v>
      </c>
      <c r="L164" s="63">
        <f t="shared" si="108"/>
        <v>0.13800900824486106</v>
      </c>
      <c r="M164" s="63">
        <f t="shared" si="108"/>
        <v>0.12712470238185736</v>
      </c>
      <c r="N164" s="63">
        <f t="shared" si="108"/>
        <v>0.13069942702104664</v>
      </c>
      <c r="O164" s="63">
        <f t="shared" si="108"/>
        <v>0.12480554237882524</v>
      </c>
      <c r="P164" s="63">
        <f t="shared" si="108"/>
        <v>0.12340749995798617</v>
      </c>
      <c r="R164" s="109"/>
      <c r="S164" s="109"/>
    </row>
    <row r="165" spans="1:19" x14ac:dyDescent="0.2">
      <c r="A165" s="68" t="s">
        <v>57</v>
      </c>
      <c r="B165" s="46">
        <f t="shared" ref="B165:P165" si="109">B167+B169</f>
        <v>3.4420669994999997</v>
      </c>
      <c r="C165" s="46">
        <f t="shared" si="109"/>
        <v>4.3176139529999968</v>
      </c>
      <c r="D165" s="46">
        <f t="shared" si="109"/>
        <v>5.7881811899999898</v>
      </c>
      <c r="E165" s="46">
        <f t="shared" si="109"/>
        <v>7.3352300939999839</v>
      </c>
      <c r="F165" s="46">
        <f t="shared" si="109"/>
        <v>9.149566247999978</v>
      </c>
      <c r="G165" s="46">
        <f t="shared" si="109"/>
        <v>11.577877346999959</v>
      </c>
      <c r="H165" s="46">
        <f t="shared" si="109"/>
        <v>15.448166789999974</v>
      </c>
      <c r="I165" s="46">
        <f t="shared" si="109"/>
        <v>19.138088024999959</v>
      </c>
      <c r="J165" s="46">
        <f t="shared" si="109"/>
        <v>23.32099586999994</v>
      </c>
      <c r="K165" s="46">
        <f t="shared" si="109"/>
        <v>28.110694855436275</v>
      </c>
      <c r="L165" s="46">
        <f t="shared" si="109"/>
        <v>32.688817568210617</v>
      </c>
      <c r="M165" s="46">
        <f t="shared" si="109"/>
        <v>37.61182906222497</v>
      </c>
      <c r="N165" s="46">
        <f t="shared" si="109"/>
        <v>43.124683861396491</v>
      </c>
      <c r="O165" s="46">
        <f t="shared" si="109"/>
        <v>49.219204270704886</v>
      </c>
      <c r="P165" s="46">
        <f t="shared" si="109"/>
        <v>56.141988160931298</v>
      </c>
      <c r="R165" s="57">
        <f>(J165/D165)^(1/6)-1</f>
        <v>0.26144260680224796</v>
      </c>
      <c r="S165" s="57">
        <f>(P165/J165)^(1/6)-1</f>
        <v>0.15768422647416735</v>
      </c>
    </row>
    <row r="166" spans="1:19" x14ac:dyDescent="0.2">
      <c r="A166" s="62" t="s">
        <v>4</v>
      </c>
      <c r="B166" s="75"/>
      <c r="C166" s="63">
        <f t="shared" ref="C166:P166" si="110">C165/B165-1</f>
        <v>0.25436662145948374</v>
      </c>
      <c r="D166" s="63">
        <f t="shared" si="110"/>
        <v>0.34059720322568499</v>
      </c>
      <c r="E166" s="63">
        <f t="shared" si="110"/>
        <v>0.26727720733289573</v>
      </c>
      <c r="F166" s="63">
        <f t="shared" si="110"/>
        <v>0.24734549983429566</v>
      </c>
      <c r="G166" s="63">
        <f t="shared" si="110"/>
        <v>0.26540177240978946</v>
      </c>
      <c r="H166" s="63">
        <f t="shared" si="110"/>
        <v>0.33428316149875936</v>
      </c>
      <c r="I166" s="63">
        <f t="shared" si="110"/>
        <v>0.23885819496644567</v>
      </c>
      <c r="J166" s="63">
        <f t="shared" si="110"/>
        <v>0.21856456295612592</v>
      </c>
      <c r="K166" s="63">
        <f t="shared" si="110"/>
        <v>0.2053814087586967</v>
      </c>
      <c r="L166" s="63">
        <f t="shared" si="110"/>
        <v>0.16286053177689364</v>
      </c>
      <c r="M166" s="63">
        <f t="shared" si="110"/>
        <v>0.15060231174595651</v>
      </c>
      <c r="N166" s="63">
        <f t="shared" si="110"/>
        <v>0.146572366636333</v>
      </c>
      <c r="O166" s="63">
        <f t="shared" si="110"/>
        <v>0.14132324839519494</v>
      </c>
      <c r="P166" s="63">
        <f t="shared" si="110"/>
        <v>0.14065208880970936</v>
      </c>
      <c r="R166" s="109"/>
      <c r="S166" s="109"/>
    </row>
    <row r="167" spans="1:19" x14ac:dyDescent="0.2">
      <c r="A167" s="82" t="s">
        <v>58</v>
      </c>
      <c r="B167" s="46">
        <f t="shared" ref="B167:P167" si="111">B125</f>
        <v>1.5127396811541864</v>
      </c>
      <c r="C167" s="46">
        <f t="shared" si="111"/>
        <v>1.9499779243104702</v>
      </c>
      <c r="D167" s="46">
        <f t="shared" si="111"/>
        <v>2.6863896797813602</v>
      </c>
      <c r="E167" s="46">
        <f t="shared" si="111"/>
        <v>3.4984980880992365</v>
      </c>
      <c r="F167" s="46">
        <f t="shared" si="111"/>
        <v>4.4844523326548487</v>
      </c>
      <c r="G167" s="46">
        <f t="shared" si="111"/>
        <v>5.8314808944178651</v>
      </c>
      <c r="H167" s="46">
        <f t="shared" si="111"/>
        <v>7.9959094817886962</v>
      </c>
      <c r="I167" s="46">
        <f t="shared" si="111"/>
        <v>10.179594388229148</v>
      </c>
      <c r="J167" s="46">
        <f t="shared" si="111"/>
        <v>12.747353353396662</v>
      </c>
      <c r="K167" s="46">
        <f t="shared" si="111"/>
        <v>15.790123251239965</v>
      </c>
      <c r="L167" s="46">
        <f t="shared" si="111"/>
        <v>18.869229083291522</v>
      </c>
      <c r="M167" s="46">
        <f t="shared" si="111"/>
        <v>22.31107036860093</v>
      </c>
      <c r="N167" s="46">
        <f t="shared" si="111"/>
        <v>26.288323063611966</v>
      </c>
      <c r="O167" s="46">
        <f t="shared" si="111"/>
        <v>30.832770739288648</v>
      </c>
      <c r="P167" s="46">
        <f t="shared" si="111"/>
        <v>36.141548853825959</v>
      </c>
      <c r="R167" s="57">
        <f>(J167/D167)^(1/6)-1</f>
        <v>0.29630889880764943</v>
      </c>
      <c r="S167" s="57">
        <f>(P167/J167)^(1/6)-1</f>
        <v>0.18968263533766594</v>
      </c>
    </row>
    <row r="168" spans="1:19" x14ac:dyDescent="0.2">
      <c r="A168" s="83" t="s">
        <v>4</v>
      </c>
      <c r="B168" s="75"/>
      <c r="C168" s="63">
        <f t="shared" ref="C168:P168" si="112">C167/B167-1</f>
        <v>0.28903733312705904</v>
      </c>
      <c r="D168" s="63">
        <f t="shared" si="112"/>
        <v>0.37765132942789181</v>
      </c>
      <c r="E168" s="63">
        <f t="shared" si="112"/>
        <v>0.30230476778185511</v>
      </c>
      <c r="F168" s="63">
        <f t="shared" si="112"/>
        <v>0.28182214759799673</v>
      </c>
      <c r="G168" s="63">
        <f t="shared" si="112"/>
        <v>0.30037749581018724</v>
      </c>
      <c r="H168" s="63">
        <f t="shared" si="112"/>
        <v>0.37116276749576804</v>
      </c>
      <c r="I168" s="63">
        <f t="shared" si="112"/>
        <v>0.27310025350011324</v>
      </c>
      <c r="J168" s="63">
        <f t="shared" si="112"/>
        <v>0.25224570520576539</v>
      </c>
      <c r="K168" s="63">
        <f t="shared" si="112"/>
        <v>0.23869816843451086</v>
      </c>
      <c r="L168" s="63">
        <f t="shared" si="112"/>
        <v>0.19500201379427229</v>
      </c>
      <c r="M168" s="63">
        <f t="shared" si="112"/>
        <v>0.18240497638332864</v>
      </c>
      <c r="N168" s="63">
        <f t="shared" si="112"/>
        <v>0.17826364353224156</v>
      </c>
      <c r="O168" s="63">
        <f t="shared" si="112"/>
        <v>0.17286943958654644</v>
      </c>
      <c r="P168" s="63">
        <f t="shared" si="112"/>
        <v>0.17217972914035262</v>
      </c>
      <c r="R168" s="109"/>
      <c r="S168" s="109"/>
    </row>
    <row r="169" spans="1:19" x14ac:dyDescent="0.2">
      <c r="A169" s="82" t="s">
        <v>53</v>
      </c>
      <c r="B169" s="46">
        <f t="shared" ref="B169:P169" si="113">B127</f>
        <v>1.9293273183458133</v>
      </c>
      <c r="C169" s="46">
        <f t="shared" si="113"/>
        <v>2.3676360286895264</v>
      </c>
      <c r="D169" s="46">
        <f t="shared" si="113"/>
        <v>3.1017915102186295</v>
      </c>
      <c r="E169" s="46">
        <f t="shared" si="113"/>
        <v>3.8367320059007475</v>
      </c>
      <c r="F169" s="46">
        <f t="shared" si="113"/>
        <v>4.6651139153451293</v>
      </c>
      <c r="G169" s="46">
        <f t="shared" si="113"/>
        <v>5.7463964525820934</v>
      </c>
      <c r="H169" s="46">
        <f t="shared" si="113"/>
        <v>7.4522573082112773</v>
      </c>
      <c r="I169" s="46">
        <f t="shared" si="113"/>
        <v>8.958493636770811</v>
      </c>
      <c r="J169" s="46">
        <f t="shared" si="113"/>
        <v>10.573642516603279</v>
      </c>
      <c r="K169" s="46">
        <f t="shared" si="113"/>
        <v>12.32057160419631</v>
      </c>
      <c r="L169" s="46">
        <f t="shared" si="113"/>
        <v>13.819588484919095</v>
      </c>
      <c r="M169" s="46">
        <f t="shared" si="113"/>
        <v>15.30075869362404</v>
      </c>
      <c r="N169" s="46">
        <f t="shared" si="113"/>
        <v>16.836360797784526</v>
      </c>
      <c r="O169" s="46">
        <f t="shared" si="113"/>
        <v>18.386433531416237</v>
      </c>
      <c r="P169" s="46">
        <f t="shared" si="113"/>
        <v>20.000439307105339</v>
      </c>
      <c r="R169" s="57">
        <f>(J169/D169)^(1/6)-1</f>
        <v>0.22678560130280134</v>
      </c>
      <c r="S169" s="57">
        <f>(P169/J169)^(1/6)-1</f>
        <v>0.11207945787587348</v>
      </c>
    </row>
    <row r="170" spans="1:19" x14ac:dyDescent="0.2">
      <c r="A170" s="83" t="s">
        <v>4</v>
      </c>
      <c r="B170" s="75"/>
      <c r="C170" s="63">
        <f t="shared" ref="C170:P170" si="114">C169/B169-1</f>
        <v>0.22718214072639298</v>
      </c>
      <c r="D170" s="63">
        <f t="shared" si="114"/>
        <v>0.31007953614198636</v>
      </c>
      <c r="E170" s="63">
        <f t="shared" si="114"/>
        <v>0.23694064970547157</v>
      </c>
      <c r="F170" s="63">
        <f t="shared" si="114"/>
        <v>0.21590820212888517</v>
      </c>
      <c r="G170" s="63">
        <f t="shared" si="114"/>
        <v>0.23178052173179786</v>
      </c>
      <c r="H170" s="63">
        <f t="shared" si="114"/>
        <v>0.29685749490233482</v>
      </c>
      <c r="I170" s="63">
        <f t="shared" si="114"/>
        <v>0.20211813230065023</v>
      </c>
      <c r="J170" s="63">
        <f t="shared" si="114"/>
        <v>0.18029246269740784</v>
      </c>
      <c r="K170" s="63">
        <f t="shared" si="114"/>
        <v>0.16521544821001033</v>
      </c>
      <c r="L170" s="63">
        <f t="shared" si="114"/>
        <v>0.12166780315713832</v>
      </c>
      <c r="M170" s="63">
        <f t="shared" si="114"/>
        <v>0.10717903867552225</v>
      </c>
      <c r="N170" s="63">
        <f t="shared" si="114"/>
        <v>0.1003611739070418</v>
      </c>
      <c r="O170" s="63">
        <f t="shared" si="114"/>
        <v>9.2066970543639437E-2</v>
      </c>
      <c r="P170" s="63">
        <f t="shared" si="114"/>
        <v>8.7782427893441595E-2</v>
      </c>
      <c r="R170" s="109"/>
      <c r="S170" s="109"/>
    </row>
    <row r="171" spans="1:19" x14ac:dyDescent="0.2">
      <c r="A171" s="68" t="s">
        <v>59</v>
      </c>
      <c r="B171" s="46">
        <f t="shared" ref="B171:P171" si="115">B139</f>
        <v>10.639314869557975</v>
      </c>
      <c r="C171" s="46">
        <f t="shared" si="115"/>
        <v>11.640818829164065</v>
      </c>
      <c r="D171" s="46">
        <f t="shared" si="115"/>
        <v>12.680565960840713</v>
      </c>
      <c r="E171" s="46">
        <f t="shared" si="115"/>
        <v>13.659779977324451</v>
      </c>
      <c r="F171" s="46">
        <f t="shared" si="115"/>
        <v>14.58239214164352</v>
      </c>
      <c r="G171" s="46">
        <f t="shared" si="115"/>
        <v>17.718506730562869</v>
      </c>
      <c r="H171" s="46">
        <f t="shared" si="115"/>
        <v>18.639825595393464</v>
      </c>
      <c r="I171" s="46">
        <f t="shared" si="115"/>
        <v>23.987916453689152</v>
      </c>
      <c r="J171" s="46">
        <f t="shared" si="115"/>
        <v>24.952919159041379</v>
      </c>
      <c r="K171" s="46">
        <f t="shared" si="115"/>
        <v>28.462427621725549</v>
      </c>
      <c r="L171" s="46">
        <f t="shared" si="115"/>
        <v>31.272254147268544</v>
      </c>
      <c r="M171" s="46">
        <f t="shared" si="115"/>
        <v>32.110215373817546</v>
      </c>
      <c r="N171" s="46">
        <f t="shared" si="115"/>
        <v>37.071599433318738</v>
      </c>
      <c r="O171" s="46">
        <f t="shared" si="115"/>
        <v>41.963246256272278</v>
      </c>
      <c r="P171" s="46">
        <f t="shared" si="115"/>
        <v>47.007102259404078</v>
      </c>
      <c r="R171" s="57">
        <f>(J171/D171)^(1/6)-1</f>
        <v>0.11943046091464127</v>
      </c>
      <c r="S171" s="57">
        <f>(P171/J171)^(1/6)-1</f>
        <v>0.11132312995418592</v>
      </c>
    </row>
    <row r="172" spans="1:19" x14ac:dyDescent="0.2">
      <c r="A172" s="62" t="s">
        <v>4</v>
      </c>
      <c r="B172" s="75"/>
      <c r="C172" s="63">
        <f t="shared" ref="C172:P172" si="116">C171/B171-1</f>
        <v>9.413237336096425E-2</v>
      </c>
      <c r="D172" s="63">
        <f t="shared" si="116"/>
        <v>8.9319071702391062E-2</v>
      </c>
      <c r="E172" s="63">
        <f t="shared" si="116"/>
        <v>7.7221633443466331E-2</v>
      </c>
      <c r="F172" s="63">
        <f t="shared" si="116"/>
        <v>6.7542241957822657E-2</v>
      </c>
      <c r="G172" s="63">
        <f t="shared" si="116"/>
        <v>0.21506173736498413</v>
      </c>
      <c r="H172" s="63">
        <f t="shared" si="116"/>
        <v>5.1997545777455523E-2</v>
      </c>
      <c r="I172" s="63">
        <f t="shared" si="116"/>
        <v>0.28691743015113746</v>
      </c>
      <c r="J172" s="63">
        <f t="shared" si="116"/>
        <v>4.0228700446545806E-2</v>
      </c>
      <c r="K172" s="63">
        <f t="shared" si="116"/>
        <v>0.14064520629092581</v>
      </c>
      <c r="L172" s="63">
        <f t="shared" si="116"/>
        <v>9.8720550575883914E-2</v>
      </c>
      <c r="M172" s="63">
        <f t="shared" si="116"/>
        <v>2.6795677171298271E-2</v>
      </c>
      <c r="N172" s="63">
        <f t="shared" si="116"/>
        <v>0.15451108009529801</v>
      </c>
      <c r="O172" s="63">
        <f t="shared" si="116"/>
        <v>0.13195132925818909</v>
      </c>
      <c r="P172" s="63">
        <f t="shared" si="116"/>
        <v>0.12019699268089612</v>
      </c>
      <c r="R172" s="109"/>
      <c r="S172" s="109"/>
    </row>
    <row r="173" spans="1:19" x14ac:dyDescent="0.2">
      <c r="R173" s="109"/>
      <c r="S173" s="109"/>
    </row>
    <row r="174" spans="1:19" x14ac:dyDescent="0.2">
      <c r="A174" s="67" t="s">
        <v>61</v>
      </c>
      <c r="R174" s="109"/>
      <c r="S174" s="109"/>
    </row>
    <row r="175" spans="1:19" x14ac:dyDescent="0.2">
      <c r="A175" s="55" t="s">
        <v>62</v>
      </c>
      <c r="B175" s="56"/>
      <c r="C175" s="56"/>
      <c r="D175" s="56"/>
      <c r="E175" s="56">
        <v>7.6344960100000003</v>
      </c>
      <c r="F175" s="56">
        <v>8.4917496559999961</v>
      </c>
      <c r="G175" s="56">
        <v>11.59498625999999</v>
      </c>
      <c r="H175" s="56">
        <v>16.98688101999997</v>
      </c>
      <c r="I175" s="56">
        <v>30.372687739999972</v>
      </c>
      <c r="J175" s="56">
        <v>43.749821579999939</v>
      </c>
      <c r="K175" s="56">
        <v>62.459461111007435</v>
      </c>
      <c r="L175" s="56">
        <v>82.257761028505399</v>
      </c>
      <c r="M175" s="56">
        <v>105.94225285160886</v>
      </c>
      <c r="N175" s="56">
        <v>134.77747184254673</v>
      </c>
      <c r="O175" s="56">
        <v>171.53867202622834</v>
      </c>
      <c r="P175" s="56">
        <v>215.50246182931579</v>
      </c>
      <c r="R175" s="57"/>
      <c r="S175" s="57">
        <f>(P175/J175)^(1/6)-1</f>
        <v>0.30440561090137264</v>
      </c>
    </row>
    <row r="176" spans="1:19" x14ac:dyDescent="0.2">
      <c r="A176" s="58" t="s">
        <v>4</v>
      </c>
      <c r="B176" s="66"/>
      <c r="C176" s="59"/>
      <c r="D176" s="59"/>
      <c r="E176" s="59"/>
      <c r="F176" s="59">
        <f t="shared" ref="F176:P176" si="117">F175/E175-1</f>
        <v>0.11228686803649213</v>
      </c>
      <c r="G176" s="59">
        <f t="shared" si="117"/>
        <v>0.36544136717541442</v>
      </c>
      <c r="H176" s="59">
        <f t="shared" si="117"/>
        <v>0.46501950404208459</v>
      </c>
      <c r="I176" s="59">
        <f t="shared" si="117"/>
        <v>0.78800850516583099</v>
      </c>
      <c r="J176" s="59">
        <f t="shared" si="117"/>
        <v>0.44043299541063208</v>
      </c>
      <c r="K176" s="59">
        <f t="shared" si="117"/>
        <v>0.42765064759853866</v>
      </c>
      <c r="L176" s="59">
        <f t="shared" si="117"/>
        <v>0.31697839791334426</v>
      </c>
      <c r="M176" s="59">
        <f t="shared" si="117"/>
        <v>0.28793017858698944</v>
      </c>
      <c r="N176" s="59">
        <f t="shared" si="117"/>
        <v>0.27217864652478907</v>
      </c>
      <c r="O176" s="59">
        <f t="shared" si="117"/>
        <v>0.27275478372696993</v>
      </c>
      <c r="P176" s="59">
        <f t="shared" si="117"/>
        <v>0.25629083683453824</v>
      </c>
      <c r="R176" s="109"/>
      <c r="S176" s="109"/>
    </row>
    <row r="177" spans="1:19" x14ac:dyDescent="0.2">
      <c r="A177" s="67"/>
      <c r="J177" s="108"/>
      <c r="R177" s="109"/>
      <c r="S177" s="109"/>
    </row>
    <row r="178" spans="1:19" x14ac:dyDescent="0.2">
      <c r="A178" s="67" t="s">
        <v>64</v>
      </c>
      <c r="G178" s="108"/>
      <c r="R178" s="109"/>
      <c r="S178" s="109"/>
    </row>
    <row r="179" spans="1:19" x14ac:dyDescent="0.2">
      <c r="A179" s="129" t="s">
        <v>75</v>
      </c>
      <c r="E179" s="43">
        <v>1.0460820659100112</v>
      </c>
      <c r="F179" s="43">
        <v>1.1631764086242133</v>
      </c>
      <c r="G179" s="43">
        <v>1.5990896723763843</v>
      </c>
      <c r="H179" s="43">
        <v>2.3452019316326176</v>
      </c>
      <c r="I179" s="43">
        <v>4.201363442965123</v>
      </c>
      <c r="J179" s="43">
        <v>6.0536992768633917</v>
      </c>
      <c r="K179" s="43">
        <v>8.586689310219084</v>
      </c>
      <c r="L179" s="43">
        <v>11.264262322163999</v>
      </c>
      <c r="M179" s="43">
        <v>14.461226808483795</v>
      </c>
      <c r="N179" s="43">
        <v>18.339833486288505</v>
      </c>
      <c r="O179" s="43">
        <v>23.270931543834525</v>
      </c>
      <c r="P179" s="43">
        <v>29.147984150462243</v>
      </c>
      <c r="R179" s="57"/>
      <c r="S179" s="57">
        <f>(P179/J179)^(1/6)-1</f>
        <v>0.29946508064013422</v>
      </c>
    </row>
    <row r="180" spans="1:19" x14ac:dyDescent="0.2">
      <c r="A180" s="12" t="s">
        <v>4</v>
      </c>
      <c r="E180" s="63"/>
      <c r="F180" s="63">
        <f t="shared" ref="F180:P180" si="118">F179/E179-1</f>
        <v>0.11193609615354516</v>
      </c>
      <c r="G180" s="63">
        <f t="shared" si="118"/>
        <v>0.37476109429330862</v>
      </c>
      <c r="H180" s="63">
        <f t="shared" si="118"/>
        <v>0.4665856281514511</v>
      </c>
      <c r="I180" s="63">
        <f t="shared" si="118"/>
        <v>0.79147193522919124</v>
      </c>
      <c r="J180" s="63">
        <f t="shared" si="118"/>
        <v>0.44088921585678809</v>
      </c>
      <c r="K180" s="63">
        <f t="shared" si="118"/>
        <v>0.41842019524103491</v>
      </c>
      <c r="L180" s="63">
        <f t="shared" si="118"/>
        <v>0.31182833280788613</v>
      </c>
      <c r="M180" s="63">
        <f t="shared" si="118"/>
        <v>0.28381481138177378</v>
      </c>
      <c r="N180" s="63">
        <f t="shared" si="118"/>
        <v>0.26820730558829853</v>
      </c>
      <c r="O180" s="63">
        <f t="shared" si="118"/>
        <v>0.26887365478169034</v>
      </c>
      <c r="P180" s="63">
        <f t="shared" si="118"/>
        <v>0.25254909093593225</v>
      </c>
      <c r="R180" s="109"/>
      <c r="S180" s="109"/>
    </row>
    <row r="181" spans="1:19" x14ac:dyDescent="0.2">
      <c r="A181" s="129" t="s">
        <v>69</v>
      </c>
      <c r="E181" s="43">
        <v>0.64131324674914703</v>
      </c>
      <c r="F181" s="43">
        <v>0.72496639861559986</v>
      </c>
      <c r="G181" s="43">
        <v>0.98651313952726416</v>
      </c>
      <c r="H181" s="43">
        <v>1.4670803335487894</v>
      </c>
      <c r="I181" s="43">
        <v>2.6082807925982112</v>
      </c>
      <c r="J181" s="43">
        <v>3.8004504130250951</v>
      </c>
      <c r="K181" s="43">
        <v>5.4634724623944297</v>
      </c>
      <c r="L181" s="43">
        <v>7.2673898024658623</v>
      </c>
      <c r="M181" s="43">
        <v>9.4568686614663182</v>
      </c>
      <c r="N181" s="43">
        <v>12.153146885981709</v>
      </c>
      <c r="O181" s="43">
        <v>15.622375231010983</v>
      </c>
      <c r="P181" s="43">
        <v>19.818670854682438</v>
      </c>
      <c r="R181" s="57"/>
      <c r="S181" s="57">
        <f>(P181/J181)^(1/6)-1</f>
        <v>0.31686091893510704</v>
      </c>
    </row>
    <row r="182" spans="1:19" x14ac:dyDescent="0.2">
      <c r="A182" s="12" t="s">
        <v>4</v>
      </c>
      <c r="E182" s="63"/>
      <c r="F182" s="63">
        <f t="shared" ref="F182:P182" si="119">F181/E181-1</f>
        <v>0.1304403928820983</v>
      </c>
      <c r="G182" s="63">
        <f t="shared" si="119"/>
        <v>0.36077084594695075</v>
      </c>
      <c r="H182" s="63">
        <f t="shared" si="119"/>
        <v>0.48713714472349801</v>
      </c>
      <c r="I182" s="63">
        <f t="shared" si="119"/>
        <v>0.77787182675192601</v>
      </c>
      <c r="J182" s="63">
        <f t="shared" si="119"/>
        <v>0.45707104227812723</v>
      </c>
      <c r="K182" s="63">
        <f t="shared" si="119"/>
        <v>0.43758551451421179</v>
      </c>
      <c r="L182" s="63">
        <f t="shared" si="119"/>
        <v>0.33017780404092045</v>
      </c>
      <c r="M182" s="63">
        <f t="shared" si="119"/>
        <v>0.30127444908178092</v>
      </c>
      <c r="N182" s="63">
        <f t="shared" si="119"/>
        <v>0.28511321464173989</v>
      </c>
      <c r="O182" s="63">
        <f t="shared" si="119"/>
        <v>0.28545926232743257</v>
      </c>
      <c r="P182" s="63">
        <f t="shared" si="119"/>
        <v>0.26860804209475497</v>
      </c>
      <c r="R182" s="109"/>
      <c r="S182" s="109"/>
    </row>
    <row r="183" spans="1:19" x14ac:dyDescent="0.2">
      <c r="A183" s="129" t="s">
        <v>72</v>
      </c>
      <c r="E183" s="43">
        <v>1.440486547102718</v>
      </c>
      <c r="F183" s="43">
        <v>1.568205544478523</v>
      </c>
      <c r="G183" s="43">
        <v>2.1230168220555741</v>
      </c>
      <c r="H183" s="43">
        <v>3.1216751885046246</v>
      </c>
      <c r="I183" s="43">
        <v>5.6686075880603024</v>
      </c>
      <c r="J183" s="43">
        <v>8.0801891146519509</v>
      </c>
      <c r="K183" s="43">
        <v>11.715198950346343</v>
      </c>
      <c r="L183" s="43">
        <v>15.542788657053068</v>
      </c>
      <c r="M183" s="43">
        <v>20.178464081925167</v>
      </c>
      <c r="N183" s="43">
        <v>25.873762826737977</v>
      </c>
      <c r="O183" s="43">
        <v>33.18837338303365</v>
      </c>
      <c r="P183" s="43">
        <v>42.016288019051721</v>
      </c>
      <c r="R183" s="57"/>
      <c r="S183" s="57">
        <f>(P183/J183)^(1/6)-1</f>
        <v>0.31623275038208676</v>
      </c>
    </row>
    <row r="184" spans="1:19" x14ac:dyDescent="0.2">
      <c r="A184" s="12" t="s">
        <v>4</v>
      </c>
      <c r="E184" s="63"/>
      <c r="F184" s="63">
        <f t="shared" ref="F184:P184" si="120">F183/E183-1</f>
        <v>8.8663790462110814E-2</v>
      </c>
      <c r="G184" s="63">
        <f t="shared" si="120"/>
        <v>0.3537873460086145</v>
      </c>
      <c r="H184" s="63">
        <f t="shared" si="120"/>
        <v>0.47039588008639366</v>
      </c>
      <c r="I184" s="63">
        <f t="shared" si="120"/>
        <v>0.81588642179513049</v>
      </c>
      <c r="J184" s="63">
        <f t="shared" si="120"/>
        <v>0.42542749504677735</v>
      </c>
      <c r="K184" s="63">
        <f t="shared" si="120"/>
        <v>0.44986692565189634</v>
      </c>
      <c r="L184" s="63">
        <f t="shared" si="120"/>
        <v>0.32671999194632262</v>
      </c>
      <c r="M184" s="63">
        <f t="shared" si="120"/>
        <v>0.29825249040933866</v>
      </c>
      <c r="N184" s="63">
        <f t="shared" si="120"/>
        <v>0.28224639505215698</v>
      </c>
      <c r="O184" s="63">
        <f t="shared" si="120"/>
        <v>0.28270378009095554</v>
      </c>
      <c r="P184" s="63">
        <f t="shared" si="120"/>
        <v>0.26599419423583504</v>
      </c>
      <c r="R184" s="109"/>
      <c r="S184" s="109"/>
    </row>
    <row r="185" spans="1:19" x14ac:dyDescent="0.2">
      <c r="A185" s="129" t="s">
        <v>74</v>
      </c>
      <c r="E185" s="43">
        <v>0.60937033059008838</v>
      </c>
      <c r="F185" s="43">
        <v>0.68180391223992598</v>
      </c>
      <c r="G185" s="43">
        <v>0.93767379679550367</v>
      </c>
      <c r="H185" s="43">
        <v>1.368371588811776</v>
      </c>
      <c r="I185" s="43">
        <v>2.4541633602672634</v>
      </c>
      <c r="J185" s="43">
        <v>3.5621305135446879</v>
      </c>
      <c r="K185" s="43">
        <v>5.1478868556408113</v>
      </c>
      <c r="L185" s="43">
        <v>6.8633431591433354</v>
      </c>
      <c r="M185" s="43">
        <v>8.9511012312208447</v>
      </c>
      <c r="N185" s="43">
        <v>11.529536674670524</v>
      </c>
      <c r="O185" s="43">
        <v>14.855411926905749</v>
      </c>
      <c r="P185" s="43">
        <v>18.890598025126071</v>
      </c>
      <c r="R185" s="57"/>
      <c r="S185" s="57">
        <f>(P185/J185)^(1/6)-1</f>
        <v>0.32055343688619087</v>
      </c>
    </row>
    <row r="186" spans="1:19" x14ac:dyDescent="0.2">
      <c r="A186" s="12" t="s">
        <v>4</v>
      </c>
      <c r="E186" s="63"/>
      <c r="F186" s="63">
        <f t="shared" ref="F186:P186" si="121">F185/E185-1</f>
        <v>0.11886627558597418</v>
      </c>
      <c r="G186" s="63">
        <f t="shared" si="121"/>
        <v>0.37528368488671471</v>
      </c>
      <c r="H186" s="63">
        <f t="shared" si="121"/>
        <v>0.45932582683677436</v>
      </c>
      <c r="I186" s="63">
        <f t="shared" si="121"/>
        <v>0.79349189966618172</v>
      </c>
      <c r="J186" s="63">
        <f t="shared" si="121"/>
        <v>0.45146430397231763</v>
      </c>
      <c r="K186" s="63">
        <f t="shared" si="121"/>
        <v>0.44517075836116171</v>
      </c>
      <c r="L186" s="63">
        <f t="shared" si="121"/>
        <v>0.3332350441274381</v>
      </c>
      <c r="M186" s="63">
        <f t="shared" si="121"/>
        <v>0.30418966729008745</v>
      </c>
      <c r="N186" s="63">
        <f t="shared" si="121"/>
        <v>0.28805790224517502</v>
      </c>
      <c r="O186" s="63">
        <f t="shared" si="121"/>
        <v>0.28846564663278351</v>
      </c>
      <c r="P186" s="63">
        <f t="shared" si="121"/>
        <v>0.27163071061744803</v>
      </c>
      <c r="R186" s="109"/>
      <c r="S186" s="109"/>
    </row>
    <row r="187" spans="1:19" x14ac:dyDescent="0.2">
      <c r="A187" s="129" t="s">
        <v>66</v>
      </c>
      <c r="E187" s="43">
        <v>0.70756848377965709</v>
      </c>
      <c r="F187" s="43">
        <v>0.79999031812077226</v>
      </c>
      <c r="G187" s="43">
        <v>1.1242172518557989</v>
      </c>
      <c r="H187" s="43">
        <v>1.6451556142095705</v>
      </c>
      <c r="I187" s="43">
        <v>2.8923206697882704</v>
      </c>
      <c r="J187" s="43">
        <v>4.1858280214452401</v>
      </c>
      <c r="K187" s="43">
        <v>5.9216692330766225</v>
      </c>
      <c r="L187" s="43">
        <v>7.7504230428218666</v>
      </c>
      <c r="M187" s="43">
        <v>9.9279807446315242</v>
      </c>
      <c r="N187" s="43">
        <v>12.562376800751869</v>
      </c>
      <c r="O187" s="43">
        <v>15.903708455320897</v>
      </c>
      <c r="P187" s="43">
        <v>19.8741702932073</v>
      </c>
      <c r="R187" s="57"/>
      <c r="S187" s="57">
        <f>(P187/J187)^(1/6)-1</f>
        <v>0.29643656347818248</v>
      </c>
    </row>
    <row r="188" spans="1:19" x14ac:dyDescent="0.2">
      <c r="A188" s="12" t="s">
        <v>4</v>
      </c>
      <c r="E188" s="63"/>
      <c r="F188" s="63">
        <f t="shared" ref="F188:P188" si="122">F187/E187-1</f>
        <v>0.13061892447133938</v>
      </c>
      <c r="G188" s="63">
        <f t="shared" si="122"/>
        <v>0.40528857211254277</v>
      </c>
      <c r="H188" s="63">
        <f t="shared" si="122"/>
        <v>0.46337872995084695</v>
      </c>
      <c r="I188" s="63">
        <f t="shared" si="122"/>
        <v>0.75808333558640983</v>
      </c>
      <c r="J188" s="63">
        <f t="shared" si="122"/>
        <v>0.44722127984227278</v>
      </c>
      <c r="K188" s="63">
        <f t="shared" si="122"/>
        <v>0.41469482327944496</v>
      </c>
      <c r="L188" s="63">
        <f t="shared" si="122"/>
        <v>0.30882403892645471</v>
      </c>
      <c r="M188" s="63">
        <f t="shared" si="122"/>
        <v>0.28095985080794073</v>
      </c>
      <c r="N188" s="63">
        <f t="shared" si="122"/>
        <v>0.26535064117090212</v>
      </c>
      <c r="O188" s="63">
        <f t="shared" si="122"/>
        <v>0.26597925755331953</v>
      </c>
      <c r="P188" s="63">
        <f t="shared" si="122"/>
        <v>0.24965635210434245</v>
      </c>
      <c r="R188" s="109"/>
      <c r="S188" s="109"/>
    </row>
    <row r="189" spans="1:19" x14ac:dyDescent="0.2">
      <c r="A189" s="129" t="s">
        <v>67</v>
      </c>
      <c r="E189" s="43">
        <v>0.37944360461136606</v>
      </c>
      <c r="F189" s="43">
        <v>0.41935402336037975</v>
      </c>
      <c r="G189" s="43">
        <v>0.58025452923592147</v>
      </c>
      <c r="H189" s="43">
        <v>0.84118529325086933</v>
      </c>
      <c r="I189" s="43">
        <v>1.476022332664213</v>
      </c>
      <c r="J189" s="43">
        <v>2.1627030990492342</v>
      </c>
      <c r="K189" s="43">
        <v>3.0940234693678299</v>
      </c>
      <c r="L189" s="43">
        <v>4.0685106378042759</v>
      </c>
      <c r="M189" s="43">
        <v>5.2358651953360544</v>
      </c>
      <c r="N189" s="43">
        <v>6.6558312496111611</v>
      </c>
      <c r="O189" s="43">
        <v>8.4648222542975606</v>
      </c>
      <c r="P189" s="43">
        <v>10.62634458066219</v>
      </c>
      <c r="R189" s="57"/>
      <c r="S189" s="57">
        <f>(P189/J189)^(1/6)-1</f>
        <v>0.30386060995832143</v>
      </c>
    </row>
    <row r="190" spans="1:19" x14ac:dyDescent="0.2">
      <c r="A190" s="12" t="s">
        <v>4</v>
      </c>
      <c r="E190" s="63"/>
      <c r="F190" s="63">
        <f t="shared" ref="F190:P190" si="123">F189/E189-1</f>
        <v>0.10518142423270183</v>
      </c>
      <c r="G190" s="63">
        <f t="shared" si="123"/>
        <v>0.38368656770289022</v>
      </c>
      <c r="H190" s="63">
        <f t="shared" si="123"/>
        <v>0.44968328701982085</v>
      </c>
      <c r="I190" s="63">
        <f t="shared" si="123"/>
        <v>0.7546934599390509</v>
      </c>
      <c r="J190" s="63">
        <f t="shared" si="123"/>
        <v>0.46522383245080423</v>
      </c>
      <c r="K190" s="63">
        <f t="shared" si="123"/>
        <v>0.43062793534998955</v>
      </c>
      <c r="L190" s="63">
        <f t="shared" si="123"/>
        <v>0.31495791098040793</v>
      </c>
      <c r="M190" s="63">
        <f t="shared" si="123"/>
        <v>0.28692429772330286</v>
      </c>
      <c r="N190" s="63">
        <f t="shared" si="123"/>
        <v>0.27119988794592498</v>
      </c>
      <c r="O190" s="63">
        <f t="shared" si="123"/>
        <v>0.27179039504525937</v>
      </c>
      <c r="P190" s="63">
        <f t="shared" si="123"/>
        <v>0.2553535397943214</v>
      </c>
      <c r="R190" s="109"/>
      <c r="S190" s="109"/>
    </row>
    <row r="191" spans="1:19" x14ac:dyDescent="0.2">
      <c r="A191" s="129" t="s">
        <v>70</v>
      </c>
      <c r="E191" s="43">
        <v>0.56423669873867699</v>
      </c>
      <c r="F191" s="43">
        <v>0.62501080791959829</v>
      </c>
      <c r="G191" s="43">
        <v>0.86003925727194341</v>
      </c>
      <c r="H191" s="43">
        <v>1.2536282721776928</v>
      </c>
      <c r="I191" s="43">
        <v>2.2416434443830013</v>
      </c>
      <c r="J191" s="43">
        <v>3.2305893479072179</v>
      </c>
      <c r="K191" s="43">
        <v>4.5979087960495892</v>
      </c>
      <c r="L191" s="43">
        <v>6.0442105371682286</v>
      </c>
      <c r="M191" s="43">
        <v>7.7740521943404675</v>
      </c>
      <c r="N191" s="43">
        <v>9.8768350648100345</v>
      </c>
      <c r="O191" s="43">
        <v>12.554268630479886</v>
      </c>
      <c r="P191" s="43">
        <v>15.75132359416062</v>
      </c>
      <c r="R191" s="57"/>
      <c r="S191" s="57">
        <f>(P191/J191)^(1/6)-1</f>
        <v>0.30218458362724565</v>
      </c>
    </row>
    <row r="192" spans="1:19" x14ac:dyDescent="0.2">
      <c r="A192" s="12" t="s">
        <v>4</v>
      </c>
      <c r="E192" s="63"/>
      <c r="F192" s="63">
        <f t="shared" ref="F192:P192" si="124">F191/E191-1</f>
        <v>0.1077103090188547</v>
      </c>
      <c r="G192" s="63">
        <f t="shared" si="124"/>
        <v>0.37603901624462677</v>
      </c>
      <c r="H192" s="63">
        <f t="shared" si="124"/>
        <v>0.45764075485835298</v>
      </c>
      <c r="I192" s="63">
        <f t="shared" si="124"/>
        <v>0.78812451356813717</v>
      </c>
      <c r="J192" s="63">
        <f t="shared" si="124"/>
        <v>0.44117002907053204</v>
      </c>
      <c r="K192" s="63">
        <f t="shared" si="124"/>
        <v>0.42324148967683661</v>
      </c>
      <c r="L192" s="63">
        <f t="shared" si="124"/>
        <v>0.31455642233731695</v>
      </c>
      <c r="M192" s="63">
        <f t="shared" si="124"/>
        <v>0.28619811413496632</v>
      </c>
      <c r="N192" s="63">
        <f t="shared" si="124"/>
        <v>0.27048736204786472</v>
      </c>
      <c r="O192" s="63">
        <f t="shared" si="124"/>
        <v>0.27108213796231362</v>
      </c>
      <c r="P192" s="63">
        <f t="shared" si="124"/>
        <v>0.25465879835634264</v>
      </c>
      <c r="R192" s="109"/>
      <c r="S192" s="109"/>
    </row>
    <row r="193" spans="1:19" x14ac:dyDescent="0.2">
      <c r="A193" s="129" t="s">
        <v>68</v>
      </c>
      <c r="E193" s="43">
        <v>0.21586406258221683</v>
      </c>
      <c r="F193" s="43">
        <v>0.24236211762592183</v>
      </c>
      <c r="G193" s="43">
        <v>0.33161049912628587</v>
      </c>
      <c r="H193" s="43">
        <v>0.48722294965145746</v>
      </c>
      <c r="I193" s="43">
        <v>0.86513242001103574</v>
      </c>
      <c r="J193" s="43">
        <v>1.2527213079015713</v>
      </c>
      <c r="K193" s="43">
        <v>1.7799887969444628</v>
      </c>
      <c r="L193" s="43">
        <v>2.334568067068048</v>
      </c>
      <c r="M193" s="43">
        <v>2.9957919515585441</v>
      </c>
      <c r="N193" s="43">
        <v>3.7973776145006561</v>
      </c>
      <c r="O193" s="43">
        <v>4.8157452427083491</v>
      </c>
      <c r="P193" s="43">
        <v>6.0283621573417427</v>
      </c>
      <c r="R193" s="57"/>
      <c r="S193" s="57">
        <f>(P193/J193)^(1/6)-1</f>
        <v>0.29934399924485633</v>
      </c>
    </row>
    <row r="194" spans="1:19" x14ac:dyDescent="0.2">
      <c r="A194" s="12" t="s">
        <v>4</v>
      </c>
      <c r="E194" s="63"/>
      <c r="F194" s="63">
        <f t="shared" ref="F194:P194" si="125">F193/E193-1</f>
        <v>0.12275343439166764</v>
      </c>
      <c r="G194" s="63">
        <f t="shared" si="125"/>
        <v>0.36824394164650798</v>
      </c>
      <c r="H194" s="63">
        <f t="shared" si="125"/>
        <v>0.46926273726306333</v>
      </c>
      <c r="I194" s="63">
        <f t="shared" si="125"/>
        <v>0.77563971612979588</v>
      </c>
      <c r="J194" s="63">
        <f t="shared" si="125"/>
        <v>0.44801105463784552</v>
      </c>
      <c r="K194" s="63">
        <f t="shared" si="125"/>
        <v>0.4208976774938995</v>
      </c>
      <c r="L194" s="63">
        <f t="shared" si="125"/>
        <v>0.31156334864330537</v>
      </c>
      <c r="M194" s="63">
        <f t="shared" si="125"/>
        <v>0.28323178656380676</v>
      </c>
      <c r="N194" s="63">
        <f t="shared" si="125"/>
        <v>0.26757053757524507</v>
      </c>
      <c r="O194" s="63">
        <f t="shared" si="125"/>
        <v>0.26817655013263808</v>
      </c>
      <c r="P194" s="63">
        <f t="shared" si="125"/>
        <v>0.25180254633889732</v>
      </c>
      <c r="R194" s="109"/>
      <c r="S194" s="109"/>
    </row>
    <row r="195" spans="1:19" x14ac:dyDescent="0.2">
      <c r="A195" s="129" t="s">
        <v>73</v>
      </c>
      <c r="E195" s="43">
        <v>0.42604401773292067</v>
      </c>
      <c r="F195" s="43">
        <v>0.4664558968056331</v>
      </c>
      <c r="G195" s="43">
        <v>0.62735032468514307</v>
      </c>
      <c r="H195" s="43">
        <v>0.9500455273852717</v>
      </c>
      <c r="I195" s="43">
        <v>1.6855704040702872</v>
      </c>
      <c r="J195" s="43">
        <v>2.4152923535555937</v>
      </c>
      <c r="K195" s="43">
        <v>3.3815377011356187</v>
      </c>
      <c r="L195" s="43">
        <v>4.416088234233932</v>
      </c>
      <c r="M195" s="43">
        <v>5.5822619586552262</v>
      </c>
      <c r="N195" s="43">
        <v>6.9677281377856213</v>
      </c>
      <c r="O195" s="43">
        <v>8.6979126829187319</v>
      </c>
      <c r="P195" s="43">
        <v>10.713310406394291</v>
      </c>
      <c r="R195" s="57"/>
      <c r="S195" s="57">
        <f>(P195/J195)^(1/6)-1</f>
        <v>0.28181592730194316</v>
      </c>
    </row>
    <row r="196" spans="1:19" x14ac:dyDescent="0.2">
      <c r="A196" s="12" t="s">
        <v>4</v>
      </c>
      <c r="E196" s="63"/>
      <c r="F196" s="63">
        <f t="shared" ref="F196:P196" si="126">F195/E195-1</f>
        <v>9.4853764847476096E-2</v>
      </c>
      <c r="G196" s="63">
        <f t="shared" si="126"/>
        <v>0.34492956136119513</v>
      </c>
      <c r="H196" s="63">
        <f t="shared" si="126"/>
        <v>0.51437799583842425</v>
      </c>
      <c r="I196" s="63">
        <f t="shared" si="126"/>
        <v>0.7741996098958932</v>
      </c>
      <c r="J196" s="63">
        <f t="shared" si="126"/>
        <v>0.43292285372547235</v>
      </c>
      <c r="K196" s="63">
        <f t="shared" si="126"/>
        <v>0.40005316381580003</v>
      </c>
      <c r="L196" s="63">
        <f t="shared" si="126"/>
        <v>0.30594085428971596</v>
      </c>
      <c r="M196" s="63">
        <f t="shared" si="126"/>
        <v>0.26407391849216366</v>
      </c>
      <c r="N196" s="63">
        <f t="shared" si="126"/>
        <v>0.24819082110294866</v>
      </c>
      <c r="O196" s="63">
        <f t="shared" si="126"/>
        <v>0.24831401439881251</v>
      </c>
      <c r="P196" s="63">
        <f t="shared" si="126"/>
        <v>0.23171050307661378</v>
      </c>
      <c r="R196" s="109"/>
      <c r="S196" s="109"/>
    </row>
    <row r="197" spans="1:19" x14ac:dyDescent="0.2">
      <c r="A197" s="129" t="s">
        <v>65</v>
      </c>
      <c r="E197" s="43">
        <v>7.8627666643559802E-2</v>
      </c>
      <c r="F197" s="43">
        <v>9.492206431023123E-2</v>
      </c>
      <c r="G197" s="43">
        <v>0.13989668987529028</v>
      </c>
      <c r="H197" s="43">
        <v>0.22015806792954601</v>
      </c>
      <c r="I197" s="43">
        <v>0.42108293929308177</v>
      </c>
      <c r="J197" s="43">
        <v>0.64642824705628565</v>
      </c>
      <c r="K197" s="43">
        <v>0.9803434535771226</v>
      </c>
      <c r="L197" s="43">
        <v>1.3674796409936982</v>
      </c>
      <c r="M197" s="43">
        <v>1.8605182015162516</v>
      </c>
      <c r="N197" s="43">
        <v>2.4944215372733289</v>
      </c>
      <c r="O197" s="43">
        <v>3.3386025669579267</v>
      </c>
      <c r="P197" s="43">
        <v>4.4020009826439397</v>
      </c>
      <c r="R197" s="57"/>
      <c r="S197" s="57">
        <f>(P197/J197)^(1/6)-1</f>
        <v>0.37674962943933288</v>
      </c>
    </row>
    <row r="198" spans="1:19" x14ac:dyDescent="0.2">
      <c r="A198" s="12" t="s">
        <v>4</v>
      </c>
      <c r="E198" s="63"/>
      <c r="F198" s="63">
        <f t="shared" ref="F198:P198" si="127">F197/E197-1</f>
        <v>0.20723491313227282</v>
      </c>
      <c r="G198" s="63">
        <f t="shared" si="127"/>
        <v>0.47380580997553623</v>
      </c>
      <c r="H198" s="63">
        <f t="shared" si="127"/>
        <v>0.57371892162569438</v>
      </c>
      <c r="I198" s="63">
        <f t="shared" si="127"/>
        <v>0.91263914719598116</v>
      </c>
      <c r="J198" s="63">
        <f t="shared" si="127"/>
        <v>0.53515658492722551</v>
      </c>
      <c r="K198" s="63">
        <f t="shared" si="127"/>
        <v>0.51655416984239921</v>
      </c>
      <c r="L198" s="63">
        <f t="shared" si="127"/>
        <v>0.39489852867785791</v>
      </c>
      <c r="M198" s="63">
        <f t="shared" si="127"/>
        <v>0.36054544853353709</v>
      </c>
      <c r="N198" s="63">
        <f t="shared" si="127"/>
        <v>0.34071332128891307</v>
      </c>
      <c r="O198" s="63">
        <f t="shared" si="127"/>
        <v>0.33842757411699487</v>
      </c>
      <c r="P198" s="63">
        <f t="shared" si="127"/>
        <v>0.31851602410255198</v>
      </c>
      <c r="R198" s="109"/>
      <c r="S198" s="109"/>
    </row>
    <row r="199" spans="1:19" x14ac:dyDescent="0.2">
      <c r="A199" s="129" t="s">
        <v>71</v>
      </c>
      <c r="E199" s="43">
        <v>8.0370993958421039E-2</v>
      </c>
      <c r="F199" s="43">
        <v>9.6030891190655124E-2</v>
      </c>
      <c r="G199" s="43">
        <v>0.13017994953100198</v>
      </c>
      <c r="H199" s="43">
        <v>0.18868704252604401</v>
      </c>
      <c r="I199" s="43">
        <v>0.37685080749945887</v>
      </c>
      <c r="J199" s="43">
        <v>0.55081669725704596</v>
      </c>
      <c r="K199" s="43">
        <v>0.78609400975948063</v>
      </c>
      <c r="L199" s="43">
        <v>1.033730134039065</v>
      </c>
      <c r="M199" s="43">
        <v>1.3311924379341757</v>
      </c>
      <c r="N199" s="43">
        <v>1.6935802071185491</v>
      </c>
      <c r="O199" s="43">
        <v>2.155961840658672</v>
      </c>
      <c r="P199" s="43">
        <v>2.7095293220641485</v>
      </c>
      <c r="R199" s="57"/>
      <c r="S199" s="57">
        <f>(P199/J199)^(1/6)-1</f>
        <v>0.30411070450090349</v>
      </c>
    </row>
    <row r="200" spans="1:19" x14ac:dyDescent="0.2">
      <c r="A200" s="12" t="s">
        <v>4</v>
      </c>
      <c r="E200" s="63"/>
      <c r="F200" s="63">
        <f t="shared" ref="F200:P200" si="128">F199/E199-1</f>
        <v>0.1948451358003056</v>
      </c>
      <c r="G200" s="63">
        <f t="shared" si="128"/>
        <v>0.35560493000683446</v>
      </c>
      <c r="H200" s="63">
        <f t="shared" si="128"/>
        <v>0.44943244490280532</v>
      </c>
      <c r="I200" s="63">
        <f t="shared" si="128"/>
        <v>0.99722674357696328</v>
      </c>
      <c r="J200" s="63">
        <f t="shared" si="128"/>
        <v>0.46163066735059832</v>
      </c>
      <c r="K200" s="63">
        <f t="shared" si="128"/>
        <v>0.42714266592510253</v>
      </c>
      <c r="L200" s="63">
        <f t="shared" si="128"/>
        <v>0.31502100411037737</v>
      </c>
      <c r="M200" s="63">
        <f t="shared" si="128"/>
        <v>0.28775624710952807</v>
      </c>
      <c r="N200" s="63">
        <f t="shared" si="128"/>
        <v>0.27222793553931868</v>
      </c>
      <c r="O200" s="63">
        <f t="shared" si="128"/>
        <v>0.27302021575158664</v>
      </c>
      <c r="P200" s="63">
        <f t="shared" si="128"/>
        <v>0.25676126124586474</v>
      </c>
      <c r="R200" s="109"/>
      <c r="S200" s="109"/>
    </row>
    <row r="201" spans="1:19" x14ac:dyDescent="0.2">
      <c r="A201" s="129" t="s">
        <v>80</v>
      </c>
      <c r="E201" s="46">
        <v>0.42108336290424137</v>
      </c>
      <c r="F201" s="46">
        <v>0.45075241403697275</v>
      </c>
      <c r="G201" s="46">
        <v>0.59120833309286125</v>
      </c>
      <c r="H201" s="46">
        <v>0.8302553626950081</v>
      </c>
      <c r="I201" s="46">
        <v>1.4197695145983811</v>
      </c>
      <c r="J201" s="46">
        <v>1.9509806698497829</v>
      </c>
      <c r="K201" s="46">
        <v>2.6497333292067715</v>
      </c>
      <c r="L201" s="46">
        <v>3.3094220301507988</v>
      </c>
      <c r="M201" s="46">
        <v>4.0280312363039483</v>
      </c>
      <c r="N201" s="46">
        <v>4.8235473700727178</v>
      </c>
      <c r="O201" s="46">
        <v>5.7527110260032028</v>
      </c>
      <c r="P201" s="46">
        <v>6.7369554128038187</v>
      </c>
      <c r="R201" s="57"/>
      <c r="S201" s="57">
        <f>(P201/J201)^(1/6)-1</f>
        <v>0.22942427617286065</v>
      </c>
    </row>
    <row r="202" spans="1:19" x14ac:dyDescent="0.2">
      <c r="A202" s="12" t="s">
        <v>4</v>
      </c>
      <c r="E202" s="63"/>
      <c r="F202" s="63">
        <f t="shared" ref="F202:P202" si="129">F201/E201-1</f>
        <v>7.0458853867086724E-2</v>
      </c>
      <c r="G202" s="63">
        <f t="shared" si="129"/>
        <v>0.31160325420768054</v>
      </c>
      <c r="H202" s="63">
        <f t="shared" si="129"/>
        <v>0.40433636710022425</v>
      </c>
      <c r="I202" s="63">
        <f t="shared" si="129"/>
        <v>0.71003955938304397</v>
      </c>
      <c r="J202" s="63">
        <f t="shared" si="129"/>
        <v>0.37415309301219124</v>
      </c>
      <c r="K202" s="63">
        <f t="shared" si="129"/>
        <v>0.35815457844120502</v>
      </c>
      <c r="L202" s="63">
        <f t="shared" si="129"/>
        <v>0.24896418581922464</v>
      </c>
      <c r="M202" s="63">
        <f t="shared" si="129"/>
        <v>0.21714039478984337</v>
      </c>
      <c r="N202" s="63">
        <f t="shared" si="129"/>
        <v>0.19749502600648183</v>
      </c>
      <c r="O202" s="63">
        <f t="shared" si="129"/>
        <v>0.1926307724674583</v>
      </c>
      <c r="P202" s="63">
        <f t="shared" si="129"/>
        <v>0.17109226977535785</v>
      </c>
      <c r="R202" s="109"/>
      <c r="S202" s="109"/>
    </row>
    <row r="203" spans="1:19" x14ac:dyDescent="0.2">
      <c r="A203" s="129" t="s">
        <v>76</v>
      </c>
      <c r="E203" s="43">
        <v>1.0240049286969761</v>
      </c>
      <c r="F203" s="43">
        <v>1.1587188586715691</v>
      </c>
      <c r="G203" s="43">
        <v>1.5639359945710178</v>
      </c>
      <c r="H203" s="43">
        <v>2.2682138476767024</v>
      </c>
      <c r="I203" s="43">
        <v>4.0618800238013408</v>
      </c>
      <c r="J203" s="43">
        <v>5.8579925178928418</v>
      </c>
      <c r="K203" s="43">
        <v>8.3549147432892745</v>
      </c>
      <c r="L203" s="43">
        <v>10.995544763399241</v>
      </c>
      <c r="M203" s="43">
        <v>14.158898148236531</v>
      </c>
      <c r="N203" s="43">
        <v>18.009493986944094</v>
      </c>
      <c r="O203" s="43">
        <v>22.91784724209823</v>
      </c>
      <c r="P203" s="43">
        <v>28.78692403071534</v>
      </c>
      <c r="R203" s="109"/>
      <c r="S203" s="109"/>
    </row>
    <row r="204" spans="1:19" x14ac:dyDescent="0.2">
      <c r="A204" s="12" t="s">
        <v>4</v>
      </c>
      <c r="F204" s="63">
        <f t="shared" ref="F204:P204" si="130">F203/E203-1</f>
        <v>0.13155593903831453</v>
      </c>
      <c r="G204" s="63">
        <f t="shared" si="130"/>
        <v>0.34971134962282058</v>
      </c>
      <c r="H204" s="63">
        <f t="shared" si="130"/>
        <v>0.45032396181844092</v>
      </c>
      <c r="I204" s="63">
        <f t="shared" si="130"/>
        <v>0.7907835400801666</v>
      </c>
      <c r="J204" s="63">
        <f t="shared" si="130"/>
        <v>0.44218748056733492</v>
      </c>
      <c r="K204" s="63">
        <f t="shared" si="130"/>
        <v>0.42624196220287969</v>
      </c>
      <c r="L204" s="63">
        <f t="shared" si="130"/>
        <v>0.31605708750420702</v>
      </c>
      <c r="M204" s="63">
        <f t="shared" si="130"/>
        <v>0.28769410273942153</v>
      </c>
      <c r="N204" s="63">
        <f t="shared" si="130"/>
        <v>0.27195589645421303</v>
      </c>
      <c r="O204" s="63">
        <f t="shared" si="130"/>
        <v>0.27254254110151166</v>
      </c>
      <c r="P204" s="63">
        <f t="shared" si="130"/>
        <v>0.25609197611877321</v>
      </c>
      <c r="R204" s="109"/>
      <c r="S204" s="109"/>
    </row>
    <row r="205" spans="1:19" x14ac:dyDescent="0.2">
      <c r="A205" s="23" t="s">
        <v>23</v>
      </c>
      <c r="E205" s="56">
        <f t="shared" ref="E205:P205" si="131">E203+E201+E199+E197+E195+E193+E191+E189+E187+E185+E183+E181+E179</f>
        <v>7.6344960099999994</v>
      </c>
      <c r="F205" s="56">
        <f t="shared" si="131"/>
        <v>8.4917496559999961</v>
      </c>
      <c r="G205" s="56">
        <f t="shared" si="131"/>
        <v>11.594986259999992</v>
      </c>
      <c r="H205" s="56">
        <f t="shared" si="131"/>
        <v>16.98688101999997</v>
      </c>
      <c r="I205" s="56">
        <f t="shared" si="131"/>
        <v>30.372687739999968</v>
      </c>
      <c r="J205" s="56">
        <f t="shared" si="131"/>
        <v>43.749821579999939</v>
      </c>
      <c r="K205" s="56">
        <f t="shared" si="131"/>
        <v>62.459461111007442</v>
      </c>
      <c r="L205" s="56">
        <f t="shared" si="131"/>
        <v>82.257761028505413</v>
      </c>
      <c r="M205" s="56">
        <f t="shared" si="131"/>
        <v>105.94225285160886</v>
      </c>
      <c r="N205" s="56">
        <f t="shared" si="131"/>
        <v>134.77747184254676</v>
      </c>
      <c r="O205" s="56">
        <f t="shared" si="131"/>
        <v>171.53867202622834</v>
      </c>
      <c r="P205" s="56">
        <f t="shared" si="131"/>
        <v>215.50246182931585</v>
      </c>
      <c r="R205" s="57"/>
      <c r="S205" s="57">
        <f>(P205/J205)^(1/6)-1</f>
        <v>0.30440561090137286</v>
      </c>
    </row>
    <row r="206" spans="1:19" x14ac:dyDescent="0.2">
      <c r="A206" s="19" t="s">
        <v>4</v>
      </c>
      <c r="E206" s="59"/>
      <c r="F206" s="59">
        <f t="shared" ref="F206:P206" si="132">F205/E205-1</f>
        <v>0.11228686803649235</v>
      </c>
      <c r="G206" s="59">
        <f t="shared" si="132"/>
        <v>0.36544136717541464</v>
      </c>
      <c r="H206" s="59">
        <f t="shared" si="132"/>
        <v>0.46501950404208436</v>
      </c>
      <c r="I206" s="59">
        <f t="shared" si="132"/>
        <v>0.78800850516583076</v>
      </c>
      <c r="J206" s="59">
        <f t="shared" si="132"/>
        <v>0.4404329954106323</v>
      </c>
      <c r="K206" s="59">
        <f t="shared" si="132"/>
        <v>0.42765064759853888</v>
      </c>
      <c r="L206" s="59">
        <f t="shared" si="132"/>
        <v>0.31697839791334426</v>
      </c>
      <c r="M206" s="59">
        <f t="shared" si="132"/>
        <v>0.28793017858698922</v>
      </c>
      <c r="N206" s="59">
        <f t="shared" si="132"/>
        <v>0.27217864652478929</v>
      </c>
      <c r="O206" s="59">
        <f t="shared" si="132"/>
        <v>0.27275478372696971</v>
      </c>
      <c r="P206" s="59">
        <f t="shared" si="132"/>
        <v>0.25629083683453846</v>
      </c>
      <c r="R206" s="109"/>
      <c r="S206" s="109"/>
    </row>
    <row r="207" spans="1:19" x14ac:dyDescent="0.2">
      <c r="R207" s="109"/>
      <c r="S207" s="109"/>
    </row>
    <row r="208" spans="1:19" x14ac:dyDescent="0.2">
      <c r="A208" s="67" t="s">
        <v>63</v>
      </c>
      <c r="G208" s="108"/>
      <c r="H208" s="108"/>
      <c r="I208" s="108"/>
      <c r="J208" s="108"/>
      <c r="K208" s="108"/>
      <c r="L208" s="108"/>
      <c r="M208" s="108"/>
      <c r="N208" s="108"/>
      <c r="O208" s="108"/>
      <c r="P208" s="108"/>
      <c r="R208" s="109"/>
      <c r="S208" s="109"/>
    </row>
    <row r="209" spans="1:19" x14ac:dyDescent="0.2">
      <c r="A209" s="68" t="s">
        <v>82</v>
      </c>
      <c r="E209" s="46">
        <v>0.42108336290424137</v>
      </c>
      <c r="F209" s="46">
        <v>0.45075241403697275</v>
      </c>
      <c r="G209" s="46">
        <v>0.59120833309286125</v>
      </c>
      <c r="H209" s="46">
        <v>0.8302553626950081</v>
      </c>
      <c r="I209" s="46">
        <v>1.4197695145983811</v>
      </c>
      <c r="J209" s="46">
        <v>1.9509806698497829</v>
      </c>
      <c r="K209" s="46">
        <v>2.6497333292067715</v>
      </c>
      <c r="L209" s="46">
        <v>3.3094220301507988</v>
      </c>
      <c r="M209" s="46">
        <v>4.0280312363039483</v>
      </c>
      <c r="N209" s="46">
        <v>4.8235473700727178</v>
      </c>
      <c r="O209" s="46">
        <v>5.7527110260032028</v>
      </c>
      <c r="P209" s="46">
        <v>6.7369554128038187</v>
      </c>
      <c r="R209" s="57"/>
      <c r="S209" s="57">
        <f>(P209/J209)^(1/6)-1</f>
        <v>0.22942427617286065</v>
      </c>
    </row>
    <row r="210" spans="1:19" x14ac:dyDescent="0.2">
      <c r="A210" s="62" t="s">
        <v>4</v>
      </c>
      <c r="F210" s="63">
        <f t="shared" ref="F210:P210" si="133">F209/E209-1</f>
        <v>7.0458853867086724E-2</v>
      </c>
      <c r="G210" s="63">
        <f t="shared" si="133"/>
        <v>0.31160325420768054</v>
      </c>
      <c r="H210" s="63">
        <f t="shared" si="133"/>
        <v>0.40433636710022425</v>
      </c>
      <c r="I210" s="63">
        <f t="shared" si="133"/>
        <v>0.71003955938304397</v>
      </c>
      <c r="J210" s="63">
        <f t="shared" si="133"/>
        <v>0.37415309301219124</v>
      </c>
      <c r="K210" s="63">
        <f t="shared" si="133"/>
        <v>0.35815457844120502</v>
      </c>
      <c r="L210" s="63">
        <f t="shared" si="133"/>
        <v>0.24896418581922464</v>
      </c>
      <c r="M210" s="63">
        <f t="shared" si="133"/>
        <v>0.21714039478984337</v>
      </c>
      <c r="N210" s="63">
        <f t="shared" si="133"/>
        <v>0.19749502600648183</v>
      </c>
      <c r="O210" s="63">
        <f t="shared" si="133"/>
        <v>0.1926307724674583</v>
      </c>
      <c r="P210" s="63">
        <f t="shared" si="133"/>
        <v>0.17109226977535785</v>
      </c>
      <c r="R210" s="109"/>
      <c r="S210" s="109"/>
    </row>
    <row r="211" spans="1:19" x14ac:dyDescent="0.2">
      <c r="A211" s="68" t="s">
        <v>10</v>
      </c>
      <c r="E211" s="46">
        <v>3.2240813789080383</v>
      </c>
      <c r="F211" s="46">
        <v>3.500336547128776</v>
      </c>
      <c r="G211" s="46">
        <v>4.6613330429120312</v>
      </c>
      <c r="H211" s="46">
        <v>6.65424394138652</v>
      </c>
      <c r="I211" s="46">
        <v>11.582622130090389</v>
      </c>
      <c r="J211" s="46">
        <v>16.225760848667445</v>
      </c>
      <c r="K211" s="46">
        <v>22.504484953517832</v>
      </c>
      <c r="L211" s="46">
        <v>28.760342231670954</v>
      </c>
      <c r="M211" s="46">
        <v>35.900519885389194</v>
      </c>
      <c r="N211" s="46">
        <v>44.206994177535485</v>
      </c>
      <c r="O211" s="46">
        <v>54.382690821321255</v>
      </c>
      <c r="P211" s="46">
        <v>65.933825311610107</v>
      </c>
      <c r="R211" s="57"/>
      <c r="S211" s="57">
        <f>(P211/J211)^(1/6)-1</f>
        <v>0.26323417705398033</v>
      </c>
    </row>
    <row r="212" spans="1:19" x14ac:dyDescent="0.2">
      <c r="A212" s="62" t="s">
        <v>4</v>
      </c>
      <c r="F212" s="63">
        <f t="shared" ref="F212:P212" si="134">F211/E211-1</f>
        <v>8.568492409279771E-2</v>
      </c>
      <c r="G212" s="63">
        <f t="shared" si="134"/>
        <v>0.33168139124667517</v>
      </c>
      <c r="H212" s="63">
        <f t="shared" si="134"/>
        <v>0.42754098025775811</v>
      </c>
      <c r="I212" s="63">
        <f t="shared" si="134"/>
        <v>0.74063683750027365</v>
      </c>
      <c r="J212" s="63">
        <f t="shared" si="134"/>
        <v>0.40087112110086776</v>
      </c>
      <c r="K212" s="63">
        <f t="shared" si="134"/>
        <v>0.38696022722201229</v>
      </c>
      <c r="L212" s="63">
        <f t="shared" si="134"/>
        <v>0.27798269060919911</v>
      </c>
      <c r="M212" s="63">
        <f t="shared" si="134"/>
        <v>0.24826469713755572</v>
      </c>
      <c r="N212" s="63">
        <f t="shared" si="134"/>
        <v>0.23137476333669649</v>
      </c>
      <c r="O212" s="63">
        <f t="shared" si="134"/>
        <v>0.23018295708864822</v>
      </c>
      <c r="P212" s="63">
        <f t="shared" si="134"/>
        <v>0.21240461470067817</v>
      </c>
      <c r="R212" s="109"/>
      <c r="S212" s="109"/>
    </row>
    <row r="213" spans="1:19" x14ac:dyDescent="0.2">
      <c r="A213" s="68" t="s">
        <v>11</v>
      </c>
      <c r="E213" s="46">
        <v>3.910703601544161</v>
      </c>
      <c r="F213" s="46">
        <v>4.4457386305240165</v>
      </c>
      <c r="G213" s="46">
        <v>6.2025481941198066</v>
      </c>
      <c r="H213" s="46">
        <v>9.2822236479888929</v>
      </c>
      <c r="I213" s="46">
        <v>16.949213156018121</v>
      </c>
      <c r="J213" s="46">
        <v>24.926651814426432</v>
      </c>
      <c r="K213" s="46">
        <v>36.324899374705716</v>
      </c>
      <c r="L213" s="46">
        <v>48.820517125689939</v>
      </c>
      <c r="M213" s="46">
        <v>64.153183528399467</v>
      </c>
      <c r="N213" s="46">
        <v>83.252508757665183</v>
      </c>
      <c r="O213" s="46">
        <v>108.06466761194595</v>
      </c>
      <c r="P213" s="46">
        <v>138.42968012225793</v>
      </c>
      <c r="R213" s="57"/>
      <c r="S213" s="57">
        <f>(P213/J213)^(1/6)-1</f>
        <v>0.3307430642543896</v>
      </c>
    </row>
    <row r="214" spans="1:19" x14ac:dyDescent="0.2">
      <c r="A214" s="62" t="s">
        <v>4</v>
      </c>
      <c r="F214" s="63">
        <f t="shared" ref="F214:P214" si="135">F213/E213-1</f>
        <v>0.136812983926625</v>
      </c>
      <c r="G214" s="63">
        <f t="shared" si="135"/>
        <v>0.39516708236820386</v>
      </c>
      <c r="H214" s="63">
        <f t="shared" si="135"/>
        <v>0.49651777906195171</v>
      </c>
      <c r="I214" s="63">
        <f t="shared" si="135"/>
        <v>0.82598629367116949</v>
      </c>
      <c r="J214" s="63">
        <f t="shared" si="135"/>
        <v>0.47066719764367226</v>
      </c>
      <c r="K214" s="63">
        <f t="shared" si="135"/>
        <v>0.45727150381594717</v>
      </c>
      <c r="L214" s="63">
        <f t="shared" si="135"/>
        <v>0.34399593573782483</v>
      </c>
      <c r="M214" s="63">
        <f t="shared" si="135"/>
        <v>0.31406194168806323</v>
      </c>
      <c r="N214" s="63">
        <f t="shared" si="135"/>
        <v>0.29771437953364832</v>
      </c>
      <c r="O214" s="63">
        <f t="shared" si="135"/>
        <v>0.29803496885006808</v>
      </c>
      <c r="P214" s="63">
        <f t="shared" si="135"/>
        <v>0.28098927412011299</v>
      </c>
      <c r="R214" s="109"/>
      <c r="S214" s="109"/>
    </row>
    <row r="215" spans="1:19" x14ac:dyDescent="0.2">
      <c r="A215" s="68" t="s">
        <v>22</v>
      </c>
      <c r="E215" s="43">
        <v>7.8627666643559802E-2</v>
      </c>
      <c r="F215" s="43">
        <v>9.492206431023123E-2</v>
      </c>
      <c r="G215" s="43">
        <v>0.13989668987529028</v>
      </c>
      <c r="H215" s="43">
        <v>0.22015806792954601</v>
      </c>
      <c r="I215" s="43">
        <v>0.42108293929308177</v>
      </c>
      <c r="J215" s="43">
        <v>0.64642824705628565</v>
      </c>
      <c r="K215" s="43">
        <v>0.9803434535771226</v>
      </c>
      <c r="L215" s="43">
        <v>1.3674796409936982</v>
      </c>
      <c r="M215" s="43">
        <v>1.8605182015162516</v>
      </c>
      <c r="N215" s="43">
        <v>2.4944215372733289</v>
      </c>
      <c r="O215" s="43">
        <v>3.3386025669579267</v>
      </c>
      <c r="P215" s="43">
        <v>4.4020009826439397</v>
      </c>
      <c r="R215" s="57"/>
      <c r="S215" s="57">
        <f>(P215/J215)^(1/6)-1</f>
        <v>0.37674962943933288</v>
      </c>
    </row>
    <row r="216" spans="1:19" x14ac:dyDescent="0.2">
      <c r="A216" s="62" t="s">
        <v>4</v>
      </c>
      <c r="F216" s="63">
        <f t="shared" ref="F216:P216" si="136">F215/E215-1</f>
        <v>0.20723491313227282</v>
      </c>
      <c r="G216" s="63">
        <f t="shared" si="136"/>
        <v>0.47380580997553623</v>
      </c>
      <c r="H216" s="63">
        <f t="shared" si="136"/>
        <v>0.57371892162569438</v>
      </c>
      <c r="I216" s="63">
        <f t="shared" si="136"/>
        <v>0.91263914719598116</v>
      </c>
      <c r="J216" s="63">
        <f t="shared" si="136"/>
        <v>0.53515658492722551</v>
      </c>
      <c r="K216" s="63">
        <f t="shared" si="136"/>
        <v>0.51655416984239921</v>
      </c>
      <c r="L216" s="63">
        <f t="shared" si="136"/>
        <v>0.39489852867785791</v>
      </c>
      <c r="M216" s="63">
        <f t="shared" si="136"/>
        <v>0.36054544853353709</v>
      </c>
      <c r="N216" s="63">
        <f t="shared" si="136"/>
        <v>0.34071332128891307</v>
      </c>
      <c r="O216" s="63">
        <f t="shared" si="136"/>
        <v>0.33842757411699487</v>
      </c>
      <c r="P216" s="63">
        <f t="shared" si="136"/>
        <v>0.31851602410255198</v>
      </c>
      <c r="R216" s="109"/>
      <c r="S216" s="109"/>
    </row>
    <row r="217" spans="1:19" x14ac:dyDescent="0.2">
      <c r="A217" s="77" t="s">
        <v>23</v>
      </c>
      <c r="E217" s="56">
        <f t="shared" ref="E217:P217" si="137">E215+E213+E211+E209</f>
        <v>7.6344960100000003</v>
      </c>
      <c r="F217" s="56">
        <f t="shared" si="137"/>
        <v>8.4917496559999961</v>
      </c>
      <c r="G217" s="56">
        <f t="shared" si="137"/>
        <v>11.59498625999999</v>
      </c>
      <c r="H217" s="56">
        <f t="shared" si="137"/>
        <v>16.986881019999966</v>
      </c>
      <c r="I217" s="56">
        <f t="shared" si="137"/>
        <v>30.372687739999975</v>
      </c>
      <c r="J217" s="56">
        <f t="shared" si="137"/>
        <v>43.749821579999946</v>
      </c>
      <c r="K217" s="56">
        <f t="shared" si="137"/>
        <v>62.459461111007442</v>
      </c>
      <c r="L217" s="56">
        <f t="shared" si="137"/>
        <v>82.257761028505385</v>
      </c>
      <c r="M217" s="56">
        <f t="shared" si="137"/>
        <v>105.94225285160886</v>
      </c>
      <c r="N217" s="56">
        <f t="shared" si="137"/>
        <v>134.77747184254673</v>
      </c>
      <c r="O217" s="56">
        <f t="shared" si="137"/>
        <v>171.53867202622834</v>
      </c>
      <c r="P217" s="56">
        <f t="shared" si="137"/>
        <v>215.50246182931579</v>
      </c>
      <c r="R217" s="57"/>
      <c r="S217" s="57">
        <f>(P217/J217)^(1/6)-1</f>
        <v>0.30440561090137264</v>
      </c>
    </row>
    <row r="218" spans="1:19" x14ac:dyDescent="0.2">
      <c r="A218" s="74" t="s">
        <v>4</v>
      </c>
      <c r="E218" s="59"/>
      <c r="F218" s="59">
        <f t="shared" ref="F218:P218" si="138">F217/E217-1</f>
        <v>0.11228686803649213</v>
      </c>
      <c r="G218" s="59">
        <f t="shared" si="138"/>
        <v>0.36544136717541442</v>
      </c>
      <c r="H218" s="59">
        <f t="shared" si="138"/>
        <v>0.46501950404208414</v>
      </c>
      <c r="I218" s="59">
        <f t="shared" si="138"/>
        <v>0.78800850516583143</v>
      </c>
      <c r="J218" s="59">
        <f t="shared" si="138"/>
        <v>0.44043299541063208</v>
      </c>
      <c r="K218" s="59">
        <f t="shared" si="138"/>
        <v>0.42765064759853866</v>
      </c>
      <c r="L218" s="59">
        <f t="shared" si="138"/>
        <v>0.31697839791334381</v>
      </c>
      <c r="M218" s="59">
        <f t="shared" si="138"/>
        <v>0.28793017858698966</v>
      </c>
      <c r="N218" s="59">
        <f t="shared" si="138"/>
        <v>0.27217864652478907</v>
      </c>
      <c r="O218" s="59">
        <f t="shared" si="138"/>
        <v>0.27275478372696993</v>
      </c>
      <c r="P218" s="59">
        <f t="shared" si="138"/>
        <v>0.25629083683453824</v>
      </c>
      <c r="R218" s="109"/>
      <c r="S218" s="109"/>
    </row>
    <row r="219" spans="1:19" x14ac:dyDescent="0.2">
      <c r="R219" s="109"/>
      <c r="S219" s="109"/>
    </row>
    <row r="220" spans="1:19" x14ac:dyDescent="0.2">
      <c r="A220" s="67" t="s">
        <v>175</v>
      </c>
      <c r="B220" s="79"/>
      <c r="R220" s="109"/>
      <c r="S220" s="109"/>
    </row>
    <row r="221" spans="1:19" x14ac:dyDescent="0.2">
      <c r="A221" s="85" t="s">
        <v>40</v>
      </c>
      <c r="B221" s="52">
        <v>2016</v>
      </c>
      <c r="C221" s="52">
        <v>2017</v>
      </c>
      <c r="D221" s="52">
        <v>2018</v>
      </c>
      <c r="E221" s="52">
        <v>2019</v>
      </c>
      <c r="F221" s="52">
        <v>2020</v>
      </c>
      <c r="G221" s="52">
        <v>2021</v>
      </c>
      <c r="H221" s="52">
        <v>2022</v>
      </c>
      <c r="I221" s="52">
        <v>2023</v>
      </c>
      <c r="J221" s="52">
        <v>2024</v>
      </c>
      <c r="K221" s="52" t="s">
        <v>42</v>
      </c>
      <c r="L221" s="52" t="s">
        <v>1</v>
      </c>
      <c r="M221" s="52" t="s">
        <v>2</v>
      </c>
      <c r="N221" s="52" t="s">
        <v>43</v>
      </c>
      <c r="O221" s="52" t="s">
        <v>44</v>
      </c>
      <c r="P221" s="52" t="s">
        <v>45</v>
      </c>
      <c r="R221" s="109"/>
      <c r="S221" s="109"/>
    </row>
    <row r="222" spans="1:19" x14ac:dyDescent="0.2">
      <c r="A222" s="32" t="s">
        <v>105</v>
      </c>
      <c r="B222" s="43">
        <v>47.569699999999997</v>
      </c>
      <c r="C222" s="43">
        <v>49.735500000000002</v>
      </c>
      <c r="D222" s="43">
        <v>52.216900000000003</v>
      </c>
      <c r="E222" s="43">
        <v>55.801653414405649</v>
      </c>
      <c r="F222" s="43">
        <v>50.756671044929845</v>
      </c>
      <c r="G222" s="43">
        <v>58.426842401534948</v>
      </c>
      <c r="H222" s="43">
        <v>67.641234946946653</v>
      </c>
      <c r="I222" s="43">
        <v>78.06044330648318</v>
      </c>
      <c r="J222" s="43">
        <v>85.572768209599332</v>
      </c>
      <c r="K222" s="43">
        <v>91.430967029597639</v>
      </c>
      <c r="L222" s="43">
        <v>96.472901793900988</v>
      </c>
      <c r="M222" s="43">
        <v>101.25990833759417</v>
      </c>
      <c r="N222" s="43">
        <v>106.26598865554726</v>
      </c>
      <c r="O222" s="43">
        <v>111.44714392649102</v>
      </c>
      <c r="P222" s="43">
        <v>116.76699505757776</v>
      </c>
      <c r="R222" s="109"/>
      <c r="S222" s="109"/>
    </row>
    <row r="223" spans="1:19" x14ac:dyDescent="0.2">
      <c r="A223" s="32" t="s">
        <v>91</v>
      </c>
      <c r="B223" s="44">
        <v>3.4611295314952883E-2</v>
      </c>
      <c r="C223" s="44">
        <v>3.2809581289531452E-2</v>
      </c>
      <c r="D223" s="44">
        <v>2.9046813572518319E-2</v>
      </c>
      <c r="E223" s="44">
        <v>3.1004391615469445E-2</v>
      </c>
      <c r="F223" s="44">
        <v>-8.3116426482252453E-2</v>
      </c>
      <c r="G223" s="44">
        <v>0.12631700325306142</v>
      </c>
      <c r="H223" s="44">
        <v>7.2879365204867388E-2</v>
      </c>
      <c r="I223" s="44">
        <v>3.318396880413417E-2</v>
      </c>
      <c r="J223" s="44">
        <v>3.9E-2</v>
      </c>
      <c r="K223" s="44">
        <v>3.0179778752195068E-2</v>
      </c>
      <c r="L223" s="44">
        <v>2.6789060856213513E-2</v>
      </c>
      <c r="M223" s="44">
        <v>2.6844999999999997E-2</v>
      </c>
      <c r="N223" s="44">
        <v>2.6666666666666665E-2</v>
      </c>
      <c r="O223" s="44">
        <v>2.6000000000000002E-2</v>
      </c>
      <c r="P223" s="44">
        <v>2.5000000000000001E-2</v>
      </c>
      <c r="R223" s="109"/>
      <c r="S223" s="109"/>
    </row>
    <row r="224" spans="1:19" x14ac:dyDescent="0.2">
      <c r="A224" s="32" t="s">
        <v>92</v>
      </c>
      <c r="B224" s="43">
        <v>11400.928137749581</v>
      </c>
      <c r="C224" s="43">
        <v>12042.922593128616</v>
      </c>
      <c r="D224" s="43">
        <v>12764.254640731024</v>
      </c>
      <c r="E224" s="43">
        <v>13719.900165950712</v>
      </c>
      <c r="F224" s="43">
        <v>12540.995894736154</v>
      </c>
      <c r="G224" s="43">
        <v>14794.115052815274</v>
      </c>
      <c r="H224" s="43">
        <v>17539.0872054375</v>
      </c>
      <c r="I224" s="43">
        <v>20324.448135258925</v>
      </c>
      <c r="J224" s="43">
        <v>22407.935407320332</v>
      </c>
      <c r="K224" s="43">
        <v>24086.556582089132</v>
      </c>
      <c r="L224" s="43">
        <v>25563.153967966329</v>
      </c>
      <c r="M224" s="43">
        <v>27023.190657534436</v>
      </c>
      <c r="N224" s="43">
        <v>28560.030105280555</v>
      </c>
      <c r="O224" s="43">
        <v>30119.71411523566</v>
      </c>
      <c r="P224" s="43">
        <v>31731.627563658581</v>
      </c>
      <c r="R224" s="109"/>
      <c r="S224" s="109"/>
    </row>
    <row r="225" spans="1:19" x14ac:dyDescent="0.2">
      <c r="A225" s="32" t="s">
        <v>93</v>
      </c>
      <c r="B225" s="44">
        <v>3.0924056004733417E-2</v>
      </c>
      <c r="C225" s="44">
        <v>3.2137906911259929E-2</v>
      </c>
      <c r="D225" s="44">
        <v>3.319437784094717E-2</v>
      </c>
      <c r="E225" s="44">
        <v>3.9736605091214017E-2</v>
      </c>
      <c r="F225" s="44">
        <v>-5.1862931508396881E-2</v>
      </c>
      <c r="G225" s="44">
        <v>0.10855714510991475</v>
      </c>
      <c r="H225" s="44">
        <v>6.9268080987095568E-2</v>
      </c>
      <c r="I225" s="44">
        <v>3.157285453766747E-2</v>
      </c>
      <c r="J225" s="44">
        <v>5.7999999999999996E-2</v>
      </c>
      <c r="K225" s="44">
        <v>3.4166701586446517E-2</v>
      </c>
      <c r="L225" s="44">
        <v>3.1285696811841596E-2</v>
      </c>
      <c r="M225" s="44">
        <v>2.6500000000000003E-2</v>
      </c>
      <c r="N225" s="44">
        <v>2.5000000000000001E-2</v>
      </c>
      <c r="O225" s="44">
        <v>2.3499999999999997E-2</v>
      </c>
      <c r="P225" s="44">
        <v>2.0499999999999997E-2</v>
      </c>
      <c r="R225" s="109"/>
      <c r="S225" s="109"/>
    </row>
    <row r="226" spans="1:19" x14ac:dyDescent="0.2">
      <c r="A226" s="32" t="s">
        <v>94</v>
      </c>
      <c r="B226" s="44">
        <v>4.7357040238586737E-2</v>
      </c>
      <c r="C226" s="44">
        <v>1.3616483880723819E-2</v>
      </c>
      <c r="D226" s="44">
        <v>4.4429036166790468E-2</v>
      </c>
      <c r="E226" s="44">
        <v>0.12843502132752449</v>
      </c>
      <c r="F226" s="44">
        <v>-6.269800993899878E-2</v>
      </c>
      <c r="G226" s="44">
        <v>4.8414349095506425E-2</v>
      </c>
      <c r="H226" s="44">
        <v>0.10370289060545999</v>
      </c>
      <c r="I226" s="44">
        <v>0.10142891826092097</v>
      </c>
      <c r="J226" s="44">
        <v>9.9000000000000005E-2</v>
      </c>
      <c r="K226" s="44">
        <v>4.1750011486736099E-2</v>
      </c>
      <c r="L226" s="44">
        <v>3.4499936033098678E-2</v>
      </c>
      <c r="M226" s="44">
        <v>3.3500000000000002E-2</v>
      </c>
      <c r="N226" s="44">
        <v>3.0499999999999999E-2</v>
      </c>
      <c r="O226" s="44">
        <v>0.03</v>
      </c>
      <c r="P226" s="44">
        <v>2.5000000000000001E-2</v>
      </c>
      <c r="R226" s="109"/>
      <c r="S226" s="109"/>
    </row>
    <row r="227" spans="1:19" x14ac:dyDescent="0.2">
      <c r="A227" s="32" t="s">
        <v>95</v>
      </c>
      <c r="B227" s="44">
        <v>-1.0418404999999999E-2</v>
      </c>
      <c r="C227" s="44">
        <v>5.4709399999999997E-3</v>
      </c>
      <c r="D227" s="44">
        <v>-4.2897999999999998E-4</v>
      </c>
      <c r="E227" s="44">
        <v>2.2620360000000003E-3</v>
      </c>
      <c r="F227" s="44">
        <v>-7.2323329999999991E-2</v>
      </c>
      <c r="G227" s="44">
        <v>-2.5785459E-2</v>
      </c>
      <c r="H227" s="44">
        <v>1.2083109999999999E-3</v>
      </c>
      <c r="I227" s="44">
        <v>-7.9143800000000004E-3</v>
      </c>
      <c r="J227" s="44">
        <v>-2.3664339E-2</v>
      </c>
      <c r="K227" s="44">
        <v>-2.4889647999999997E-2</v>
      </c>
      <c r="L227" s="44">
        <v>-2.2375277199999998E-2</v>
      </c>
      <c r="M227" s="44">
        <v>-1.8600000000000002E-2</v>
      </c>
      <c r="N227" s="44">
        <v>-1.5569999999999999E-2</v>
      </c>
      <c r="O227" s="44">
        <v>-1.208E-2</v>
      </c>
      <c r="P227" s="44">
        <v>-1.1200000000000002E-2</v>
      </c>
      <c r="R227" s="109"/>
      <c r="S227" s="109"/>
    </row>
    <row r="228" spans="1:19" x14ac:dyDescent="0.2">
      <c r="A228" s="32" t="s">
        <v>96</v>
      </c>
      <c r="B228" s="44">
        <v>0.79256000000000004</v>
      </c>
      <c r="C228" s="44">
        <v>0.76171000000000011</v>
      </c>
      <c r="D228" s="44">
        <v>0.72846999999999995</v>
      </c>
      <c r="E228" s="44">
        <v>0.70884000000000003</v>
      </c>
      <c r="F228" s="44">
        <v>0.86468999999999996</v>
      </c>
      <c r="G228" s="44">
        <v>0.78200999999999998</v>
      </c>
      <c r="H228" s="44">
        <v>0.68543999999999994</v>
      </c>
      <c r="I228" s="44">
        <v>0.61836000000000002</v>
      </c>
      <c r="J228" s="44">
        <v>0.57647000000000004</v>
      </c>
      <c r="K228" s="44">
        <v>0.56503199999999998</v>
      </c>
      <c r="L228" s="44">
        <v>0.5611195000000001</v>
      </c>
      <c r="M228" s="44">
        <v>0.55413500000000004</v>
      </c>
      <c r="N228" s="44">
        <v>0.54703500000000005</v>
      </c>
      <c r="O228" s="44">
        <v>0.54013</v>
      </c>
      <c r="P228" s="44">
        <v>0.53611000000000009</v>
      </c>
    </row>
    <row r="229" spans="1:19" x14ac:dyDescent="0.2">
      <c r="A229" s="32" t="s">
        <v>97</v>
      </c>
      <c r="B229" s="44">
        <v>-8.1700000000000002E-3</v>
      </c>
      <c r="C229" s="44">
        <v>8.6E-3</v>
      </c>
      <c r="D229" s="44">
        <v>8.3239999999999995E-2</v>
      </c>
      <c r="E229" s="44">
        <v>4.2209999999999998E-2</v>
      </c>
      <c r="F229" s="44">
        <v>-5.4820000000000001E-2</v>
      </c>
      <c r="G229" s="44">
        <v>-3.2639999999999995E-2</v>
      </c>
      <c r="H229" s="44">
        <v>-1.1470000000000001E-2</v>
      </c>
      <c r="I229" s="44">
        <v>-1.907E-2</v>
      </c>
      <c r="J229" s="44">
        <v>-3.2349999999999997E-2</v>
      </c>
      <c r="K229" s="44">
        <v>-3.2537500000000004E-2</v>
      </c>
      <c r="L229" s="44">
        <v>-2.6926000000000002E-2</v>
      </c>
      <c r="M229" s="44">
        <v>-2.1160000000000002E-2</v>
      </c>
      <c r="N229" s="44">
        <v>-1.635E-2</v>
      </c>
      <c r="O229" s="44">
        <v>-1.2410000000000001E-2</v>
      </c>
      <c r="P229" s="44">
        <v>-1.11E-2</v>
      </c>
    </row>
    <row r="230" spans="1:19" x14ac:dyDescent="0.2">
      <c r="A230" s="32" t="s">
        <v>98</v>
      </c>
      <c r="B230" s="44">
        <v>-1.1166666666666667E-2</v>
      </c>
      <c r="C230" s="44">
        <v>1.1500000000000002E-2</v>
      </c>
      <c r="D230" s="44">
        <v>1.4916666666666665E-2</v>
      </c>
      <c r="E230" s="44">
        <v>7.6666666666666662E-3</v>
      </c>
      <c r="F230" s="44">
        <v>1.4166666666666659E-3</v>
      </c>
      <c r="G230" s="44">
        <v>2.5583333333333333E-2</v>
      </c>
      <c r="H230" s="44">
        <v>0.10733333333333334</v>
      </c>
      <c r="I230" s="44">
        <v>8.0499999999999988E-2</v>
      </c>
      <c r="J230" s="44">
        <v>2.9749999999999995E-2</v>
      </c>
      <c r="K230" s="44">
        <v>3.4333333333333334E-2</v>
      </c>
      <c r="L230" s="44">
        <v>2.8315714285714284E-2</v>
      </c>
      <c r="M230" s="44">
        <v>2.2898000000000002E-2</v>
      </c>
      <c r="N230" s="44">
        <v>2.2316666666666665E-2</v>
      </c>
      <c r="O230" s="44">
        <v>2.2033333333333335E-2</v>
      </c>
      <c r="P230" s="44">
        <v>2.1995000000000001E-2</v>
      </c>
    </row>
    <row r="231" spans="1:19" x14ac:dyDescent="0.2">
      <c r="A231" s="32" t="s">
        <v>99</v>
      </c>
      <c r="B231" s="43">
        <v>1028.9166666666667</v>
      </c>
      <c r="C231" s="43">
        <v>1069.0833333333333</v>
      </c>
      <c r="D231" s="43">
        <v>1121.1666666666667</v>
      </c>
      <c r="E231" s="43">
        <v>1163.5</v>
      </c>
      <c r="F231" s="43">
        <v>1223.25</v>
      </c>
      <c r="G231" s="43">
        <v>1274</v>
      </c>
      <c r="H231" s="43">
        <v>1379.8333333333333</v>
      </c>
      <c r="I231" s="43">
        <v>1582.9166666666667</v>
      </c>
      <c r="J231" s="43">
        <v>1820</v>
      </c>
      <c r="K231" s="43">
        <v>1929.0308172041568</v>
      </c>
      <c r="L231" s="43">
        <v>2018.0281752143558</v>
      </c>
      <c r="M231" s="43">
        <v>2108.4470611840429</v>
      </c>
      <c r="N231" s="43">
        <v>2196.6162500821829</v>
      </c>
      <c r="O231" s="43">
        <v>2285.2388935333106</v>
      </c>
      <c r="P231" s="43">
        <v>2373.4878174100909</v>
      </c>
    </row>
    <row r="232" spans="1:19" x14ac:dyDescent="0.2">
      <c r="A232" s="32" t="s">
        <v>100</v>
      </c>
      <c r="B232" s="44">
        <v>-3.7346015905192487E-2</v>
      </c>
      <c r="C232" s="44">
        <v>3.9037822952943779E-2</v>
      </c>
      <c r="D232" s="44">
        <v>4.8717748850261255E-2</v>
      </c>
      <c r="E232" s="44">
        <v>3.7758287498141696E-2</v>
      </c>
      <c r="F232" s="44">
        <v>5.1353674258702187E-2</v>
      </c>
      <c r="G232" s="44">
        <v>4.1487839771101598E-2</v>
      </c>
      <c r="H232" s="44">
        <v>8.3071690214547189E-2</v>
      </c>
      <c r="I232" s="44">
        <v>0.14717961106413835</v>
      </c>
      <c r="J232" s="44">
        <v>0.14977625690971297</v>
      </c>
      <c r="K232" s="44">
        <v>5.9907042419866358E-2</v>
      </c>
      <c r="L232" s="44">
        <v>4.6135788612847312E-2</v>
      </c>
      <c r="M232" s="44">
        <v>4.480556172615513E-2</v>
      </c>
      <c r="N232" s="44">
        <v>4.1817122431628384E-2</v>
      </c>
      <c r="O232" s="44">
        <v>4.0345073222421979E-2</v>
      </c>
      <c r="P232" s="44">
        <v>3.8616935903945881E-2</v>
      </c>
    </row>
    <row r="233" spans="1:19" x14ac:dyDescent="0.2">
      <c r="A233" s="32" t="s">
        <v>101</v>
      </c>
      <c r="B233" s="44">
        <v>-2.6474986588767013E-2</v>
      </c>
      <c r="C233" s="44">
        <v>2.7224738460646325E-2</v>
      </c>
      <c r="D233" s="44">
        <v>3.3304293144193586E-2</v>
      </c>
      <c r="E233" s="44">
        <v>2.9862673666696926E-2</v>
      </c>
      <c r="F233" s="44">
        <v>4.9866363576968276E-2</v>
      </c>
      <c r="G233" s="44">
        <v>1.5507766088666664E-2</v>
      </c>
      <c r="H233" s="44">
        <v>-2.1909972714135528E-2</v>
      </c>
      <c r="I233" s="44">
        <v>6.1711810332381711E-2</v>
      </c>
      <c r="J233" s="44">
        <v>0.11655863744570327</v>
      </c>
      <c r="K233" s="44">
        <v>2.4724823480373637E-2</v>
      </c>
      <c r="L233" s="44">
        <v>1.7329380539041095E-2</v>
      </c>
      <c r="M233" s="44">
        <v>2.1417151784591359E-2</v>
      </c>
      <c r="N233" s="44">
        <v>1.9074770470625557E-2</v>
      </c>
      <c r="O233" s="44">
        <v>1.79169693314849E-2</v>
      </c>
      <c r="P233" s="44">
        <v>1.6264204721105235E-2</v>
      </c>
    </row>
    <row r="234" spans="1:19" x14ac:dyDescent="0.2">
      <c r="A234" s="32" t="s">
        <v>102</v>
      </c>
      <c r="B234" s="44">
        <v>6.1371195559245972E-2</v>
      </c>
      <c r="C234" s="44">
        <v>1.0533897796842773E-2</v>
      </c>
      <c r="D234" s="44">
        <v>3.815867323740596E-2</v>
      </c>
      <c r="E234" s="44">
        <v>3.626285516719796E-2</v>
      </c>
      <c r="F234" s="44">
        <v>-9.6130120386025419E-3</v>
      </c>
      <c r="G234" s="44">
        <v>9.5862241999999931E-2</v>
      </c>
      <c r="H234" s="44">
        <v>2.0056556524738811E-2</v>
      </c>
      <c r="I234" s="44">
        <v>7.5167112359712185E-2</v>
      </c>
      <c r="J234" s="44">
        <v>8.3088639057050662E-2</v>
      </c>
      <c r="K234" s="44">
        <v>2.9583045559483212E-2</v>
      </c>
      <c r="L234" s="44">
        <v>2.3118875539046124E-2</v>
      </c>
      <c r="M234" s="44">
        <v>2.2594794554049669E-2</v>
      </c>
      <c r="N234" s="44">
        <v>2.1619930517955854E-2</v>
      </c>
      <c r="O234" s="44">
        <v>2.1307526299611412E-2</v>
      </c>
      <c r="P234" s="44">
        <v>1.9339533855477375E-2</v>
      </c>
    </row>
    <row r="235" spans="1:19" x14ac:dyDescent="0.2">
      <c r="A235" s="32" t="s">
        <v>103</v>
      </c>
      <c r="B235" s="44">
        <v>0.13</v>
      </c>
      <c r="C235" s="44">
        <v>0.111</v>
      </c>
      <c r="D235" s="44">
        <v>8.3000000000000004E-2</v>
      </c>
      <c r="E235" s="44">
        <v>6.6000000000000003E-2</v>
      </c>
      <c r="F235" s="44">
        <v>7.400000000000001E-2</v>
      </c>
      <c r="G235" s="44">
        <v>7.4999999999999997E-2</v>
      </c>
      <c r="H235" s="44">
        <v>6.8000000000000005E-2</v>
      </c>
      <c r="I235" s="44">
        <v>6.0999999999999999E-2</v>
      </c>
      <c r="J235" s="44">
        <v>0.05</v>
      </c>
      <c r="K235" s="44">
        <v>4.9370044011553066E-2</v>
      </c>
      <c r="L235" s="44">
        <v>4.9370628394463843E-2</v>
      </c>
      <c r="M235" s="44">
        <v>4.8681126130473248E-2</v>
      </c>
      <c r="N235" s="44">
        <v>5.0203443950830338E-2</v>
      </c>
      <c r="O235" s="44">
        <v>4.9138027541052322E-2</v>
      </c>
      <c r="P235" s="44">
        <v>4.9014361318668716E-2</v>
      </c>
    </row>
    <row r="236" spans="1:19" x14ac:dyDescent="0.2">
      <c r="A236" s="32" t="s">
        <v>104</v>
      </c>
      <c r="B236" s="43">
        <v>4172.4409999999998</v>
      </c>
      <c r="C236" s="43">
        <v>4129.8530000000001</v>
      </c>
      <c r="D236" s="43">
        <v>4090.8694999999998</v>
      </c>
      <c r="E236" s="43">
        <v>4067.2055</v>
      </c>
      <c r="F236" s="43">
        <v>4047.26</v>
      </c>
      <c r="G236" s="43">
        <v>3949.33</v>
      </c>
      <c r="H236" s="43">
        <v>3856.5994999999998</v>
      </c>
      <c r="I236" s="43">
        <v>3840.7165</v>
      </c>
      <c r="J236" s="43">
        <v>3818.86</v>
      </c>
      <c r="K236" s="43">
        <v>3795.9335000000001</v>
      </c>
      <c r="L236" s="43">
        <v>3773.9045000000001</v>
      </c>
      <c r="M236" s="43">
        <v>3747.1484999999998</v>
      </c>
      <c r="N236" s="43">
        <v>3720.7939999999999</v>
      </c>
      <c r="O236" s="43">
        <v>3700.1395000000002</v>
      </c>
      <c r="P236" s="43">
        <v>3679.83</v>
      </c>
    </row>
    <row r="237" spans="1:19" x14ac:dyDescent="0.2">
      <c r="A237" s="32" t="s">
        <v>106</v>
      </c>
      <c r="B237" s="131">
        <v>0.26560515865431417</v>
      </c>
      <c r="C237" s="131">
        <v>0.35901370436902047</v>
      </c>
      <c r="D237" s="131">
        <v>0.42211213632576489</v>
      </c>
      <c r="E237" s="131">
        <v>1.0590083597196882</v>
      </c>
      <c r="F237" s="131">
        <v>1.2560419829760323</v>
      </c>
      <c r="G237" s="131">
        <v>1.750152380154927</v>
      </c>
      <c r="H237" s="131">
        <v>3.0089111485358195</v>
      </c>
      <c r="I237" s="131">
        <v>2.5592929320696935</v>
      </c>
      <c r="J237" s="131">
        <v>3.8051394408802044</v>
      </c>
      <c r="K237" s="131">
        <v>4.5155707557272375</v>
      </c>
      <c r="L237" s="131">
        <v>4.5238034497126502</v>
      </c>
      <c r="M237" s="131">
        <v>1.5328707176693204</v>
      </c>
      <c r="N237" s="131">
        <v>1.9600237083182246</v>
      </c>
      <c r="O237" s="131">
        <v>1.8162526590209422</v>
      </c>
      <c r="P237" s="131">
        <v>1.9856581011706373</v>
      </c>
    </row>
    <row r="238" spans="1:19" x14ac:dyDescent="0.2">
      <c r="A238" s="32" t="s">
        <v>107</v>
      </c>
      <c r="B238" s="44">
        <v>5.5834945070983039E-3</v>
      </c>
      <c r="C238" s="44">
        <v>7.2184597394018453E-3</v>
      </c>
      <c r="D238" s="44">
        <v>8.0838222170554908E-3</v>
      </c>
      <c r="E238" s="44">
        <v>1.8978082098303858E-2</v>
      </c>
      <c r="F238" s="44">
        <v>2.4746342837657399E-2</v>
      </c>
      <c r="G238" s="44">
        <v>2.9954594638661292E-2</v>
      </c>
      <c r="H238" s="44">
        <v>4.4483385776380516E-2</v>
      </c>
      <c r="I238" s="44">
        <v>3.278604147841338E-2</v>
      </c>
      <c r="J238" s="44">
        <v>4.446670968455773E-2</v>
      </c>
      <c r="K238" s="44">
        <v>4.9387761088269762E-2</v>
      </c>
      <c r="L238" s="44">
        <v>4.689195997625361E-2</v>
      </c>
      <c r="M238" s="44">
        <v>1.51379824733677E-2</v>
      </c>
      <c r="N238" s="44">
        <v>1.8444506404316111E-2</v>
      </c>
      <c r="O238" s="44">
        <v>1.6296987029285535E-2</v>
      </c>
      <c r="P238" s="44">
        <v>1.7005302741511075E-2</v>
      </c>
    </row>
    <row r="239" spans="1:19" x14ac:dyDescent="0.2">
      <c r="A239" s="32" t="s">
        <v>108</v>
      </c>
      <c r="B239" s="43">
        <v>147.48099999999999</v>
      </c>
      <c r="C239" s="43">
        <v>149.32400000000001</v>
      </c>
      <c r="D239" s="43">
        <v>153.35900000000001</v>
      </c>
      <c r="E239" s="43">
        <v>182.39399999999998</v>
      </c>
      <c r="F239" s="43">
        <v>180.53699999999998</v>
      </c>
      <c r="G239" s="43">
        <v>190.27999999999997</v>
      </c>
      <c r="H239" s="43">
        <v>198.46799999999993</v>
      </c>
      <c r="I239" s="43">
        <v>208.91699999999994</v>
      </c>
      <c r="J239" s="43">
        <v>217.65410736029892</v>
      </c>
      <c r="K239" s="43">
        <v>223.53720709561097</v>
      </c>
      <c r="L239" s="43">
        <v>228.78432149253311</v>
      </c>
      <c r="M239" s="43">
        <v>233.70650738409077</v>
      </c>
      <c r="N239" s="43">
        <v>238.67100897658415</v>
      </c>
      <c r="O239" s="43">
        <v>243.71781298750199</v>
      </c>
      <c r="P239" s="43">
        <v>248.39343902592128</v>
      </c>
    </row>
    <row r="240" spans="1:19" x14ac:dyDescent="0.2">
      <c r="A240" s="32" t="s">
        <v>109</v>
      </c>
      <c r="B240" s="44">
        <v>5.7557096776392758E-3</v>
      </c>
      <c r="C240" s="44">
        <v>1.2496524976098655E-2</v>
      </c>
      <c r="D240" s="44">
        <v>2.7021778146848474E-2</v>
      </c>
      <c r="E240" s="44">
        <v>0.18932700395803281</v>
      </c>
      <c r="F240" s="44">
        <v>-1.0181255962367186E-2</v>
      </c>
      <c r="G240" s="44">
        <v>5.3966776893379143E-2</v>
      </c>
      <c r="H240" s="44">
        <v>4.3031322261929628E-2</v>
      </c>
      <c r="I240" s="44">
        <v>5.2648285869762335E-2</v>
      </c>
      <c r="J240" s="44">
        <v>4.1820949756597114E-2</v>
      </c>
      <c r="K240" s="44">
        <v>2.702958288571744E-2</v>
      </c>
      <c r="L240" s="44">
        <v>2.3473114230499803E-2</v>
      </c>
      <c r="M240" s="44">
        <v>2.1514524506952792E-2</v>
      </c>
      <c r="N240" s="44">
        <v>2.1242461958212999E-2</v>
      </c>
      <c r="O240" s="44">
        <v>2.1145442140452664E-2</v>
      </c>
      <c r="P240" s="44">
        <v>1.918458885341745E-2</v>
      </c>
    </row>
    <row r="241" spans="1:16" x14ac:dyDescent="0.2">
      <c r="A241" s="32" t="s">
        <v>110</v>
      </c>
      <c r="B241" s="136">
        <v>9.9999999999999978E-2</v>
      </c>
      <c r="C241" s="136">
        <v>9.9999999999999978E-2</v>
      </c>
      <c r="D241" s="136">
        <v>9.6999999999999961E-2</v>
      </c>
      <c r="E241" s="136">
        <v>0.10499999999999993</v>
      </c>
      <c r="F241" s="136">
        <v>0.10399999999999993</v>
      </c>
      <c r="G241" s="136">
        <v>0.10926329299999994</v>
      </c>
      <c r="H241" s="136">
        <v>0.20308540699999986</v>
      </c>
      <c r="I241" s="136">
        <v>0.23610679599999976</v>
      </c>
      <c r="J241" s="136">
        <v>0.20510127399999969</v>
      </c>
      <c r="K241" s="136">
        <v>0.1994761207029313</v>
      </c>
      <c r="L241" s="136">
        <v>0.19278494303931282</v>
      </c>
      <c r="M241" s="136">
        <v>0.19625356140615088</v>
      </c>
      <c r="N241" s="136">
        <v>0.20165132860453971</v>
      </c>
      <c r="O241" s="136">
        <v>0.20717802873815863</v>
      </c>
      <c r="P241" s="136">
        <v>0.21319166999353997</v>
      </c>
    </row>
    <row r="242" spans="1:16" x14ac:dyDescent="0.2">
      <c r="A242" s="32" t="s">
        <v>111</v>
      </c>
      <c r="B242" s="44">
        <v>0.11443311239325382</v>
      </c>
      <c r="C242" s="44">
        <v>0</v>
      </c>
      <c r="D242" s="44">
        <v>-3.0000000000000138E-2</v>
      </c>
      <c r="E242" s="44">
        <v>8.2474226804123418E-2</v>
      </c>
      <c r="F242" s="44">
        <v>-9.52380952380949E-3</v>
      </c>
      <c r="G242" s="44">
        <v>5.0608586538461786E-2</v>
      </c>
      <c r="H242" s="44">
        <v>0.85867917233649504</v>
      </c>
      <c r="I242" s="44">
        <v>0.16259853175959571</v>
      </c>
      <c r="J242" s="44">
        <v>-0.13131990491286027</v>
      </c>
      <c r="K242" s="44">
        <v>-2.7426223091468471E-2</v>
      </c>
      <c r="L242" s="44">
        <v>-3.3543752706035823E-2</v>
      </c>
      <c r="M242" s="44">
        <v>1.7992164285002055E-2</v>
      </c>
      <c r="N242" s="44">
        <v>2.750404710984089E-2</v>
      </c>
      <c r="O242" s="44">
        <v>2.7407209126091958E-2</v>
      </c>
      <c r="P242" s="44">
        <v>2.9026443064489538E-2</v>
      </c>
    </row>
    <row r="244" spans="1:16" x14ac:dyDescent="0.2">
      <c r="A244" s="86" t="s">
        <v>77</v>
      </c>
    </row>
    <row r="245" spans="1:16" x14ac:dyDescent="0.2">
      <c r="A245" s="86" t="s">
        <v>41</v>
      </c>
    </row>
    <row r="246" spans="1:16" x14ac:dyDescent="0.2">
      <c r="A246" s="86" t="s">
        <v>81</v>
      </c>
    </row>
  </sheetData>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5F84B-177D-4230-A773-60FC4CA7ECCD}">
  <sheetPr>
    <tabColor rgb="FFFF3399"/>
  </sheetPr>
  <dimension ref="A2:P373"/>
  <sheetViews>
    <sheetView topLeftCell="A351" zoomScale="85" zoomScaleNormal="85" workbookViewId="0">
      <selection activeCell="AP50" sqref="AP50"/>
    </sheetView>
  </sheetViews>
  <sheetFormatPr defaultColWidth="8.875" defaultRowHeight="15" x14ac:dyDescent="0.2"/>
  <cols>
    <col min="1" max="1" width="24.48046875" customWidth="1"/>
    <col min="2" max="10" width="12.77734375" customWidth="1"/>
    <col min="14" max="14" width="11.43359375" customWidth="1"/>
  </cols>
  <sheetData>
    <row r="2" spans="1:16" s="96" customFormat="1" ht="20.25" x14ac:dyDescent="0.2">
      <c r="A2" s="95" t="s">
        <v>170</v>
      </c>
    </row>
    <row r="4" spans="1:16" s="97" customFormat="1" x14ac:dyDescent="0.2">
      <c r="A4" s="116" t="s">
        <v>115</v>
      </c>
      <c r="B4" s="98"/>
    </row>
    <row r="5" spans="1:16" s="121" customFormat="1" x14ac:dyDescent="0.2">
      <c r="A5" s="119"/>
      <c r="B5" s="120"/>
    </row>
    <row r="6" spans="1:16" s="121" customFormat="1" x14ac:dyDescent="0.2">
      <c r="A6" s="122" t="s">
        <v>167</v>
      </c>
      <c r="B6" s="120"/>
    </row>
    <row r="7" spans="1:16" x14ac:dyDescent="0.2">
      <c r="A7" s="145"/>
      <c r="B7" s="147" t="s">
        <v>26</v>
      </c>
      <c r="C7" s="147"/>
      <c r="D7" s="147" t="s">
        <v>55</v>
      </c>
      <c r="E7" s="147"/>
      <c r="F7" s="147" t="s">
        <v>147</v>
      </c>
      <c r="G7" s="147"/>
      <c r="H7" s="147" t="s">
        <v>57</v>
      </c>
      <c r="I7" s="147"/>
      <c r="J7" s="147" t="s">
        <v>59</v>
      </c>
    </row>
    <row r="8" spans="1:16" x14ac:dyDescent="0.2">
      <c r="A8" s="146"/>
      <c r="B8" s="115" t="s">
        <v>30</v>
      </c>
      <c r="C8" s="115" t="s">
        <v>31</v>
      </c>
      <c r="D8" s="115" t="s">
        <v>28</v>
      </c>
      <c r="E8" s="115" t="s">
        <v>27</v>
      </c>
      <c r="F8" s="115" t="s">
        <v>28</v>
      </c>
      <c r="G8" s="115" t="s">
        <v>27</v>
      </c>
      <c r="H8" s="117" t="s">
        <v>58</v>
      </c>
      <c r="I8" s="117" t="s">
        <v>53</v>
      </c>
      <c r="J8" s="147"/>
    </row>
    <row r="9" spans="1:16" x14ac:dyDescent="0.2">
      <c r="A9" s="118" t="s">
        <v>69</v>
      </c>
      <c r="B9" s="124">
        <v>46.392219552979221</v>
      </c>
      <c r="C9" s="124">
        <v>52.922111061272282</v>
      </c>
      <c r="D9" s="124">
        <v>8.4440712831443268</v>
      </c>
      <c r="E9" s="124">
        <v>32.875940073243456</v>
      </c>
      <c r="F9" s="124">
        <v>2.8182275630550024</v>
      </c>
      <c r="G9" s="124">
        <v>20.240346945562834</v>
      </c>
      <c r="H9" s="124">
        <v>42.901315995676498</v>
      </c>
      <c r="I9" s="124">
        <v>42.1084020482296</v>
      </c>
      <c r="J9" s="124">
        <v>51.086734517179046</v>
      </c>
      <c r="P9" s="128"/>
    </row>
    <row r="10" spans="1:16" x14ac:dyDescent="0.2">
      <c r="A10" s="118" t="s">
        <v>72</v>
      </c>
      <c r="B10" s="124">
        <v>20.332070694180711</v>
      </c>
      <c r="C10" s="124">
        <v>34.641483265410997</v>
      </c>
      <c r="D10" s="124">
        <v>4.7254735847508895</v>
      </c>
      <c r="E10" s="124">
        <v>18.265955810020738</v>
      </c>
      <c r="F10" s="124">
        <v>1.2185667066140231</v>
      </c>
      <c r="G10" s="124">
        <v>8.4518114209343516</v>
      </c>
      <c r="H10" s="124">
        <v>23.717775123148421</v>
      </c>
      <c r="I10" s="124">
        <v>14.892987425064716</v>
      </c>
      <c r="J10" s="124">
        <v>35.227589810304643</v>
      </c>
      <c r="P10" s="128"/>
    </row>
    <row r="11" spans="1:16" x14ac:dyDescent="0.2">
      <c r="A11" s="118" t="s">
        <v>67</v>
      </c>
      <c r="B11" s="124">
        <v>27.686126514866977</v>
      </c>
      <c r="C11" s="124">
        <v>27.179531684250268</v>
      </c>
      <c r="D11" s="124">
        <v>6.0096539387242141</v>
      </c>
      <c r="E11" s="124">
        <v>23.310265423189009</v>
      </c>
      <c r="F11" s="124">
        <v>1.7588264977068326</v>
      </c>
      <c r="G11" s="124">
        <v>12.448682790213461</v>
      </c>
      <c r="H11" s="124">
        <v>15.686603047099494</v>
      </c>
      <c r="I11" s="124">
        <v>6.3198023331091004</v>
      </c>
      <c r="J11" s="124">
        <v>22.862353337871667</v>
      </c>
      <c r="P11" s="128"/>
    </row>
    <row r="12" spans="1:16" x14ac:dyDescent="0.2">
      <c r="A12" s="118" t="s">
        <v>65</v>
      </c>
      <c r="B12" s="124">
        <v>20.53706131981416</v>
      </c>
      <c r="C12" s="124">
        <v>18.591719574960429</v>
      </c>
      <c r="D12" s="124">
        <v>2.1097970628675813</v>
      </c>
      <c r="E12" s="124">
        <v>7.9598211501435125</v>
      </c>
      <c r="F12" s="124">
        <v>0.72707632856406013</v>
      </c>
      <c r="G12" s="124">
        <v>4.7927553451831324</v>
      </c>
      <c r="H12" s="124">
        <v>28.146816211873972</v>
      </c>
      <c r="I12" s="124">
        <v>34.71843177861993</v>
      </c>
      <c r="J12" s="124">
        <v>16.197539897593945</v>
      </c>
      <c r="P12" s="128"/>
    </row>
    <row r="13" spans="1:16" x14ac:dyDescent="0.2">
      <c r="A13" s="118" t="s">
        <v>66</v>
      </c>
      <c r="B13" s="124">
        <v>27.346314406728208</v>
      </c>
      <c r="C13" s="124">
        <v>20.416002564175166</v>
      </c>
      <c r="D13" s="124">
        <v>3.6539069252402729</v>
      </c>
      <c r="E13" s="124">
        <v>14.050422724123239</v>
      </c>
      <c r="F13" s="124">
        <v>1.1933722182790494</v>
      </c>
      <c r="G13" s="124">
        <v>8.2142056363398464</v>
      </c>
      <c r="H13" s="124">
        <v>12.655583143697507</v>
      </c>
      <c r="I13" s="124">
        <v>6.6070896899857807</v>
      </c>
      <c r="J13" s="124">
        <v>17.066031049159932</v>
      </c>
      <c r="P13" s="128"/>
    </row>
    <row r="14" spans="1:16" x14ac:dyDescent="0.2">
      <c r="A14" s="118" t="s">
        <v>73</v>
      </c>
      <c r="B14" s="124">
        <v>11.876441719865468</v>
      </c>
      <c r="C14" s="124">
        <v>11.583226537351633</v>
      </c>
      <c r="D14" s="124">
        <v>3.0478905834927463</v>
      </c>
      <c r="E14" s="124">
        <v>11.662818532460602</v>
      </c>
      <c r="F14" s="124">
        <v>0.9250345248168369</v>
      </c>
      <c r="G14" s="124">
        <v>6.1730936393301352</v>
      </c>
      <c r="H14" s="124">
        <v>7.7046941009496503</v>
      </c>
      <c r="I14" s="124">
        <v>3.7335191632443854</v>
      </c>
      <c r="J14" s="124">
        <v>33.722912361245982</v>
      </c>
      <c r="P14" s="128"/>
    </row>
    <row r="15" spans="1:16" x14ac:dyDescent="0.2">
      <c r="A15" s="118" t="s">
        <v>75</v>
      </c>
      <c r="B15" s="124">
        <v>17.704554613082649</v>
      </c>
      <c r="C15" s="124">
        <v>16.583693084701995</v>
      </c>
      <c r="D15" s="124">
        <v>4.2054161399951786</v>
      </c>
      <c r="E15" s="124">
        <v>17.580412761292028</v>
      </c>
      <c r="F15" s="124">
        <v>0.72906585075757568</v>
      </c>
      <c r="G15" s="124">
        <v>7.6384724585895141</v>
      </c>
      <c r="H15" s="124">
        <v>5.261753001652961</v>
      </c>
      <c r="I15" s="124">
        <v>1.4120860976152918</v>
      </c>
      <c r="J15" s="124">
        <v>8.9075816041200024</v>
      </c>
      <c r="P15" s="128"/>
    </row>
    <row r="16" spans="1:16" x14ac:dyDescent="0.2">
      <c r="A16" s="118" t="s">
        <v>68</v>
      </c>
      <c r="B16" s="124">
        <v>9.8367470930945196</v>
      </c>
      <c r="C16" s="124">
        <v>15.517688360221076</v>
      </c>
      <c r="D16" s="124">
        <v>0.94739961002259843</v>
      </c>
      <c r="E16" s="124">
        <v>3.3914282233469963</v>
      </c>
      <c r="F16" s="124">
        <v>0.36813762519607623</v>
      </c>
      <c r="G16" s="124">
        <v>2.0161640344572729</v>
      </c>
      <c r="H16" s="124">
        <v>10.173422834419581</v>
      </c>
      <c r="I16" s="124">
        <v>10.562096977580389</v>
      </c>
      <c r="J16" s="124">
        <v>11.429737066649338</v>
      </c>
      <c r="P16" s="128"/>
    </row>
    <row r="17" spans="1:16" x14ac:dyDescent="0.2">
      <c r="A17" s="118" t="s">
        <v>74</v>
      </c>
      <c r="B17" s="124">
        <v>7.0208339409071092</v>
      </c>
      <c r="C17" s="124">
        <v>6.6311942927358203</v>
      </c>
      <c r="D17" s="124">
        <v>1.4245111437960609</v>
      </c>
      <c r="E17" s="124">
        <v>5.2877236268007186</v>
      </c>
      <c r="F17" s="124">
        <v>0.52481882606303576</v>
      </c>
      <c r="G17" s="124">
        <v>2.823685403025074</v>
      </c>
      <c r="H17" s="124">
        <v>5.460484091522769</v>
      </c>
      <c r="I17" s="124">
        <v>4.896118795440386</v>
      </c>
      <c r="J17" s="124">
        <v>10.716656517111629</v>
      </c>
      <c r="P17" s="128"/>
    </row>
    <row r="18" spans="1:16" x14ac:dyDescent="0.2">
      <c r="A18" s="118" t="s">
        <v>70</v>
      </c>
      <c r="B18" s="124">
        <v>4.616885179886137</v>
      </c>
      <c r="C18" s="124">
        <v>3.8111378938331288</v>
      </c>
      <c r="D18" s="124">
        <v>1.4398865885432417</v>
      </c>
      <c r="E18" s="124">
        <v>5.3518178850280158</v>
      </c>
      <c r="F18" s="124">
        <v>0.51884788658774117</v>
      </c>
      <c r="G18" s="124">
        <v>2.7760246245760212</v>
      </c>
      <c r="H18" s="124">
        <v>6.7886465720709452</v>
      </c>
      <c r="I18" s="124">
        <v>3.0223549222327852</v>
      </c>
      <c r="J18" s="124">
        <v>10.875287452312152</v>
      </c>
      <c r="P18" s="128"/>
    </row>
    <row r="19" spans="1:16" x14ac:dyDescent="0.2">
      <c r="A19" s="118" t="s">
        <v>71</v>
      </c>
      <c r="B19" s="124">
        <v>3.7615380042740858</v>
      </c>
      <c r="C19" s="124">
        <v>2.2023706110609109</v>
      </c>
      <c r="D19" s="124">
        <v>0.61800442757082064</v>
      </c>
      <c r="E19" s="124">
        <v>3.4562172623835457</v>
      </c>
      <c r="F19" s="124">
        <v>0.20846591898479708</v>
      </c>
      <c r="G19" s="124">
        <v>1.5683753340562152</v>
      </c>
      <c r="H19" s="124">
        <v>0.426174533647592</v>
      </c>
      <c r="I19" s="124">
        <v>1.2572341432502629</v>
      </c>
      <c r="J19" s="124">
        <v>4.3241939125981466</v>
      </c>
      <c r="P19" s="128"/>
    </row>
    <row r="20" spans="1:16" x14ac:dyDescent="0.2">
      <c r="A20" s="118" t="s">
        <v>76</v>
      </c>
      <c r="B20" s="124">
        <v>11.088695272671599</v>
      </c>
      <c r="C20" s="124">
        <v>9.4197332201214952</v>
      </c>
      <c r="D20" s="124">
        <v>2.2155714008560632</v>
      </c>
      <c r="E20" s="124">
        <v>9.7547853727830205</v>
      </c>
      <c r="F20" s="124">
        <v>0.38261815709132635</v>
      </c>
      <c r="G20" s="124">
        <v>4.929601161586362</v>
      </c>
      <c r="H20" s="124">
        <v>2.97427730507916</v>
      </c>
      <c r="I20" s="124">
        <v>1.900805678723237</v>
      </c>
      <c r="J20" s="124">
        <v>8.976809582338614</v>
      </c>
      <c r="P20" s="128"/>
    </row>
    <row r="21" spans="1:16" x14ac:dyDescent="0.2">
      <c r="A21" s="123" t="s">
        <v>151</v>
      </c>
    </row>
    <row r="23" spans="1:16" x14ac:dyDescent="0.2">
      <c r="A23" s="21" t="s">
        <v>168</v>
      </c>
    </row>
    <row r="24" spans="1:16" x14ac:dyDescent="0.2">
      <c r="A24" s="145"/>
      <c r="B24" s="147" t="s">
        <v>26</v>
      </c>
      <c r="C24" s="147"/>
      <c r="D24" s="147" t="s">
        <v>55</v>
      </c>
      <c r="E24" s="147"/>
      <c r="F24" s="147" t="s">
        <v>147</v>
      </c>
      <c r="G24" s="147"/>
      <c r="H24" s="147" t="s">
        <v>57</v>
      </c>
      <c r="I24" s="147"/>
      <c r="J24" s="147" t="s">
        <v>59</v>
      </c>
    </row>
    <row r="25" spans="1:16" x14ac:dyDescent="0.2">
      <c r="A25" s="146"/>
      <c r="B25" s="115" t="s">
        <v>30</v>
      </c>
      <c r="C25" s="115" t="s">
        <v>31</v>
      </c>
      <c r="D25" s="115" t="s">
        <v>28</v>
      </c>
      <c r="E25" s="115" t="s">
        <v>27</v>
      </c>
      <c r="F25" s="115" t="s">
        <v>28</v>
      </c>
      <c r="G25" s="115" t="s">
        <v>27</v>
      </c>
      <c r="H25" s="117" t="s">
        <v>58</v>
      </c>
      <c r="I25" s="117" t="s">
        <v>53</v>
      </c>
      <c r="J25" s="147"/>
    </row>
    <row r="26" spans="1:16" x14ac:dyDescent="0.2">
      <c r="A26" s="118" t="s">
        <v>69</v>
      </c>
      <c r="B26" s="124">
        <v>102.49848713964583</v>
      </c>
      <c r="C26" s="124">
        <v>180.14936381756419</v>
      </c>
      <c r="D26" s="124">
        <v>47.438112852670379</v>
      </c>
      <c r="E26" s="124">
        <v>92.805838394142924</v>
      </c>
      <c r="F26" s="124">
        <v>6.6108393202611593</v>
      </c>
      <c r="G26" s="124">
        <v>20.648580019067953</v>
      </c>
      <c r="H26" s="124">
        <v>124.91519656035115</v>
      </c>
      <c r="I26" s="124">
        <v>58.906010028318455</v>
      </c>
      <c r="J26" s="135">
        <v>64.981456675141942</v>
      </c>
    </row>
    <row r="27" spans="1:16" x14ac:dyDescent="0.2">
      <c r="A27" s="118" t="s">
        <v>72</v>
      </c>
      <c r="B27" s="124">
        <v>49.053603221608476</v>
      </c>
      <c r="C27" s="124">
        <v>121.78247988678659</v>
      </c>
      <c r="D27" s="124">
        <v>28.408493739353041</v>
      </c>
      <c r="E27" s="124">
        <v>56.247028798258221</v>
      </c>
      <c r="F27" s="124">
        <v>3.1671859072686468</v>
      </c>
      <c r="G27" s="124">
        <v>9.3122926890024917</v>
      </c>
      <c r="H27" s="124">
        <v>74.479717658025052</v>
      </c>
      <c r="I27" s="124">
        <v>22.765852988317423</v>
      </c>
      <c r="J27" s="135">
        <v>240.72910063268452</v>
      </c>
    </row>
    <row r="28" spans="1:16" x14ac:dyDescent="0.2">
      <c r="A28" s="118" t="s">
        <v>67</v>
      </c>
      <c r="B28" s="124">
        <v>70.661331445440069</v>
      </c>
      <c r="C28" s="124">
        <v>100.59211735016463</v>
      </c>
      <c r="D28" s="124">
        <v>38.227303736207752</v>
      </c>
      <c r="E28" s="124">
        <v>75.969781105096686</v>
      </c>
      <c r="F28" s="124">
        <v>4.9711943558571852</v>
      </c>
      <c r="G28" s="124">
        <v>14.488306740822402</v>
      </c>
      <c r="H28" s="124">
        <v>52.530521323998478</v>
      </c>
      <c r="I28" s="124">
        <v>10.309128734455992</v>
      </c>
      <c r="J28" s="135">
        <v>32.419486666090719</v>
      </c>
    </row>
    <row r="29" spans="1:16" x14ac:dyDescent="0.2">
      <c r="A29" s="118" t="s">
        <v>65</v>
      </c>
      <c r="B29" s="124">
        <v>62.540243881442457</v>
      </c>
      <c r="C29" s="124">
        <v>81.45477528742515</v>
      </c>
      <c r="D29" s="124">
        <v>15.526430609319808</v>
      </c>
      <c r="E29" s="124">
        <v>30.7257879026441</v>
      </c>
      <c r="F29" s="124">
        <v>2.1222903976446825</v>
      </c>
      <c r="G29" s="124">
        <v>7.0474943532765568</v>
      </c>
      <c r="H29" s="124">
        <v>113.81303310829254</v>
      </c>
      <c r="I29" s="124">
        <v>67.750714068396164</v>
      </c>
      <c r="J29" s="135">
        <v>22.143238705802421</v>
      </c>
    </row>
    <row r="30" spans="1:16" x14ac:dyDescent="0.2">
      <c r="A30" s="118" t="s">
        <v>66</v>
      </c>
      <c r="B30" s="124">
        <v>78.591043259794205</v>
      </c>
      <c r="C30" s="124">
        <v>84.875128207982314</v>
      </c>
      <c r="D30" s="124">
        <v>25.92725000541817</v>
      </c>
      <c r="E30" s="124">
        <v>51.394028684499489</v>
      </c>
      <c r="F30" s="124">
        <v>3.7066767622318002</v>
      </c>
      <c r="G30" s="124">
        <v>10.654218868665263</v>
      </c>
      <c r="H30" s="124">
        <v>48.038349889485268</v>
      </c>
      <c r="I30" s="124">
        <v>13.304525537814991</v>
      </c>
      <c r="J30" s="135">
        <v>27.263395115438605</v>
      </c>
    </row>
    <row r="31" spans="1:16" x14ac:dyDescent="0.2">
      <c r="A31" s="118" t="s">
        <v>73</v>
      </c>
      <c r="B31" s="124">
        <v>23.414282714848714</v>
      </c>
      <c r="C31" s="124">
        <v>28.711880893103743</v>
      </c>
      <c r="D31" s="124">
        <v>15.073616961061235</v>
      </c>
      <c r="E31" s="124">
        <v>29.6100846455107</v>
      </c>
      <c r="F31" s="124">
        <v>1.7107437127610823</v>
      </c>
      <c r="G31" s="124">
        <v>6.1051981126053345</v>
      </c>
      <c r="H31" s="124">
        <v>18.044108856184764</v>
      </c>
      <c r="I31" s="124">
        <v>3.1921710169028028</v>
      </c>
      <c r="J31" s="135">
        <v>43.295706269728946</v>
      </c>
    </row>
    <row r="32" spans="1:16" x14ac:dyDescent="0.2">
      <c r="A32" s="118" t="s">
        <v>75</v>
      </c>
      <c r="B32" s="124">
        <v>41.478303682841663</v>
      </c>
      <c r="C32" s="124">
        <v>54.099216371483649</v>
      </c>
      <c r="D32" s="124">
        <v>26.51319678167582</v>
      </c>
      <c r="E32" s="124">
        <v>52.604226841658303</v>
      </c>
      <c r="F32" s="124">
        <v>2.5616111563018369</v>
      </c>
      <c r="G32" s="124">
        <v>8.1341978760918963</v>
      </c>
      <c r="H32" s="124">
        <v>16.311109956032663</v>
      </c>
      <c r="I32" s="124">
        <v>2.1421469403339306</v>
      </c>
      <c r="J32" s="135">
        <v>11.395126398621358</v>
      </c>
    </row>
    <row r="33" spans="1:10" x14ac:dyDescent="0.2">
      <c r="A33" s="118" t="s">
        <v>68</v>
      </c>
      <c r="B33" s="124">
        <v>26.092732118629666</v>
      </c>
      <c r="C33" s="124">
        <v>59.151835752206331</v>
      </c>
      <c r="D33" s="124">
        <v>6.3734628121690866</v>
      </c>
      <c r="E33" s="124">
        <v>13.478329985547632</v>
      </c>
      <c r="F33" s="124">
        <v>0.61066915216162132</v>
      </c>
      <c r="G33" s="124">
        <v>2.2560437323251574</v>
      </c>
      <c r="H33" s="124">
        <v>35.623020232788697</v>
      </c>
      <c r="I33" s="124">
        <v>18.544277139993042</v>
      </c>
      <c r="J33" s="135">
        <v>18.6535697138256</v>
      </c>
    </row>
    <row r="34" spans="1:10" x14ac:dyDescent="0.2">
      <c r="A34" s="118" t="s">
        <v>74</v>
      </c>
      <c r="B34" s="124">
        <v>22.8690419553438</v>
      </c>
      <c r="C34" s="124">
        <v>29.865228954477132</v>
      </c>
      <c r="D34" s="124">
        <v>11.255348662677571</v>
      </c>
      <c r="E34" s="124">
        <v>22.683406818824565</v>
      </c>
      <c r="F34" s="124">
        <v>1.24056234335386</v>
      </c>
      <c r="G34" s="124">
        <v>4.5174171511280319</v>
      </c>
      <c r="H34" s="124">
        <v>25.226763530051265</v>
      </c>
      <c r="I34" s="124">
        <v>12.725290473070284</v>
      </c>
      <c r="J34" s="135">
        <v>17.295590043062436</v>
      </c>
    </row>
    <row r="35" spans="1:10" x14ac:dyDescent="0.2">
      <c r="A35" s="118" t="s">
        <v>70</v>
      </c>
      <c r="B35" s="124">
        <v>12.761376480559244</v>
      </c>
      <c r="C35" s="124">
        <v>10.721876153466528</v>
      </c>
      <c r="D35" s="124">
        <v>10.199486002606143</v>
      </c>
      <c r="E35" s="124">
        <v>18.561694738148955</v>
      </c>
      <c r="F35" s="124">
        <v>0.9521314501653344</v>
      </c>
      <c r="G35" s="124">
        <v>3.5032369370060077</v>
      </c>
      <c r="H35" s="124">
        <v>23.967756254071602</v>
      </c>
      <c r="I35" s="124">
        <v>6.2496054728962367</v>
      </c>
      <c r="J35" s="135">
        <v>16.297367339532617</v>
      </c>
    </row>
    <row r="36" spans="1:10" x14ac:dyDescent="0.2">
      <c r="A36" s="118" t="s">
        <v>71</v>
      </c>
      <c r="B36" s="124">
        <v>9.8982586459042068</v>
      </c>
      <c r="C36" s="124">
        <v>4.6145410072179809</v>
      </c>
      <c r="D36" s="124">
        <v>5.6122755538528315</v>
      </c>
      <c r="E36" s="124">
        <v>12.386105846565121</v>
      </c>
      <c r="F36" s="124">
        <v>0.49055456667633612</v>
      </c>
      <c r="G36" s="124">
        <v>1.6339267964754558</v>
      </c>
      <c r="H36" s="124">
        <v>0.58784556469488025</v>
      </c>
      <c r="I36" s="124">
        <v>0.25246152665998156</v>
      </c>
      <c r="J36" s="135">
        <v>5.697664337199976</v>
      </c>
    </row>
    <row r="37" spans="1:10" x14ac:dyDescent="0.2">
      <c r="A37" s="118" t="s">
        <v>76</v>
      </c>
      <c r="B37" s="124">
        <v>27.325200421262753</v>
      </c>
      <c r="C37" s="124">
        <v>30.553459572162712</v>
      </c>
      <c r="D37" s="124">
        <v>15.62827864831422</v>
      </c>
      <c r="E37" s="124">
        <v>30.830821202400173</v>
      </c>
      <c r="F37" s="124">
        <v>1.7591471475226934</v>
      </c>
      <c r="G37" s="124">
        <v>5.8776726151209022</v>
      </c>
      <c r="H37" s="124">
        <v>10.345897852442135</v>
      </c>
      <c r="I37" s="124">
        <v>3.0285386101902829</v>
      </c>
      <c r="J37" s="135">
        <v>11.864890769764548</v>
      </c>
    </row>
    <row r="38" spans="1:10" x14ac:dyDescent="0.2">
      <c r="A38" s="123" t="s">
        <v>151</v>
      </c>
    </row>
    <row r="40" spans="1:10" x14ac:dyDescent="0.2">
      <c r="A40" s="21" t="s">
        <v>169</v>
      </c>
    </row>
    <row r="41" spans="1:10" x14ac:dyDescent="0.2">
      <c r="A41" s="145"/>
      <c r="B41" s="147" t="s">
        <v>26</v>
      </c>
      <c r="C41" s="147"/>
      <c r="D41" s="147" t="s">
        <v>55</v>
      </c>
      <c r="E41" s="147"/>
      <c r="F41" s="147" t="s">
        <v>147</v>
      </c>
      <c r="G41" s="147"/>
      <c r="H41" s="147" t="s">
        <v>57</v>
      </c>
      <c r="I41" s="147"/>
      <c r="J41" s="147" t="s">
        <v>59</v>
      </c>
    </row>
    <row r="42" spans="1:10" x14ac:dyDescent="0.2">
      <c r="A42" s="146"/>
      <c r="B42" s="115" t="s">
        <v>30</v>
      </c>
      <c r="C42" s="115" t="s">
        <v>31</v>
      </c>
      <c r="D42" s="115" t="s">
        <v>28</v>
      </c>
      <c r="E42" s="115" t="s">
        <v>27</v>
      </c>
      <c r="F42" s="115" t="s">
        <v>28</v>
      </c>
      <c r="G42" s="115" t="s">
        <v>27</v>
      </c>
      <c r="H42" s="117" t="s">
        <v>58</v>
      </c>
      <c r="I42" s="117" t="s">
        <v>53</v>
      </c>
      <c r="J42" s="147"/>
    </row>
    <row r="43" spans="1:10" x14ac:dyDescent="0.2">
      <c r="A43" s="118" t="s">
        <v>69</v>
      </c>
      <c r="B43" s="125">
        <f t="shared" ref="B43:J43" si="0">(B26/B9)^(1/6)-1</f>
        <v>0.14124455209824349</v>
      </c>
      <c r="C43" s="125">
        <f t="shared" si="0"/>
        <v>0.22649541442676169</v>
      </c>
      <c r="D43" s="125">
        <f t="shared" si="0"/>
        <v>0.33330421536291777</v>
      </c>
      <c r="E43" s="125">
        <f t="shared" si="0"/>
        <v>0.18882022882898508</v>
      </c>
      <c r="F43" s="125">
        <f t="shared" si="0"/>
        <v>0.15269238448081457</v>
      </c>
      <c r="G43" s="125">
        <f t="shared" si="0"/>
        <v>3.3336387522775457E-3</v>
      </c>
      <c r="H43" s="125">
        <f t="shared" si="0"/>
        <v>0.19497121397076445</v>
      </c>
      <c r="I43" s="125">
        <f t="shared" si="0"/>
        <v>5.754406998994166E-2</v>
      </c>
      <c r="J43" s="125">
        <f t="shared" si="0"/>
        <v>4.0910884578179818E-2</v>
      </c>
    </row>
    <row r="44" spans="1:10" x14ac:dyDescent="0.2">
      <c r="A44" s="118" t="s">
        <v>72</v>
      </c>
      <c r="B44" s="125">
        <f t="shared" ref="B44:J44" si="1">(B27/B10)^(1/6)-1</f>
        <v>0.15810574798691057</v>
      </c>
      <c r="C44" s="125">
        <f t="shared" si="1"/>
        <v>0.23309931276303342</v>
      </c>
      <c r="D44" s="125">
        <f t="shared" si="1"/>
        <v>0.34844678220467817</v>
      </c>
      <c r="E44" s="125">
        <f t="shared" si="1"/>
        <v>0.20617279991325366</v>
      </c>
      <c r="F44" s="125">
        <f t="shared" si="1"/>
        <v>0.17256620937538414</v>
      </c>
      <c r="G44" s="125">
        <f t="shared" si="1"/>
        <v>1.6290353185284046E-2</v>
      </c>
      <c r="H44" s="125">
        <f t="shared" si="1"/>
        <v>0.21011695462086766</v>
      </c>
      <c r="I44" s="125">
        <f t="shared" si="1"/>
        <v>7.3289837826969961E-2</v>
      </c>
      <c r="J44" s="125">
        <f t="shared" si="1"/>
        <v>0.37755075910144931</v>
      </c>
    </row>
    <row r="45" spans="1:10" x14ac:dyDescent="0.2">
      <c r="A45" s="118" t="s">
        <v>67</v>
      </c>
      <c r="B45" s="125">
        <f t="shared" ref="B45:J45" si="2">(B28/B11)^(1/6)-1</f>
        <v>0.16901460283243352</v>
      </c>
      <c r="C45" s="125">
        <f t="shared" si="2"/>
        <v>0.2437134473209952</v>
      </c>
      <c r="D45" s="125">
        <f t="shared" si="2"/>
        <v>0.36119611376628824</v>
      </c>
      <c r="E45" s="125">
        <f t="shared" si="2"/>
        <v>0.21763075610740401</v>
      </c>
      <c r="F45" s="125">
        <f t="shared" si="2"/>
        <v>0.18906690176720575</v>
      </c>
      <c r="G45" s="125">
        <f t="shared" si="2"/>
        <v>2.5610295705118524E-2</v>
      </c>
      <c r="H45" s="125">
        <f t="shared" si="2"/>
        <v>0.22315210581862566</v>
      </c>
      <c r="I45" s="125">
        <f t="shared" si="2"/>
        <v>8.4975033424274704E-2</v>
      </c>
      <c r="J45" s="125">
        <f t="shared" si="2"/>
        <v>5.9938987244625652E-2</v>
      </c>
    </row>
    <row r="46" spans="1:10" x14ac:dyDescent="0.2">
      <c r="A46" s="118" t="s">
        <v>65</v>
      </c>
      <c r="B46" s="125">
        <f t="shared" ref="B46:J46" si="3">(B29/B12)^(1/6)-1</f>
        <v>0.20393639980490885</v>
      </c>
      <c r="C46" s="125">
        <f t="shared" si="3"/>
        <v>0.27918344919974269</v>
      </c>
      <c r="D46" s="125">
        <f t="shared" si="3"/>
        <v>0.39467117136097585</v>
      </c>
      <c r="E46" s="125">
        <f t="shared" si="3"/>
        <v>0.25246794558094932</v>
      </c>
      <c r="F46" s="125">
        <f t="shared" si="3"/>
        <v>0.19546665598948354</v>
      </c>
      <c r="G46" s="125">
        <f t="shared" si="3"/>
        <v>6.6370803930323685E-2</v>
      </c>
      <c r="H46" s="125">
        <f t="shared" si="3"/>
        <v>0.26219693142590805</v>
      </c>
      <c r="I46" s="125">
        <f t="shared" si="3"/>
        <v>0.11787256084568365</v>
      </c>
      <c r="J46" s="125">
        <f t="shared" si="3"/>
        <v>5.3493872420099953E-2</v>
      </c>
    </row>
    <row r="47" spans="1:10" x14ac:dyDescent="0.2">
      <c r="A47" s="118" t="s">
        <v>66</v>
      </c>
      <c r="B47" s="125">
        <f t="shared" ref="B47:J47" si="4">(B30/B13)^(1/6)-1</f>
        <v>0.19237366402939848</v>
      </c>
      <c r="C47" s="125">
        <f t="shared" si="4"/>
        <v>0.26804584485719052</v>
      </c>
      <c r="D47" s="125">
        <f t="shared" si="4"/>
        <v>0.38622319842445108</v>
      </c>
      <c r="E47" s="125">
        <f t="shared" si="4"/>
        <v>0.24128225048177976</v>
      </c>
      <c r="F47" s="125">
        <f t="shared" si="4"/>
        <v>0.20791061741439898</v>
      </c>
      <c r="G47" s="125">
        <f t="shared" si="4"/>
        <v>4.4301753470842753E-2</v>
      </c>
      <c r="H47" s="125">
        <f t="shared" si="4"/>
        <v>0.2489670659788652</v>
      </c>
      <c r="I47" s="125">
        <f t="shared" si="4"/>
        <v>0.1237374767337629</v>
      </c>
      <c r="J47" s="125">
        <f t="shared" si="4"/>
        <v>8.1204640558050212E-2</v>
      </c>
    </row>
    <row r="48" spans="1:10" x14ac:dyDescent="0.2">
      <c r="A48" s="118" t="s">
        <v>73</v>
      </c>
      <c r="B48" s="125">
        <f t="shared" ref="B48:J48" si="5">(B31/B14)^(1/6)-1</f>
        <v>0.1197792597147771</v>
      </c>
      <c r="C48" s="125">
        <f t="shared" si="5"/>
        <v>0.16333648533586542</v>
      </c>
      <c r="D48" s="125">
        <f t="shared" si="5"/>
        <v>0.30527799689052593</v>
      </c>
      <c r="E48" s="125">
        <f t="shared" si="5"/>
        <v>0.16799062022206557</v>
      </c>
      <c r="F48" s="125">
        <f t="shared" si="5"/>
        <v>0.10791004952593997</v>
      </c>
      <c r="G48" s="125">
        <f t="shared" si="5"/>
        <v>-1.841561334660069E-3</v>
      </c>
      <c r="H48" s="125">
        <f t="shared" si="5"/>
        <v>0.15238254902447945</v>
      </c>
      <c r="I48" s="125">
        <f t="shared" si="5"/>
        <v>-2.5770459166207793E-2</v>
      </c>
      <c r="J48" s="125">
        <f t="shared" si="5"/>
        <v>4.2525354120830361E-2</v>
      </c>
    </row>
    <row r="49" spans="1:10" x14ac:dyDescent="0.2">
      <c r="A49" s="118" t="s">
        <v>75</v>
      </c>
      <c r="B49" s="125">
        <f t="shared" ref="B49:J49" si="6">(B32/B15)^(1/6)-1</f>
        <v>0.15245151594444994</v>
      </c>
      <c r="C49" s="125">
        <f t="shared" si="6"/>
        <v>0.21782519238723297</v>
      </c>
      <c r="D49" s="125">
        <f t="shared" si="6"/>
        <v>0.35917544420713643</v>
      </c>
      <c r="E49" s="125">
        <f t="shared" si="6"/>
        <v>0.20041642482721733</v>
      </c>
      <c r="F49" s="125">
        <f t="shared" si="6"/>
        <v>0.23298485354325948</v>
      </c>
      <c r="G49" s="125">
        <f t="shared" si="6"/>
        <v>1.0535021815432977E-2</v>
      </c>
      <c r="H49" s="125">
        <f t="shared" si="6"/>
        <v>0.20751400451679691</v>
      </c>
      <c r="I49" s="125">
        <f t="shared" si="6"/>
        <v>7.1925691627816146E-2</v>
      </c>
      <c r="J49" s="125">
        <f t="shared" si="6"/>
        <v>4.1901243116923004E-2</v>
      </c>
    </row>
    <row r="50" spans="1:10" x14ac:dyDescent="0.2">
      <c r="A50" s="118" t="s">
        <v>68</v>
      </c>
      <c r="B50" s="125">
        <f t="shared" ref="B50:J50" si="7">(B33/B16)^(1/6)-1</f>
        <v>0.17655258309951671</v>
      </c>
      <c r="C50" s="125">
        <f t="shared" si="7"/>
        <v>0.24984704265045887</v>
      </c>
      <c r="D50" s="125">
        <f t="shared" si="7"/>
        <v>0.37395879705688806</v>
      </c>
      <c r="E50" s="125">
        <f t="shared" si="7"/>
        <v>0.25856478472667699</v>
      </c>
      <c r="F50" s="125">
        <f t="shared" si="7"/>
        <v>8.8009354360023551E-2</v>
      </c>
      <c r="G50" s="125">
        <f t="shared" si="7"/>
        <v>1.8912621049464784E-2</v>
      </c>
      <c r="H50" s="125">
        <f t="shared" si="7"/>
        <v>0.23228342516998746</v>
      </c>
      <c r="I50" s="125">
        <f t="shared" si="7"/>
        <v>9.835642050168647E-2</v>
      </c>
      <c r="J50" s="125">
        <f t="shared" si="7"/>
        <v>8.5061329122631424E-2</v>
      </c>
    </row>
    <row r="51" spans="1:10" x14ac:dyDescent="0.2">
      <c r="A51" s="118" t="s">
        <v>74</v>
      </c>
      <c r="B51" s="125">
        <f t="shared" ref="B51:J51" si="8">(B34/B17)^(1/6)-1</f>
        <v>0.21752123631458109</v>
      </c>
      <c r="C51" s="125">
        <f t="shared" si="8"/>
        <v>0.28507660108160171</v>
      </c>
      <c r="D51" s="125">
        <f t="shared" si="8"/>
        <v>0.41128757163975971</v>
      </c>
      <c r="E51" s="125">
        <f t="shared" si="8"/>
        <v>0.27469590019870349</v>
      </c>
      <c r="F51" s="125">
        <f t="shared" si="8"/>
        <v>0.15416579173373246</v>
      </c>
      <c r="G51" s="125">
        <f t="shared" si="8"/>
        <v>8.1464616256490707E-2</v>
      </c>
      <c r="H51" s="125">
        <f t="shared" si="8"/>
        <v>0.29054077774563081</v>
      </c>
      <c r="I51" s="125">
        <f t="shared" si="8"/>
        <v>0.17256238890283182</v>
      </c>
      <c r="J51" s="125">
        <f t="shared" si="8"/>
        <v>8.3043778480463404E-2</v>
      </c>
    </row>
    <row r="52" spans="1:10" x14ac:dyDescent="0.2">
      <c r="A52" s="118" t="s">
        <v>70</v>
      </c>
      <c r="B52" s="125">
        <f t="shared" ref="B52:J52" si="9">(B35/B18)^(1/6)-1</f>
        <v>0.18465368005382166</v>
      </c>
      <c r="C52" s="125">
        <f t="shared" si="9"/>
        <v>0.18814475169964973</v>
      </c>
      <c r="D52" s="125">
        <f t="shared" si="9"/>
        <v>0.38582481373843014</v>
      </c>
      <c r="E52" s="125">
        <f t="shared" si="9"/>
        <v>0.23032368088284461</v>
      </c>
      <c r="F52" s="125">
        <f t="shared" si="9"/>
        <v>0.10647806741964194</v>
      </c>
      <c r="G52" s="125">
        <f t="shared" si="9"/>
        <v>3.9539587896203043E-2</v>
      </c>
      <c r="H52" s="125">
        <f t="shared" si="9"/>
        <v>0.2339778477780099</v>
      </c>
      <c r="I52" s="125">
        <f t="shared" si="9"/>
        <v>0.12871558866782951</v>
      </c>
      <c r="J52" s="125">
        <f t="shared" si="9"/>
        <v>6.9742995825055942E-2</v>
      </c>
    </row>
    <row r="53" spans="1:10" x14ac:dyDescent="0.2">
      <c r="A53" s="118" t="s">
        <v>71</v>
      </c>
      <c r="B53" s="125">
        <f t="shared" ref="B53:J53" si="10">(B36/B19)^(1/6)-1</f>
        <v>0.17498473377132417</v>
      </c>
      <c r="C53" s="125">
        <f t="shared" si="10"/>
        <v>0.13120075010232024</v>
      </c>
      <c r="D53" s="125">
        <f t="shared" si="10"/>
        <v>0.44441248364997432</v>
      </c>
      <c r="E53" s="125">
        <f t="shared" si="10"/>
        <v>0.23705485669053128</v>
      </c>
      <c r="F53" s="125">
        <f t="shared" si="10"/>
        <v>0.15329933888909242</v>
      </c>
      <c r="G53" s="125">
        <f t="shared" si="10"/>
        <v>6.8476605345795249E-3</v>
      </c>
      <c r="H53" s="125">
        <f t="shared" si="10"/>
        <v>5.5065183605148116E-2</v>
      </c>
      <c r="I53" s="125">
        <f t="shared" si="10"/>
        <v>-0.2347620383517065</v>
      </c>
      <c r="J53" s="125">
        <f t="shared" si="10"/>
        <v>4.7044845664207635E-2</v>
      </c>
    </row>
    <row r="54" spans="1:10" x14ac:dyDescent="0.2">
      <c r="A54" s="118" t="s">
        <v>76</v>
      </c>
      <c r="B54" s="125">
        <f t="shared" ref="B54:J54" si="11">(B37/B20)^(1/6)-1</f>
        <v>0.16219896551761392</v>
      </c>
      <c r="C54" s="125">
        <f t="shared" si="11"/>
        <v>0.21666299254044707</v>
      </c>
      <c r="D54" s="125">
        <f t="shared" si="11"/>
        <v>0.38485477426476855</v>
      </c>
      <c r="E54" s="125">
        <f t="shared" si="11"/>
        <v>0.21141950623249284</v>
      </c>
      <c r="F54" s="125">
        <f t="shared" si="11"/>
        <v>0.28950421329512732</v>
      </c>
      <c r="G54" s="125">
        <f t="shared" si="11"/>
        <v>2.9751108578143892E-2</v>
      </c>
      <c r="H54" s="125">
        <f t="shared" si="11"/>
        <v>0.23092366566646372</v>
      </c>
      <c r="I54" s="125">
        <f t="shared" si="11"/>
        <v>8.0726744525243754E-2</v>
      </c>
      <c r="J54" s="125">
        <f t="shared" si="11"/>
        <v>4.7587453847260264E-2</v>
      </c>
    </row>
    <row r="55" spans="1:10" x14ac:dyDescent="0.2">
      <c r="A55" s="123" t="s">
        <v>151</v>
      </c>
    </row>
    <row r="57" spans="1:10" s="97" customFormat="1" x14ac:dyDescent="0.2">
      <c r="A57" s="116" t="s">
        <v>117</v>
      </c>
      <c r="B57" s="98"/>
    </row>
    <row r="58" spans="1:10" s="121" customFormat="1" x14ac:dyDescent="0.2">
      <c r="A58" s="119"/>
      <c r="B58" s="120"/>
    </row>
    <row r="59" spans="1:10" s="121" customFormat="1" x14ac:dyDescent="0.2">
      <c r="A59" s="122" t="s">
        <v>152</v>
      </c>
      <c r="B59" s="120"/>
    </row>
    <row r="60" spans="1:10" x14ac:dyDescent="0.2">
      <c r="A60" s="145"/>
      <c r="B60" s="147" t="s">
        <v>26</v>
      </c>
      <c r="C60" s="147"/>
      <c r="D60" s="147" t="s">
        <v>55</v>
      </c>
      <c r="E60" s="147"/>
      <c r="F60" s="147" t="s">
        <v>147</v>
      </c>
      <c r="G60" s="147"/>
      <c r="H60" s="147" t="s">
        <v>57</v>
      </c>
      <c r="I60" s="147"/>
      <c r="J60" s="147" t="s">
        <v>59</v>
      </c>
    </row>
    <row r="61" spans="1:10" x14ac:dyDescent="0.2">
      <c r="A61" s="146"/>
      <c r="B61" s="115" t="s">
        <v>30</v>
      </c>
      <c r="C61" s="115" t="s">
        <v>31</v>
      </c>
      <c r="D61" s="115" t="s">
        <v>28</v>
      </c>
      <c r="E61" s="115" t="s">
        <v>27</v>
      </c>
      <c r="F61" s="115" t="s">
        <v>28</v>
      </c>
      <c r="G61" s="115" t="s">
        <v>27</v>
      </c>
      <c r="H61" s="117" t="s">
        <v>58</v>
      </c>
      <c r="I61" s="117" t="s">
        <v>53</v>
      </c>
      <c r="J61" s="147"/>
    </row>
    <row r="62" spans="1:10" x14ac:dyDescent="0.2">
      <c r="A62" s="118" t="s">
        <v>69</v>
      </c>
      <c r="B62" s="124">
        <v>57.681477672266659</v>
      </c>
      <c r="C62" s="124">
        <v>53.942286436999424</v>
      </c>
      <c r="D62" s="124">
        <v>5.9593132530143924</v>
      </c>
      <c r="E62" s="124">
        <v>26.727457053355263</v>
      </c>
      <c r="F62" s="124">
        <v>3.0245378415723514</v>
      </c>
      <c r="G62" s="124">
        <v>27.991122620253968</v>
      </c>
      <c r="H62" s="124">
        <v>43.148220223184765</v>
      </c>
      <c r="I62" s="124">
        <v>30.6279365195849</v>
      </c>
      <c r="J62" s="124">
        <v>58.169433802944461</v>
      </c>
    </row>
    <row r="63" spans="1:10" x14ac:dyDescent="0.2">
      <c r="A63" s="118" t="s">
        <v>67</v>
      </c>
      <c r="B63" s="124">
        <v>58.410752250733971</v>
      </c>
      <c r="C63" s="124">
        <v>47.93113301661942</v>
      </c>
      <c r="D63" s="124">
        <v>7.2759044766883658</v>
      </c>
      <c r="E63" s="124">
        <v>32.31043197657273</v>
      </c>
      <c r="F63" s="124">
        <v>3.4039429618354839</v>
      </c>
      <c r="G63" s="124">
        <v>29.278465475768556</v>
      </c>
      <c r="H63" s="124">
        <v>28.031603059517824</v>
      </c>
      <c r="I63" s="124">
        <v>11.000271324673422</v>
      </c>
      <c r="J63" s="124">
        <v>31.948248014375729</v>
      </c>
    </row>
    <row r="64" spans="1:10" x14ac:dyDescent="0.2">
      <c r="A64" s="118" t="s">
        <v>72</v>
      </c>
      <c r="B64" s="124">
        <v>28.732235420968216</v>
      </c>
      <c r="C64" s="124">
        <v>40.922083607965696</v>
      </c>
      <c r="D64" s="124">
        <v>3.7215384299082483</v>
      </c>
      <c r="E64" s="124">
        <v>16.68560113447792</v>
      </c>
      <c r="F64" s="124">
        <v>1.7509476530953572</v>
      </c>
      <c r="G64" s="124">
        <v>12.967182542577657</v>
      </c>
      <c r="H64" s="124">
        <v>27.981647735371691</v>
      </c>
      <c r="I64" s="124">
        <v>13.989399454837404</v>
      </c>
      <c r="J64" s="124">
        <v>42.045475896450462</v>
      </c>
    </row>
    <row r="65" spans="1:10" x14ac:dyDescent="0.2">
      <c r="A65" s="118" t="s">
        <v>75</v>
      </c>
      <c r="B65" s="124">
        <v>42.151470279104267</v>
      </c>
      <c r="C65" s="124">
        <v>33.640997992103124</v>
      </c>
      <c r="D65" s="124">
        <v>6.3150141345356321</v>
      </c>
      <c r="E65" s="124">
        <v>27.714338962845019</v>
      </c>
      <c r="F65" s="124">
        <v>2.8621567000027262</v>
      </c>
      <c r="G65" s="124">
        <v>20.900199758299749</v>
      </c>
      <c r="H65" s="124">
        <v>12.300267691536327</v>
      </c>
      <c r="I65" s="124">
        <v>0.40365916160255538</v>
      </c>
      <c r="J65" s="124">
        <v>11.949168923348953</v>
      </c>
    </row>
    <row r="66" spans="1:10" x14ac:dyDescent="0.2">
      <c r="A66" s="118" t="s">
        <v>66</v>
      </c>
      <c r="B66" s="124">
        <v>40.111787429268546</v>
      </c>
      <c r="C66" s="124">
        <v>24.613844129604193</v>
      </c>
      <c r="D66" s="124">
        <v>2.9561224721138881</v>
      </c>
      <c r="E66" s="124">
        <v>12.939869293544268</v>
      </c>
      <c r="F66" s="124">
        <v>1.484642484571131</v>
      </c>
      <c r="G66" s="124">
        <v>12.97213639086179</v>
      </c>
      <c r="H66" s="124">
        <v>15.637962080386924</v>
      </c>
      <c r="I66" s="124">
        <v>7.5259647231809135</v>
      </c>
      <c r="J66" s="124">
        <v>22.303166570558499</v>
      </c>
    </row>
    <row r="67" spans="1:10" x14ac:dyDescent="0.2">
      <c r="A67" s="118" t="s">
        <v>65</v>
      </c>
      <c r="B67" s="124">
        <v>21.57820279038496</v>
      </c>
      <c r="C67" s="124">
        <v>15.831221952217598</v>
      </c>
      <c r="D67" s="124">
        <v>1.2116172562523373</v>
      </c>
      <c r="E67" s="124">
        <v>4.9039660762293096</v>
      </c>
      <c r="F67" s="124">
        <v>5.5398149848572831E-2</v>
      </c>
      <c r="G67" s="124">
        <v>5.1877163876119026</v>
      </c>
      <c r="H67" s="124">
        <v>24.176776927017496</v>
      </c>
      <c r="I67" s="124">
        <v>21.69922241859868</v>
      </c>
      <c r="J67" s="124">
        <v>13.678943974249469</v>
      </c>
    </row>
    <row r="68" spans="1:10" x14ac:dyDescent="0.2">
      <c r="A68" s="118" t="s">
        <v>73</v>
      </c>
      <c r="B68" s="124">
        <v>8.0296668491077874</v>
      </c>
      <c r="C68" s="124">
        <v>5.8102275395972205</v>
      </c>
      <c r="D68" s="124">
        <v>1.0315670446027794</v>
      </c>
      <c r="E68" s="124">
        <v>4.6125659077106835</v>
      </c>
      <c r="F68" s="124">
        <v>0.95705338279134389</v>
      </c>
      <c r="G68" s="124">
        <v>4.1229925479004406</v>
      </c>
      <c r="H68" s="124">
        <v>4.0984943283842101</v>
      </c>
      <c r="I68" s="124">
        <v>2.0145694901067963</v>
      </c>
      <c r="J68" s="124">
        <v>36.631153054708982</v>
      </c>
    </row>
    <row r="69" spans="1:10" x14ac:dyDescent="0.2">
      <c r="A69" s="118" t="s">
        <v>70</v>
      </c>
      <c r="B69" s="124">
        <v>8.0399000326986343</v>
      </c>
      <c r="C69" s="124">
        <v>6.3176961665106681</v>
      </c>
      <c r="D69" s="124">
        <v>1.4455669717906388</v>
      </c>
      <c r="E69" s="124">
        <v>5.9545835690199054</v>
      </c>
      <c r="F69" s="124">
        <v>0.389936977872195</v>
      </c>
      <c r="G69" s="124">
        <v>5.5326417975237465</v>
      </c>
      <c r="H69" s="124">
        <v>12.643398806412709</v>
      </c>
      <c r="I69" s="124">
        <v>6.9081722751741612</v>
      </c>
      <c r="J69" s="124">
        <v>14.706386857915755</v>
      </c>
    </row>
    <row r="70" spans="1:10" x14ac:dyDescent="0.2">
      <c r="A70" s="118" t="s">
        <v>68</v>
      </c>
      <c r="B70" s="124">
        <v>9.889002796382659</v>
      </c>
      <c r="C70" s="124">
        <v>12.72816051884951</v>
      </c>
      <c r="D70" s="124">
        <v>0.12542914732447527</v>
      </c>
      <c r="E70" s="124">
        <v>1.6800050469212735</v>
      </c>
      <c r="F70" s="124">
        <v>4.8962308047236129E-3</v>
      </c>
      <c r="G70" s="124">
        <v>1.7288732849866513</v>
      </c>
      <c r="H70" s="124">
        <v>8.6775611295847241</v>
      </c>
      <c r="I70" s="124">
        <v>7.4372246983555694</v>
      </c>
      <c r="J70" s="124">
        <v>13.024010870975475</v>
      </c>
    </row>
    <row r="71" spans="1:10" x14ac:dyDescent="0.2">
      <c r="A71" s="118" t="s">
        <v>71</v>
      </c>
      <c r="B71" s="124">
        <v>9.8378709358005025</v>
      </c>
      <c r="C71" s="124">
        <v>6.2442477488869343</v>
      </c>
      <c r="D71" s="124">
        <v>1.4846176429635982</v>
      </c>
      <c r="E71" s="124">
        <v>5.7648855321054757</v>
      </c>
      <c r="F71" s="124">
        <v>8.7854902056370435E-2</v>
      </c>
      <c r="G71" s="124">
        <v>5.2825276141956197</v>
      </c>
      <c r="H71" s="124">
        <v>3.7983318948607168</v>
      </c>
      <c r="I71" s="124">
        <v>0.74519367407949078</v>
      </c>
      <c r="J71" s="124">
        <v>6.7156110059544485</v>
      </c>
    </row>
    <row r="72" spans="1:10" x14ac:dyDescent="0.2">
      <c r="A72" s="118" t="s">
        <v>74</v>
      </c>
      <c r="B72" s="124">
        <v>4.998705942817657</v>
      </c>
      <c r="C72" s="124">
        <v>3.6272215042398099</v>
      </c>
      <c r="D72" s="124">
        <v>0.37359708130518632</v>
      </c>
      <c r="E72" s="124">
        <v>1.9407592997577592</v>
      </c>
      <c r="F72" s="124">
        <v>6.5631163250749972E-3</v>
      </c>
      <c r="G72" s="124">
        <v>1.8630823192537933</v>
      </c>
      <c r="H72" s="124">
        <v>3.1639881913183481</v>
      </c>
      <c r="I72" s="124">
        <v>2.3063987794188949</v>
      </c>
      <c r="J72" s="124">
        <v>11.185284092307548</v>
      </c>
    </row>
    <row r="73" spans="1:10" x14ac:dyDescent="0.2">
      <c r="A73" s="118" t="s">
        <v>76</v>
      </c>
      <c r="B73" s="124">
        <v>17.837298170396767</v>
      </c>
      <c r="C73" s="124">
        <v>12.848720883928005</v>
      </c>
      <c r="D73" s="124">
        <v>2.1709467171244192</v>
      </c>
      <c r="E73" s="124">
        <v>9.9799735110487546</v>
      </c>
      <c r="F73" s="124">
        <v>1.3396239973271533</v>
      </c>
      <c r="G73" s="124">
        <v>8.9980967167396102</v>
      </c>
      <c r="H73" s="124">
        <v>5.1198769432418656</v>
      </c>
      <c r="I73" s="124">
        <v>0.90775427853010371</v>
      </c>
      <c r="J73" s="124">
        <v>11.221996421199581</v>
      </c>
    </row>
    <row r="74" spans="1:10" x14ac:dyDescent="0.2">
      <c r="A74" s="123" t="s">
        <v>151</v>
      </c>
    </row>
    <row r="76" spans="1:10" x14ac:dyDescent="0.2">
      <c r="A76" s="21" t="s">
        <v>153</v>
      </c>
    </row>
    <row r="77" spans="1:10" x14ac:dyDescent="0.2">
      <c r="A77" s="145"/>
      <c r="B77" s="147" t="s">
        <v>26</v>
      </c>
      <c r="C77" s="147"/>
      <c r="D77" s="147" t="s">
        <v>55</v>
      </c>
      <c r="E77" s="147"/>
      <c r="F77" s="147" t="s">
        <v>147</v>
      </c>
      <c r="G77" s="147"/>
      <c r="H77" s="147" t="s">
        <v>57</v>
      </c>
      <c r="I77" s="147"/>
      <c r="J77" s="147" t="s">
        <v>59</v>
      </c>
    </row>
    <row r="78" spans="1:10" x14ac:dyDescent="0.2">
      <c r="A78" s="146"/>
      <c r="B78" s="115" t="s">
        <v>30</v>
      </c>
      <c r="C78" s="115" t="s">
        <v>31</v>
      </c>
      <c r="D78" s="115" t="s">
        <v>28</v>
      </c>
      <c r="E78" s="115" t="s">
        <v>27</v>
      </c>
      <c r="F78" s="115" t="s">
        <v>28</v>
      </c>
      <c r="G78" s="115" t="s">
        <v>27</v>
      </c>
      <c r="H78" s="117" t="s">
        <v>58</v>
      </c>
      <c r="I78" s="117" t="s">
        <v>53</v>
      </c>
      <c r="J78" s="147"/>
    </row>
    <row r="79" spans="1:10" x14ac:dyDescent="0.2">
      <c r="A79" s="118" t="s">
        <v>69</v>
      </c>
      <c r="B79" s="124">
        <v>136.51775147904115</v>
      </c>
      <c r="C79" s="124">
        <v>175.27690886503979</v>
      </c>
      <c r="D79" s="124">
        <v>20.80808356055848</v>
      </c>
      <c r="E79" s="124">
        <v>103.13320822095802</v>
      </c>
      <c r="F79" s="124">
        <v>6.4754717462683464</v>
      </c>
      <c r="G79" s="124">
        <v>50.058315671593405</v>
      </c>
      <c r="H79" s="124">
        <v>134.56624964864739</v>
      </c>
      <c r="I79" s="124">
        <v>42.871175134589691</v>
      </c>
      <c r="J79" s="135">
        <v>74.885588372815121</v>
      </c>
    </row>
    <row r="80" spans="1:10" x14ac:dyDescent="0.2">
      <c r="A80" s="118" t="s">
        <v>67</v>
      </c>
      <c r="B80" s="124">
        <v>128.93465336276344</v>
      </c>
      <c r="C80" s="124">
        <v>144.3000330343051</v>
      </c>
      <c r="D80" s="124">
        <v>23.263981175465229</v>
      </c>
      <c r="E80" s="124">
        <v>116.06582369081536</v>
      </c>
      <c r="F80" s="124">
        <v>6.2128704719655818</v>
      </c>
      <c r="G80" s="124">
        <v>48.882698933259036</v>
      </c>
      <c r="H80" s="124">
        <v>81.320709949783392</v>
      </c>
      <c r="I80" s="124">
        <v>13.522253047335708</v>
      </c>
      <c r="J80" s="135">
        <v>41.648814474439142</v>
      </c>
    </row>
    <row r="81" spans="1:10" x14ac:dyDescent="0.2">
      <c r="A81" s="118" t="s">
        <v>72</v>
      </c>
      <c r="B81" s="124">
        <v>54.171149685905469</v>
      </c>
      <c r="C81" s="124">
        <v>101.40953428228882</v>
      </c>
      <c r="D81" s="124">
        <v>10.041572379074616</v>
      </c>
      <c r="E81" s="124">
        <v>51.188226152934192</v>
      </c>
      <c r="F81" s="124">
        <v>2.7151289046680893</v>
      </c>
      <c r="G81" s="124">
        <v>18.717231843327863</v>
      </c>
      <c r="H81" s="124">
        <v>67.50192640764952</v>
      </c>
      <c r="I81" s="124">
        <v>14.369695406482826</v>
      </c>
      <c r="J81" s="135">
        <v>193.63444821696436</v>
      </c>
    </row>
    <row r="82" spans="1:10" x14ac:dyDescent="0.2">
      <c r="A82" s="118" t="s">
        <v>75</v>
      </c>
      <c r="B82" s="124">
        <v>79.234612180003424</v>
      </c>
      <c r="C82" s="124">
        <v>83.361161477588979</v>
      </c>
      <c r="D82" s="124">
        <v>16.961534757110229</v>
      </c>
      <c r="E82" s="124">
        <v>84.172242405104853</v>
      </c>
      <c r="F82" s="124">
        <v>3.8666941968341102</v>
      </c>
      <c r="G82" s="124">
        <v>29.647890795307394</v>
      </c>
      <c r="H82" s="124">
        <v>29.491052324515614</v>
      </c>
      <c r="I82" s="124">
        <v>0.32865508209488248</v>
      </c>
      <c r="J82" s="135">
        <v>12.898396885531225</v>
      </c>
    </row>
    <row r="83" spans="1:10" x14ac:dyDescent="0.2">
      <c r="A83" s="118" t="s">
        <v>66</v>
      </c>
      <c r="B83" s="124">
        <v>81.368052942191255</v>
      </c>
      <c r="C83" s="124">
        <v>65.277327230181399</v>
      </c>
      <c r="D83" s="124">
        <v>9.390583782609264</v>
      </c>
      <c r="E83" s="124">
        <v>43.414697465991722</v>
      </c>
      <c r="F83" s="124">
        <v>2.7480423525908306</v>
      </c>
      <c r="G83" s="124">
        <v>19.814450168283479</v>
      </c>
      <c r="H83" s="124">
        <v>41.179411715339064</v>
      </c>
      <c r="I83" s="124">
        <v>8.2562390843183735</v>
      </c>
      <c r="J83" s="135">
        <v>31.793568180858575</v>
      </c>
    </row>
    <row r="84" spans="1:10" x14ac:dyDescent="0.2">
      <c r="A84" s="118" t="s">
        <v>65</v>
      </c>
      <c r="B84" s="124">
        <v>57.327763629486647</v>
      </c>
      <c r="C84" s="124">
        <v>54.735509411224015</v>
      </c>
      <c r="D84" s="124">
        <v>4.1480583350276339</v>
      </c>
      <c r="E84" s="124">
        <v>22.415938412938704</v>
      </c>
      <c r="F84" s="124">
        <v>5.9842625025056786E-2</v>
      </c>
      <c r="G84" s="124">
        <v>10.900511023627743</v>
      </c>
      <c r="H84" s="124">
        <v>83.824323030028324</v>
      </c>
      <c r="I84" s="124">
        <v>33.897350539127842</v>
      </c>
      <c r="J84" s="135">
        <v>21.339216063571936</v>
      </c>
    </row>
    <row r="85" spans="1:10" x14ac:dyDescent="0.2">
      <c r="A85" s="118" t="s">
        <v>73</v>
      </c>
      <c r="B85" s="124">
        <v>25.038827758964395</v>
      </c>
      <c r="C85" s="124">
        <v>22.227250408526611</v>
      </c>
      <c r="D85" s="124">
        <v>3.7321281276578087</v>
      </c>
      <c r="E85" s="124">
        <v>24.939600723944938</v>
      </c>
      <c r="F85" s="124">
        <v>1.8984948595681745</v>
      </c>
      <c r="G85" s="124">
        <v>10.367183920529083</v>
      </c>
      <c r="H85" s="124">
        <v>16.99209480110051</v>
      </c>
      <c r="I85" s="124">
        <v>3.1455596940306765</v>
      </c>
      <c r="J85" s="135">
        <v>51.116667717862299</v>
      </c>
    </row>
    <row r="86" spans="1:10" x14ac:dyDescent="0.2">
      <c r="A86" s="118" t="s">
        <v>70</v>
      </c>
      <c r="B86" s="124">
        <v>19.906143071181329</v>
      </c>
      <c r="C86" s="124">
        <v>16.641017295222756</v>
      </c>
      <c r="D86" s="124">
        <v>5.1413667266405838</v>
      </c>
      <c r="E86" s="124">
        <v>24.710128542386297</v>
      </c>
      <c r="F86" s="124">
        <v>0.57346482174880631</v>
      </c>
      <c r="G86" s="124">
        <v>9.8324147494044727</v>
      </c>
      <c r="H86" s="124">
        <v>38.664372060532884</v>
      </c>
      <c r="I86" s="124">
        <v>8.9615555224583137</v>
      </c>
      <c r="J86" s="135">
        <v>19.930656761416703</v>
      </c>
    </row>
    <row r="87" spans="1:10" x14ac:dyDescent="0.2">
      <c r="A87" s="118" t="s">
        <v>68</v>
      </c>
      <c r="B87" s="124">
        <v>29.800824688752105</v>
      </c>
      <c r="C87" s="124">
        <v>49.617201619920905</v>
      </c>
      <c r="D87" s="124">
        <v>0.16718926125196326</v>
      </c>
      <c r="E87" s="124">
        <v>9.2475250670973104</v>
      </c>
      <c r="F87" s="124">
        <v>4.9379259475197373E-3</v>
      </c>
      <c r="G87" s="124">
        <v>5.2192776785087371</v>
      </c>
      <c r="H87" s="124">
        <v>34.076062822561489</v>
      </c>
      <c r="I87" s="124">
        <v>13.015307327526141</v>
      </c>
      <c r="J87" s="135">
        <v>20.814618878437351</v>
      </c>
    </row>
    <row r="88" spans="1:10" x14ac:dyDescent="0.2">
      <c r="A88" s="118" t="s">
        <v>71</v>
      </c>
      <c r="B88" s="124">
        <v>21.047673135916096</v>
      </c>
      <c r="C88" s="124">
        <v>13.493684311313499</v>
      </c>
      <c r="D88" s="124">
        <v>4.7305392448412835</v>
      </c>
      <c r="E88" s="124">
        <v>20.732186287717681</v>
      </c>
      <c r="F88" s="124">
        <v>9.6034311481462506E-2</v>
      </c>
      <c r="G88" s="124">
        <v>8.2570806866450042</v>
      </c>
      <c r="H88" s="124">
        <v>9.3359731507573578</v>
      </c>
      <c r="I88" s="124">
        <v>0.97130656579634633</v>
      </c>
      <c r="J88" s="135">
        <v>7.5573491461891988</v>
      </c>
    </row>
    <row r="89" spans="1:10" x14ac:dyDescent="0.2">
      <c r="A89" s="118" t="s">
        <v>74</v>
      </c>
      <c r="B89" s="124">
        <v>14.792757619466832</v>
      </c>
      <c r="C89" s="124">
        <v>9.5504436570403559</v>
      </c>
      <c r="D89" s="124">
        <v>0.75467738853602306</v>
      </c>
      <c r="E89" s="124">
        <v>11.114915888404427</v>
      </c>
      <c r="F89" s="124">
        <v>6.5511232205849078E-3</v>
      </c>
      <c r="G89" s="124">
        <v>5.0281060368477615</v>
      </c>
      <c r="H89" s="124">
        <v>11.824321270377256</v>
      </c>
      <c r="I89" s="124">
        <v>4.0027096721143192</v>
      </c>
      <c r="J89" s="135">
        <v>15.923931500864027</v>
      </c>
    </row>
    <row r="90" spans="1:10" x14ac:dyDescent="0.2">
      <c r="A90" s="118" t="s">
        <v>76</v>
      </c>
      <c r="B90" s="124">
        <v>38.210642760526738</v>
      </c>
      <c r="C90" s="124">
        <v>33.664433829773905</v>
      </c>
      <c r="D90" s="124">
        <v>7.9942657034315276</v>
      </c>
      <c r="E90" s="124">
        <v>35.059681611311582</v>
      </c>
      <c r="F90" s="124">
        <v>2.2525210897353993</v>
      </c>
      <c r="G90" s="124">
        <v>13.997830219256674</v>
      </c>
      <c r="H90" s="124">
        <v>13.559584398625256</v>
      </c>
      <c r="I90" s="124">
        <v>0.83370717608832179</v>
      </c>
      <c r="J90" s="135">
        <v>13.683325299969205</v>
      </c>
    </row>
    <row r="91" spans="1:10" x14ac:dyDescent="0.2">
      <c r="A91" s="123" t="s">
        <v>151</v>
      </c>
    </row>
    <row r="93" spans="1:10" x14ac:dyDescent="0.2">
      <c r="A93" s="21" t="s">
        <v>154</v>
      </c>
    </row>
    <row r="94" spans="1:10" x14ac:dyDescent="0.2">
      <c r="A94" s="145"/>
      <c r="B94" s="147" t="s">
        <v>26</v>
      </c>
      <c r="C94" s="147"/>
      <c r="D94" s="147" t="s">
        <v>55</v>
      </c>
      <c r="E94" s="147"/>
      <c r="F94" s="147" t="s">
        <v>147</v>
      </c>
      <c r="G94" s="147"/>
      <c r="H94" s="147" t="s">
        <v>57</v>
      </c>
      <c r="I94" s="147"/>
      <c r="J94" s="147" t="s">
        <v>59</v>
      </c>
    </row>
    <row r="95" spans="1:10" x14ac:dyDescent="0.2">
      <c r="A95" s="146"/>
      <c r="B95" s="115" t="s">
        <v>30</v>
      </c>
      <c r="C95" s="115" t="s">
        <v>31</v>
      </c>
      <c r="D95" s="115" t="s">
        <v>28</v>
      </c>
      <c r="E95" s="115" t="s">
        <v>27</v>
      </c>
      <c r="F95" s="115" t="s">
        <v>28</v>
      </c>
      <c r="G95" s="115" t="s">
        <v>27</v>
      </c>
      <c r="H95" s="117" t="s">
        <v>58</v>
      </c>
      <c r="I95" s="117" t="s">
        <v>53</v>
      </c>
      <c r="J95" s="147"/>
    </row>
    <row r="96" spans="1:10" x14ac:dyDescent="0.2">
      <c r="A96" s="118" t="s">
        <v>69</v>
      </c>
      <c r="B96" s="125">
        <f t="shared" ref="B96:J96" si="12">(B79/B62)^(1/6)-1</f>
        <v>0.1544065746480614</v>
      </c>
      <c r="C96" s="125">
        <f t="shared" si="12"/>
        <v>0.21702423281062089</v>
      </c>
      <c r="D96" s="125">
        <f t="shared" si="12"/>
        <v>0.23170294001034719</v>
      </c>
      <c r="E96" s="125">
        <f t="shared" si="12"/>
        <v>0.25239160528818716</v>
      </c>
      <c r="F96" s="125">
        <f t="shared" si="12"/>
        <v>0.13527758981599591</v>
      </c>
      <c r="G96" s="125">
        <f t="shared" si="12"/>
        <v>0.10173205634368054</v>
      </c>
      <c r="H96" s="125">
        <f t="shared" si="12"/>
        <v>0.20872881948121913</v>
      </c>
      <c r="I96" s="125">
        <f t="shared" si="12"/>
        <v>5.7648298258348163E-2</v>
      </c>
      <c r="J96" s="125">
        <f t="shared" si="12"/>
        <v>4.299902304559633E-2</v>
      </c>
    </row>
    <row r="97" spans="1:10" x14ac:dyDescent="0.2">
      <c r="A97" s="118" t="s">
        <v>67</v>
      </c>
      <c r="B97" s="125">
        <f t="shared" ref="B97:J97" si="13">(B80/B63)^(1/6)-1</f>
        <v>0.14107137195072883</v>
      </c>
      <c r="C97" s="125">
        <f t="shared" si="13"/>
        <v>0.20164114161837721</v>
      </c>
      <c r="D97" s="125">
        <f t="shared" si="13"/>
        <v>0.21376005725873282</v>
      </c>
      <c r="E97" s="125">
        <f t="shared" si="13"/>
        <v>0.23754290765749642</v>
      </c>
      <c r="F97" s="125">
        <f t="shared" si="13"/>
        <v>0.10548198799824537</v>
      </c>
      <c r="G97" s="125">
        <f t="shared" si="13"/>
        <v>8.9183727259559253E-2</v>
      </c>
      <c r="H97" s="125">
        <f t="shared" si="13"/>
        <v>0.19424162533637479</v>
      </c>
      <c r="I97" s="125">
        <f t="shared" si="13"/>
        <v>3.5001415116175494E-2</v>
      </c>
      <c r="J97" s="125">
        <f t="shared" si="13"/>
        <v>4.5183630925841989E-2</v>
      </c>
    </row>
    <row r="98" spans="1:10" x14ac:dyDescent="0.2">
      <c r="A98" s="118" t="s">
        <v>72</v>
      </c>
      <c r="B98" s="125">
        <f t="shared" ref="B98:J98" si="14">(B81/B64)^(1/6)-1</f>
        <v>0.11147518950581325</v>
      </c>
      <c r="C98" s="125">
        <f t="shared" si="14"/>
        <v>0.16328691126147721</v>
      </c>
      <c r="D98" s="125">
        <f t="shared" si="14"/>
        <v>0.17990362613312327</v>
      </c>
      <c r="E98" s="125">
        <f t="shared" si="14"/>
        <v>0.20541901237327087</v>
      </c>
      <c r="F98" s="125">
        <f t="shared" si="14"/>
        <v>7.5852867615830322E-2</v>
      </c>
      <c r="G98" s="125">
        <f t="shared" si="14"/>
        <v>6.3080126006863857E-2</v>
      </c>
      <c r="H98" s="125">
        <f t="shared" si="14"/>
        <v>0.15808511703121808</v>
      </c>
      <c r="I98" s="125">
        <f t="shared" si="14"/>
        <v>4.4802803068191288E-3</v>
      </c>
      <c r="J98" s="125">
        <f t="shared" si="14"/>
        <v>0.28986391041937742</v>
      </c>
    </row>
    <row r="99" spans="1:10" x14ac:dyDescent="0.2">
      <c r="A99" s="118" t="s">
        <v>75</v>
      </c>
      <c r="B99" s="125">
        <f t="shared" ref="B99:J99" si="15">(B82/B65)^(1/6)-1</f>
        <v>0.11092234306936666</v>
      </c>
      <c r="C99" s="125">
        <f t="shared" si="15"/>
        <v>0.16327523101717678</v>
      </c>
      <c r="D99" s="125">
        <f t="shared" si="15"/>
        <v>0.17900361474966586</v>
      </c>
      <c r="E99" s="125">
        <f t="shared" si="15"/>
        <v>0.20340199966732753</v>
      </c>
      <c r="F99" s="125">
        <f t="shared" si="15"/>
        <v>5.141556807456249E-2</v>
      </c>
      <c r="G99" s="125">
        <f t="shared" si="15"/>
        <v>6.0003324991874996E-2</v>
      </c>
      <c r="H99" s="125">
        <f t="shared" si="15"/>
        <v>0.15690034635797701</v>
      </c>
      <c r="I99" s="125">
        <f t="shared" si="15"/>
        <v>-3.3680100534712487E-2</v>
      </c>
      <c r="J99" s="125">
        <f t="shared" si="15"/>
        <v>1.2821719216278504E-2</v>
      </c>
    </row>
    <row r="100" spans="1:10" x14ac:dyDescent="0.2">
      <c r="A100" s="118" t="s">
        <v>66</v>
      </c>
      <c r="B100" s="125">
        <f t="shared" ref="B100:J100" si="16">(B83/B66)^(1/6)-1</f>
        <v>0.1251151815329512</v>
      </c>
      <c r="C100" s="125">
        <f t="shared" si="16"/>
        <v>0.17651414502723628</v>
      </c>
      <c r="D100" s="125">
        <f t="shared" si="16"/>
        <v>0.21244401714668926</v>
      </c>
      <c r="E100" s="125">
        <f t="shared" si="16"/>
        <v>0.22353899430137703</v>
      </c>
      <c r="F100" s="125">
        <f t="shared" si="16"/>
        <v>0.10806930097508305</v>
      </c>
      <c r="G100" s="125">
        <f t="shared" si="16"/>
        <v>7.3153269944248533E-2</v>
      </c>
      <c r="H100" s="125">
        <f t="shared" si="16"/>
        <v>0.17512301040691214</v>
      </c>
      <c r="I100" s="125">
        <f t="shared" si="16"/>
        <v>1.5554762333092054E-2</v>
      </c>
      <c r="J100" s="125">
        <f t="shared" si="16"/>
        <v>6.086989153748168E-2</v>
      </c>
    </row>
    <row r="101" spans="1:10" x14ac:dyDescent="0.2">
      <c r="A101" s="118" t="s">
        <v>65</v>
      </c>
      <c r="B101" s="125">
        <f t="shared" ref="B101:J101" si="17">(B84/B67)^(1/6)-1</f>
        <v>0.17686041463768243</v>
      </c>
      <c r="C101" s="125">
        <f t="shared" si="17"/>
        <v>0.22968097650487596</v>
      </c>
      <c r="D101" s="125">
        <f t="shared" si="17"/>
        <v>0.2276650744470945</v>
      </c>
      <c r="E101" s="125">
        <f t="shared" si="17"/>
        <v>0.28825423228078906</v>
      </c>
      <c r="F101" s="125">
        <f t="shared" si="17"/>
        <v>1.2945071824539189E-2</v>
      </c>
      <c r="G101" s="125">
        <f t="shared" si="17"/>
        <v>0.1317359341462554</v>
      </c>
      <c r="H101" s="125">
        <f t="shared" si="17"/>
        <v>0.23025538654612809</v>
      </c>
      <c r="I101" s="125">
        <f t="shared" si="17"/>
        <v>7.7176649744200354E-2</v>
      </c>
      <c r="J101" s="125">
        <f t="shared" si="17"/>
        <v>7.6930429171369941E-2</v>
      </c>
    </row>
    <row r="102" spans="1:10" x14ac:dyDescent="0.2">
      <c r="A102" s="118" t="s">
        <v>73</v>
      </c>
      <c r="B102" s="125">
        <f t="shared" ref="B102:J102" si="18">(B85/B68)^(1/6)-1</f>
        <v>0.20870247386514551</v>
      </c>
      <c r="C102" s="125">
        <f t="shared" si="18"/>
        <v>0.25059138788853952</v>
      </c>
      <c r="D102" s="125">
        <f t="shared" si="18"/>
        <v>0.23901485777964693</v>
      </c>
      <c r="E102" s="125">
        <f t="shared" si="18"/>
        <v>0.32482287608579807</v>
      </c>
      <c r="F102" s="125">
        <f t="shared" si="18"/>
        <v>0.1209309926562947</v>
      </c>
      <c r="G102" s="125">
        <f t="shared" si="18"/>
        <v>0.1661149832376505</v>
      </c>
      <c r="H102" s="125">
        <f t="shared" si="18"/>
        <v>0.26746827403187523</v>
      </c>
      <c r="I102" s="125">
        <f t="shared" si="18"/>
        <v>7.7091536033875308E-2</v>
      </c>
      <c r="J102" s="125">
        <f t="shared" si="18"/>
        <v>5.7106291346126659E-2</v>
      </c>
    </row>
    <row r="103" spans="1:10" x14ac:dyDescent="0.2">
      <c r="A103" s="118" t="s">
        <v>70</v>
      </c>
      <c r="B103" s="125">
        <f t="shared" ref="B103:J103" si="19">(B86/B69)^(1/6)-1</f>
        <v>0.1631152377935996</v>
      </c>
      <c r="C103" s="125">
        <f t="shared" si="19"/>
        <v>0.17517764843807737</v>
      </c>
      <c r="D103" s="125">
        <f t="shared" si="19"/>
        <v>0.23549235082448816</v>
      </c>
      <c r="E103" s="125">
        <f t="shared" si="19"/>
        <v>0.26766335164482458</v>
      </c>
      <c r="F103" s="125">
        <f t="shared" si="19"/>
        <v>6.6396538639002411E-2</v>
      </c>
      <c r="G103" s="125">
        <f t="shared" si="19"/>
        <v>0.10057912889737497</v>
      </c>
      <c r="H103" s="125">
        <f t="shared" si="19"/>
        <v>0.20478029034574874</v>
      </c>
      <c r="I103" s="125">
        <f t="shared" si="19"/>
        <v>4.4327481784456113E-2</v>
      </c>
      <c r="J103" s="125">
        <f t="shared" si="19"/>
        <v>5.1968181275513503E-2</v>
      </c>
    </row>
    <row r="104" spans="1:10" x14ac:dyDescent="0.2">
      <c r="A104" s="118" t="s">
        <v>68</v>
      </c>
      <c r="B104" s="125">
        <f t="shared" ref="B104:J104" si="20">(B87/B70)^(1/6)-1</f>
        <v>0.20183808938650283</v>
      </c>
      <c r="C104" s="125">
        <f t="shared" si="20"/>
        <v>0.25452052317815888</v>
      </c>
      <c r="D104" s="125">
        <f t="shared" si="20"/>
        <v>4.9063197011038673E-2</v>
      </c>
      <c r="E104" s="125">
        <f t="shared" si="20"/>
        <v>0.32877818172112705</v>
      </c>
      <c r="F104" s="125">
        <f t="shared" si="20"/>
        <v>1.414283952918316E-3</v>
      </c>
      <c r="G104" s="125">
        <f t="shared" si="20"/>
        <v>0.20219395512069283</v>
      </c>
      <c r="H104" s="125">
        <f t="shared" si="20"/>
        <v>0.25605489806410198</v>
      </c>
      <c r="I104" s="125">
        <f t="shared" si="20"/>
        <v>9.7759626194184657E-2</v>
      </c>
      <c r="J104" s="125">
        <f t="shared" si="20"/>
        <v>8.1277797672956176E-2</v>
      </c>
    </row>
    <row r="105" spans="1:10" x14ac:dyDescent="0.2">
      <c r="A105" s="118" t="s">
        <v>71</v>
      </c>
      <c r="B105" s="125">
        <f t="shared" ref="B105:J105" si="21">(B88/B71)^(1/6)-1</f>
        <v>0.13514278994129958</v>
      </c>
      <c r="C105" s="125">
        <f t="shared" si="21"/>
        <v>0.13703823772510937</v>
      </c>
      <c r="D105" s="125">
        <f t="shared" si="21"/>
        <v>0.21306108859641659</v>
      </c>
      <c r="E105" s="125">
        <f t="shared" si="21"/>
        <v>0.23777698249842949</v>
      </c>
      <c r="F105" s="125">
        <f t="shared" si="21"/>
        <v>1.4947094594846888E-2</v>
      </c>
      <c r="G105" s="125">
        <f t="shared" si="21"/>
        <v>7.7285444663375724E-2</v>
      </c>
      <c r="H105" s="125">
        <f t="shared" si="21"/>
        <v>0.16170122492724093</v>
      </c>
      <c r="I105" s="125">
        <f t="shared" si="21"/>
        <v>4.5156183068617795E-2</v>
      </c>
      <c r="J105" s="125">
        <f t="shared" si="21"/>
        <v>1.9875891544526736E-2</v>
      </c>
    </row>
    <row r="106" spans="1:10" x14ac:dyDescent="0.2">
      <c r="A106" s="118" t="s">
        <v>74</v>
      </c>
      <c r="B106" s="125">
        <f t="shared" ref="B106:J106" si="22">(B89/B72)^(1/6)-1</f>
        <v>0.19820720109519052</v>
      </c>
      <c r="C106" s="125">
        <f t="shared" si="22"/>
        <v>0.17510023073914027</v>
      </c>
      <c r="D106" s="125">
        <f t="shared" si="22"/>
        <v>0.12432787274775858</v>
      </c>
      <c r="E106" s="125">
        <f t="shared" si="22"/>
        <v>0.33758816491706178</v>
      </c>
      <c r="F106" s="125">
        <f t="shared" si="22"/>
        <v>-3.0479032625185809E-4</v>
      </c>
      <c r="G106" s="125">
        <f t="shared" si="22"/>
        <v>0.17994581404557342</v>
      </c>
      <c r="H106" s="125">
        <f t="shared" si="22"/>
        <v>0.24572896114240161</v>
      </c>
      <c r="I106" s="125">
        <f t="shared" si="22"/>
        <v>9.6234035692754905E-2</v>
      </c>
      <c r="J106" s="125">
        <f t="shared" si="22"/>
        <v>6.0638075366740152E-2</v>
      </c>
    </row>
    <row r="107" spans="1:10" x14ac:dyDescent="0.2">
      <c r="A107" s="118" t="s">
        <v>76</v>
      </c>
      <c r="B107" s="125">
        <f t="shared" ref="B107:J107" si="23">(B90/B73)^(1/6)-1</f>
        <v>0.13538341282485122</v>
      </c>
      <c r="C107" s="125">
        <f t="shared" si="23"/>
        <v>0.17413644852028787</v>
      </c>
      <c r="D107" s="125">
        <f t="shared" si="23"/>
        <v>0.24266739177905783</v>
      </c>
      <c r="E107" s="125">
        <f t="shared" si="23"/>
        <v>0.2329527393973112</v>
      </c>
      <c r="F107" s="125">
        <f t="shared" si="23"/>
        <v>9.0471512465235771E-2</v>
      </c>
      <c r="G107" s="125">
        <f t="shared" si="23"/>
        <v>7.6428061214475429E-2</v>
      </c>
      <c r="H107" s="125">
        <f t="shared" si="23"/>
        <v>0.17624505137558999</v>
      </c>
      <c r="I107" s="125">
        <f t="shared" si="23"/>
        <v>-1.40818254747751E-2</v>
      </c>
      <c r="J107" s="125">
        <f t="shared" si="23"/>
        <v>3.3602587007978135E-2</v>
      </c>
    </row>
    <row r="108" spans="1:10" x14ac:dyDescent="0.2">
      <c r="A108" s="123" t="s">
        <v>151</v>
      </c>
    </row>
    <row r="110" spans="1:10" s="97" customFormat="1" x14ac:dyDescent="0.2">
      <c r="A110" s="116" t="s">
        <v>118</v>
      </c>
      <c r="B110" s="98"/>
    </row>
    <row r="111" spans="1:10" s="121" customFormat="1" x14ac:dyDescent="0.2">
      <c r="A111" s="119"/>
      <c r="B111" s="120"/>
    </row>
    <row r="112" spans="1:10" s="121" customFormat="1" x14ac:dyDescent="0.2">
      <c r="A112" s="122" t="s">
        <v>155</v>
      </c>
      <c r="B112" s="120"/>
    </row>
    <row r="113" spans="1:10" x14ac:dyDescent="0.2">
      <c r="A113" s="145"/>
      <c r="B113" s="147" t="s">
        <v>26</v>
      </c>
      <c r="C113" s="147"/>
      <c r="D113" s="147" t="s">
        <v>55</v>
      </c>
      <c r="E113" s="147"/>
      <c r="F113" s="147" t="s">
        <v>147</v>
      </c>
      <c r="G113" s="147"/>
      <c r="H113" s="147" t="s">
        <v>57</v>
      </c>
      <c r="I113" s="147"/>
      <c r="J113" s="147" t="s">
        <v>59</v>
      </c>
    </row>
    <row r="114" spans="1:10" x14ac:dyDescent="0.2">
      <c r="A114" s="146"/>
      <c r="B114" s="115" t="s">
        <v>30</v>
      </c>
      <c r="C114" s="115" t="s">
        <v>31</v>
      </c>
      <c r="D114" s="115" t="s">
        <v>28</v>
      </c>
      <c r="E114" s="115" t="s">
        <v>27</v>
      </c>
      <c r="F114" s="115" t="s">
        <v>28</v>
      </c>
      <c r="G114" s="115" t="s">
        <v>27</v>
      </c>
      <c r="H114" s="117" t="s">
        <v>58</v>
      </c>
      <c r="I114" s="117" t="s">
        <v>53</v>
      </c>
      <c r="J114" s="147"/>
    </row>
    <row r="115" spans="1:10" x14ac:dyDescent="0.2">
      <c r="A115" s="118" t="s">
        <v>66</v>
      </c>
      <c r="B115" s="124">
        <v>33.412430308402897</v>
      </c>
      <c r="C115" s="124">
        <v>21.717820704728556</v>
      </c>
      <c r="D115" s="124">
        <v>3.2846673598536649</v>
      </c>
      <c r="E115" s="124">
        <v>16.573171346138032</v>
      </c>
      <c r="F115" s="124">
        <v>1.0555599398409816</v>
      </c>
      <c r="G115" s="124">
        <v>12.465698231847792</v>
      </c>
      <c r="H115" s="124">
        <v>15.985567011574057</v>
      </c>
      <c r="I115" s="124">
        <v>7.8758896486810972</v>
      </c>
      <c r="J115" s="124">
        <v>8.342089095808733</v>
      </c>
    </row>
    <row r="116" spans="1:10" x14ac:dyDescent="0.2">
      <c r="A116" s="118" t="s">
        <v>67</v>
      </c>
      <c r="B116" s="124">
        <v>20.815585071049366</v>
      </c>
      <c r="C116" s="124">
        <v>17.786861701300676</v>
      </c>
      <c r="D116" s="124">
        <v>3.4707425169390338</v>
      </c>
      <c r="E116" s="124">
        <v>17.506159435541413</v>
      </c>
      <c r="F116" s="124">
        <v>1.3601868213281227</v>
      </c>
      <c r="G116" s="124">
        <v>11.911656912461289</v>
      </c>
      <c r="H116" s="124">
        <v>12.020623278863878</v>
      </c>
      <c r="I116" s="124">
        <v>4.6597477474272093</v>
      </c>
      <c r="J116" s="124">
        <v>9.8918328857733258</v>
      </c>
    </row>
    <row r="117" spans="1:10" x14ac:dyDescent="0.2">
      <c r="A117" s="118" t="s">
        <v>72</v>
      </c>
      <c r="B117" s="124">
        <v>9.6955083372004296</v>
      </c>
      <c r="C117" s="124">
        <v>14.683639483145104</v>
      </c>
      <c r="D117" s="124">
        <v>1.7390019745335052</v>
      </c>
      <c r="E117" s="124">
        <v>8.7477591148345226</v>
      </c>
      <c r="F117" s="124">
        <v>0.70216379611502078</v>
      </c>
      <c r="G117" s="124">
        <v>5.1182901860724739</v>
      </c>
      <c r="H117" s="124">
        <v>11.530266207681345</v>
      </c>
      <c r="I117" s="124">
        <v>5.7435867092111321</v>
      </c>
      <c r="J117" s="124">
        <v>13.241406565547429</v>
      </c>
    </row>
    <row r="118" spans="1:10" x14ac:dyDescent="0.2">
      <c r="A118" s="118" t="s">
        <v>69</v>
      </c>
      <c r="B118" s="124">
        <v>8.7033062534875825</v>
      </c>
      <c r="C118" s="124">
        <v>8.4927906690140222</v>
      </c>
      <c r="D118" s="124">
        <v>1.1443094570159535</v>
      </c>
      <c r="E118" s="124">
        <v>6.1298929454723288</v>
      </c>
      <c r="F118" s="124">
        <v>0.74552472547404125</v>
      </c>
      <c r="G118" s="124">
        <v>4.8694430733896592</v>
      </c>
      <c r="H118" s="124">
        <v>7.9182858603742101</v>
      </c>
      <c r="I118" s="124">
        <v>5.4443997344803678</v>
      </c>
      <c r="J118" s="124">
        <v>14.039331827798216</v>
      </c>
    </row>
    <row r="119" spans="1:10" x14ac:dyDescent="0.2">
      <c r="A119" s="118" t="s">
        <v>65</v>
      </c>
      <c r="B119" s="124">
        <v>9.1793292288732999</v>
      </c>
      <c r="C119" s="124">
        <v>7.3866876023797001</v>
      </c>
      <c r="D119" s="124">
        <v>0.65517296184696217</v>
      </c>
      <c r="E119" s="124">
        <v>3.2923282520540975</v>
      </c>
      <c r="F119" s="124">
        <v>4.3617617305526137E-2</v>
      </c>
      <c r="G119" s="124">
        <v>2.5492097821623907</v>
      </c>
      <c r="H119" s="124">
        <v>12.790311181674044</v>
      </c>
      <c r="I119" s="124">
        <v>11.335428103383933</v>
      </c>
      <c r="J119" s="124">
        <v>8.9233097228258309</v>
      </c>
    </row>
    <row r="120" spans="1:10" x14ac:dyDescent="0.2">
      <c r="A120" s="118" t="s">
        <v>75</v>
      </c>
      <c r="B120" s="124">
        <v>12.77126583130867</v>
      </c>
      <c r="C120" s="124">
        <v>10.731097821346903</v>
      </c>
      <c r="D120" s="124">
        <v>2.5172139624510139</v>
      </c>
      <c r="E120" s="124">
        <v>12.84784256193862</v>
      </c>
      <c r="F120" s="124">
        <v>1.2028705849757466</v>
      </c>
      <c r="G120" s="124">
        <v>7.2448098844858464</v>
      </c>
      <c r="H120" s="124">
        <v>4.5053081087527955</v>
      </c>
      <c r="I120" s="124">
        <v>0.34809116370561904</v>
      </c>
      <c r="J120" s="124">
        <v>3.497972210799551</v>
      </c>
    </row>
    <row r="121" spans="1:10" x14ac:dyDescent="0.2">
      <c r="A121" s="118" t="s">
        <v>73</v>
      </c>
      <c r="B121" s="124">
        <v>3.7611680941331302</v>
      </c>
      <c r="C121" s="124">
        <v>3.4463762594196834</v>
      </c>
      <c r="D121" s="124">
        <v>0.67393503503008534</v>
      </c>
      <c r="E121" s="124">
        <v>3.7790361303100353</v>
      </c>
      <c r="F121" s="124">
        <v>0.59844469002038081</v>
      </c>
      <c r="G121" s="124">
        <v>2.4339473664532276</v>
      </c>
      <c r="H121" s="124">
        <v>2.732864686168357</v>
      </c>
      <c r="I121" s="124">
        <v>1.5334233910450232</v>
      </c>
      <c r="J121" s="124">
        <v>23.944840964260869</v>
      </c>
    </row>
    <row r="122" spans="1:10" x14ac:dyDescent="0.2">
      <c r="A122" s="118" t="s">
        <v>70</v>
      </c>
      <c r="B122" s="124">
        <v>3.5206576727317289</v>
      </c>
      <c r="C122" s="124">
        <v>3.4489561562197624</v>
      </c>
      <c r="D122" s="124">
        <v>0.87767342334435405</v>
      </c>
      <c r="E122" s="124">
        <v>4.6978358361911887</v>
      </c>
      <c r="F122" s="124">
        <v>0.17251321918998747</v>
      </c>
      <c r="G122" s="124">
        <v>3.4450675921699521</v>
      </c>
      <c r="H122" s="124">
        <v>7.8672177345184924</v>
      </c>
      <c r="I122" s="124">
        <v>4.379619903976554</v>
      </c>
      <c r="J122" s="124">
        <v>5.0718236290719219</v>
      </c>
    </row>
    <row r="123" spans="1:10" x14ac:dyDescent="0.2">
      <c r="A123" s="118" t="s">
        <v>68</v>
      </c>
      <c r="B123" s="124">
        <v>2.206032654618582</v>
      </c>
      <c r="C123" s="124">
        <v>3.403222716029807</v>
      </c>
      <c r="D123" s="124">
        <v>8.3937594712185135E-2</v>
      </c>
      <c r="E123" s="124">
        <v>0.60568383830965744</v>
      </c>
      <c r="F123" s="124">
        <v>5.2851760651951426E-3</v>
      </c>
      <c r="G123" s="124">
        <v>0.61144861896508373</v>
      </c>
      <c r="H123" s="124">
        <v>2.6691275804320926</v>
      </c>
      <c r="I123" s="124">
        <v>2.2171389992409822</v>
      </c>
      <c r="J123" s="124">
        <v>3.4291404987853564</v>
      </c>
    </row>
    <row r="124" spans="1:10" x14ac:dyDescent="0.2">
      <c r="A124" s="118" t="s">
        <v>71</v>
      </c>
      <c r="B124" s="124">
        <v>3.0219804722185448</v>
      </c>
      <c r="C124" s="124">
        <v>2.4096042557346475</v>
      </c>
      <c r="D124" s="124">
        <v>1.0420293926987421</v>
      </c>
      <c r="E124" s="124">
        <v>3.0224344607797562</v>
      </c>
      <c r="F124" s="124">
        <v>6.4032792334162966E-2</v>
      </c>
      <c r="G124" s="124">
        <v>1.8968648031391933</v>
      </c>
      <c r="H124" s="124">
        <v>0.72432969918616208</v>
      </c>
      <c r="I124" s="124">
        <v>0.30430725177155332</v>
      </c>
      <c r="J124" s="124">
        <v>1.8867217903090832</v>
      </c>
    </row>
    <row r="125" spans="1:10" x14ac:dyDescent="0.2">
      <c r="A125" s="118" t="s">
        <v>74</v>
      </c>
      <c r="B125" s="124">
        <v>0.67368010750860441</v>
      </c>
      <c r="C125" s="124">
        <v>0.7885585023213082</v>
      </c>
      <c r="D125" s="124">
        <v>0.1640185151840971</v>
      </c>
      <c r="E125" s="124">
        <v>0.55967813974703284</v>
      </c>
      <c r="F125" s="124">
        <v>6.1184672078191792E-3</v>
      </c>
      <c r="G125" s="124">
        <v>0.56456036272125754</v>
      </c>
      <c r="H125" s="124">
        <v>0.88756994937216338</v>
      </c>
      <c r="I125" s="124">
        <v>0.69247898635362715</v>
      </c>
      <c r="J125" s="124">
        <v>3.2628958844095415</v>
      </c>
    </row>
    <row r="126" spans="1:10" x14ac:dyDescent="0.2">
      <c r="A126" s="118" t="s">
        <v>76</v>
      </c>
      <c r="B126" s="124">
        <v>6.9523324255759116</v>
      </c>
      <c r="C126" s="124">
        <v>5.5965131367851813</v>
      </c>
      <c r="D126" s="124">
        <v>1.2332860095244365</v>
      </c>
      <c r="E126" s="124">
        <v>6.2085691218264696</v>
      </c>
      <c r="F126" s="124">
        <v>0.44429513135096765</v>
      </c>
      <c r="G126" s="124">
        <v>4.1571785913924248</v>
      </c>
      <c r="H126" s="124">
        <v>2.6844562510052801</v>
      </c>
      <c r="I126" s="124">
        <v>0.70275520886523735</v>
      </c>
      <c r="J126" s="124">
        <v>3.6165207337860394</v>
      </c>
    </row>
    <row r="127" spans="1:10" x14ac:dyDescent="0.2">
      <c r="A127" s="123" t="s">
        <v>151</v>
      </c>
      <c r="B127" s="128"/>
      <c r="C127" s="128"/>
      <c r="D127" s="128"/>
      <c r="E127" s="128"/>
      <c r="F127" s="128"/>
      <c r="G127" s="128"/>
      <c r="H127" s="128"/>
      <c r="I127" s="128"/>
      <c r="J127" s="128"/>
    </row>
    <row r="129" spans="1:10" x14ac:dyDescent="0.2">
      <c r="A129" s="21" t="s">
        <v>156</v>
      </c>
    </row>
    <row r="130" spans="1:10" x14ac:dyDescent="0.2">
      <c r="A130" s="145"/>
      <c r="B130" s="147" t="s">
        <v>26</v>
      </c>
      <c r="C130" s="147"/>
      <c r="D130" s="147" t="s">
        <v>55</v>
      </c>
      <c r="E130" s="147"/>
      <c r="F130" s="147" t="s">
        <v>147</v>
      </c>
      <c r="G130" s="147"/>
      <c r="H130" s="147" t="s">
        <v>57</v>
      </c>
      <c r="I130" s="147"/>
      <c r="J130" s="147" t="s">
        <v>59</v>
      </c>
    </row>
    <row r="131" spans="1:10" x14ac:dyDescent="0.2">
      <c r="A131" s="146"/>
      <c r="B131" s="115" t="s">
        <v>30</v>
      </c>
      <c r="C131" s="115" t="s">
        <v>31</v>
      </c>
      <c r="D131" s="115" t="s">
        <v>28</v>
      </c>
      <c r="E131" s="115" t="s">
        <v>27</v>
      </c>
      <c r="F131" s="115" t="s">
        <v>28</v>
      </c>
      <c r="G131" s="115" t="s">
        <v>27</v>
      </c>
      <c r="H131" s="117" t="s">
        <v>58</v>
      </c>
      <c r="I131" s="117" t="s">
        <v>53</v>
      </c>
      <c r="J131" s="147"/>
    </row>
    <row r="132" spans="1:10" x14ac:dyDescent="0.2">
      <c r="A132" s="118" t="s">
        <v>66</v>
      </c>
      <c r="B132" s="124">
        <v>54.622157927669534</v>
      </c>
      <c r="C132" s="124">
        <v>49.771612329328356</v>
      </c>
      <c r="D132" s="124">
        <v>8.6740000781896018</v>
      </c>
      <c r="E132" s="124">
        <v>38.675344280356882</v>
      </c>
      <c r="F132" s="124">
        <v>2.4601562440343705</v>
      </c>
      <c r="G132" s="124">
        <v>22.453404543800158</v>
      </c>
      <c r="H132" s="124">
        <v>34.974620455565841</v>
      </c>
      <c r="I132" s="124">
        <v>7.5645377678815446</v>
      </c>
      <c r="J132" s="124">
        <v>12.3642812903344</v>
      </c>
    </row>
    <row r="133" spans="1:10" x14ac:dyDescent="0.2">
      <c r="A133" s="118" t="s">
        <v>67</v>
      </c>
      <c r="B133" s="124">
        <v>41.890833358462935</v>
      </c>
      <c r="C133" s="124">
        <v>50.094616639723988</v>
      </c>
      <c r="D133" s="124">
        <v>11.201809344107639</v>
      </c>
      <c r="E133" s="124">
        <v>50.081782736725131</v>
      </c>
      <c r="F133" s="124">
        <v>2.7622674298328418</v>
      </c>
      <c r="G133" s="124">
        <v>26.284528315629103</v>
      </c>
      <c r="H133" s="124">
        <v>32.370544788064919</v>
      </c>
      <c r="I133" s="124">
        <v>5.4586685136454083</v>
      </c>
      <c r="J133" s="124">
        <v>14.795635224189603</v>
      </c>
    </row>
    <row r="134" spans="1:10" x14ac:dyDescent="0.2">
      <c r="A134" s="118" t="s">
        <v>72</v>
      </c>
      <c r="B134" s="124">
        <v>18.956328183588091</v>
      </c>
      <c r="C134" s="124">
        <v>39.3433158360927</v>
      </c>
      <c r="D134" s="124">
        <v>5.5088997616147743</v>
      </c>
      <c r="E134" s="124">
        <v>24.298329541342678</v>
      </c>
      <c r="F134" s="124">
        <v>1.307875964851835</v>
      </c>
      <c r="G134" s="124">
        <v>11.004434299438232</v>
      </c>
      <c r="H134" s="124">
        <v>29.866680802295324</v>
      </c>
      <c r="I134" s="124">
        <v>6.4891002129373678</v>
      </c>
      <c r="J134" s="124">
        <v>20.063506061910829</v>
      </c>
    </row>
    <row r="135" spans="1:10" x14ac:dyDescent="0.2">
      <c r="A135" s="118" t="s">
        <v>69</v>
      </c>
      <c r="B135" s="124">
        <v>15.066442133921853</v>
      </c>
      <c r="C135" s="124">
        <v>19.230826485033795</v>
      </c>
      <c r="D135" s="124">
        <v>3.3610414052973585</v>
      </c>
      <c r="E135" s="124">
        <v>15.200803348772345</v>
      </c>
      <c r="F135" s="124">
        <v>1.1084923427905549</v>
      </c>
      <c r="G135" s="124">
        <v>9.1173199333557644</v>
      </c>
      <c r="H135" s="124">
        <v>17.526311518196792</v>
      </c>
      <c r="I135" s="124">
        <v>5.2905167367218588</v>
      </c>
      <c r="J135" s="124">
        <v>17.269661514786062</v>
      </c>
    </row>
    <row r="136" spans="1:10" x14ac:dyDescent="0.2">
      <c r="A136" s="118" t="s">
        <v>65</v>
      </c>
      <c r="B136" s="124">
        <v>21.671373691859287</v>
      </c>
      <c r="C136" s="124">
        <v>23.304461216396955</v>
      </c>
      <c r="D136" s="124">
        <v>2.6473334029538265</v>
      </c>
      <c r="E136" s="124">
        <v>11.354056334652324</v>
      </c>
      <c r="F136" s="124">
        <v>5.2406966868808635E-2</v>
      </c>
      <c r="G136" s="124">
        <v>6.8208116674069199</v>
      </c>
      <c r="H136" s="124">
        <v>40.000641900725554</v>
      </c>
      <c r="I136" s="124">
        <v>15.826044270730213</v>
      </c>
      <c r="J136" s="124">
        <v>12.798938403522765</v>
      </c>
    </row>
    <row r="137" spans="1:10" x14ac:dyDescent="0.2">
      <c r="A137" s="118" t="s">
        <v>75</v>
      </c>
      <c r="B137" s="124">
        <v>21.861373234675774</v>
      </c>
      <c r="C137" s="124">
        <v>24.714612330632804</v>
      </c>
      <c r="D137" s="124">
        <v>6.9708304882067864</v>
      </c>
      <c r="E137" s="124">
        <v>31.135133360462213</v>
      </c>
      <c r="F137" s="124">
        <v>1.4893221096540366</v>
      </c>
      <c r="G137" s="124">
        <v>13.643943463680149</v>
      </c>
      <c r="H137" s="124">
        <v>10.071505734844074</v>
      </c>
      <c r="I137" s="124">
        <v>0.28060170229768289</v>
      </c>
      <c r="J137" s="124">
        <v>4.6573928697223073</v>
      </c>
    </row>
    <row r="138" spans="1:10" x14ac:dyDescent="0.2">
      <c r="A138" s="118" t="s">
        <v>73</v>
      </c>
      <c r="B138" s="124">
        <v>8.2662951574326797</v>
      </c>
      <c r="C138" s="124">
        <v>8.9843178585164534</v>
      </c>
      <c r="D138" s="124">
        <v>2.6625973192075678</v>
      </c>
      <c r="E138" s="124">
        <v>11.764769065953478</v>
      </c>
      <c r="F138" s="124">
        <v>0.9506332988816103</v>
      </c>
      <c r="G138" s="124">
        <v>6.0570299342663017</v>
      </c>
      <c r="H138" s="124">
        <v>7.6493529930146407</v>
      </c>
      <c r="I138" s="124">
        <v>1.6995864090933597</v>
      </c>
      <c r="J138" s="124">
        <v>30.855026624928641</v>
      </c>
    </row>
    <row r="139" spans="1:10" x14ac:dyDescent="0.2">
      <c r="A139" s="118" t="s">
        <v>70</v>
      </c>
      <c r="B139" s="124">
        <v>7.22001297838883</v>
      </c>
      <c r="C139" s="124">
        <v>8.151156679217042</v>
      </c>
      <c r="D139" s="124">
        <v>3.2116911091893017</v>
      </c>
      <c r="E139" s="124">
        <v>13.151154942879732</v>
      </c>
      <c r="F139" s="124">
        <v>0.28265989396000624</v>
      </c>
      <c r="G139" s="124">
        <v>6.8042435302927755</v>
      </c>
      <c r="H139" s="124">
        <v>19.816768138145179</v>
      </c>
      <c r="I139" s="124">
        <v>4.8217629044987893</v>
      </c>
      <c r="J139" s="124">
        <v>7.2109028770722254</v>
      </c>
    </row>
    <row r="140" spans="1:10" x14ac:dyDescent="0.2">
      <c r="A140" s="118" t="s">
        <v>68</v>
      </c>
      <c r="B140" s="124">
        <v>5.8039901351777665</v>
      </c>
      <c r="C140" s="124">
        <v>10.143812746038844</v>
      </c>
      <c r="D140" s="124">
        <v>0.12281634232215823</v>
      </c>
      <c r="E140" s="124">
        <v>2.6546345613728564</v>
      </c>
      <c r="F140" s="124">
        <v>5.4083070018096915E-3</v>
      </c>
      <c r="G140" s="124">
        <v>1.7462550608265148</v>
      </c>
      <c r="H140" s="124">
        <v>8.2350844094361477</v>
      </c>
      <c r="I140" s="124">
        <v>3.0116620719528155</v>
      </c>
      <c r="J140" s="124">
        <v>5.6352781145411184</v>
      </c>
    </row>
    <row r="141" spans="1:10" x14ac:dyDescent="0.2">
      <c r="A141" s="118" t="s">
        <v>71</v>
      </c>
      <c r="B141" s="124">
        <v>6.1165045508328753</v>
      </c>
      <c r="C141" s="124">
        <v>4.8648863504707576</v>
      </c>
      <c r="D141" s="124">
        <v>1.9604724329479302</v>
      </c>
      <c r="E141" s="124">
        <v>8.5186975300719716</v>
      </c>
      <c r="F141" s="124">
        <v>8.1546927069922309E-2</v>
      </c>
      <c r="G141" s="124">
        <v>4.4397542414394557</v>
      </c>
      <c r="H141" s="124">
        <v>3.8802685876336174</v>
      </c>
      <c r="I141" s="124">
        <v>0.45807871037016878</v>
      </c>
      <c r="J141" s="124">
        <v>2.4111777714880498</v>
      </c>
    </row>
    <row r="142" spans="1:10" x14ac:dyDescent="0.2">
      <c r="A142" s="118" t="s">
        <v>74</v>
      </c>
      <c r="B142" s="124">
        <v>2.6931549627292415</v>
      </c>
      <c r="C142" s="124">
        <v>1.673624934354272</v>
      </c>
      <c r="D142" s="124">
        <v>0.33764800141640505</v>
      </c>
      <c r="E142" s="124">
        <v>2.6768719140810529</v>
      </c>
      <c r="F142" s="124">
        <v>6.3331844407822071E-3</v>
      </c>
      <c r="G142" s="124">
        <v>1.6299042474125391</v>
      </c>
      <c r="H142" s="124">
        <v>2.7050546436628133</v>
      </c>
      <c r="I142" s="124">
        <v>1.0558630584162829</v>
      </c>
      <c r="J142" s="124">
        <v>5.1465814601528352</v>
      </c>
    </row>
    <row r="143" spans="1:10" x14ac:dyDescent="0.2">
      <c r="A143" s="118" t="s">
        <v>76</v>
      </c>
      <c r="B143" s="124">
        <v>13.69189453356808</v>
      </c>
      <c r="C143" s="124">
        <v>14.060252433381816</v>
      </c>
      <c r="D143" s="124">
        <v>3.8213186580122924</v>
      </c>
      <c r="E143" s="124">
        <v>17.272939851557098</v>
      </c>
      <c r="F143" s="124">
        <v>0.91137072962573107</v>
      </c>
      <c r="G143" s="124">
        <v>9.0955277525824005</v>
      </c>
      <c r="H143" s="124">
        <v>6.5969802214551647</v>
      </c>
      <c r="I143" s="124">
        <v>0.56358358829067556</v>
      </c>
      <c r="J143" s="124">
        <v>4.8787178480360387</v>
      </c>
    </row>
    <row r="144" spans="1:10" x14ac:dyDescent="0.2">
      <c r="A144" s="123" t="s">
        <v>151</v>
      </c>
    </row>
    <row r="146" spans="1:10" x14ac:dyDescent="0.2">
      <c r="A146" s="21" t="s">
        <v>157</v>
      </c>
    </row>
    <row r="147" spans="1:10" x14ac:dyDescent="0.2">
      <c r="A147" s="145"/>
      <c r="B147" s="147" t="s">
        <v>26</v>
      </c>
      <c r="C147" s="147"/>
      <c r="D147" s="147" t="s">
        <v>55</v>
      </c>
      <c r="E147" s="147"/>
      <c r="F147" s="147" t="s">
        <v>147</v>
      </c>
      <c r="G147" s="147"/>
      <c r="H147" s="147" t="s">
        <v>57</v>
      </c>
      <c r="I147" s="147"/>
      <c r="J147" s="147" t="s">
        <v>59</v>
      </c>
    </row>
    <row r="148" spans="1:10" x14ac:dyDescent="0.2">
      <c r="A148" s="146"/>
      <c r="B148" s="115" t="s">
        <v>30</v>
      </c>
      <c r="C148" s="115" t="s">
        <v>31</v>
      </c>
      <c r="D148" s="115" t="s">
        <v>28</v>
      </c>
      <c r="E148" s="115" t="s">
        <v>27</v>
      </c>
      <c r="F148" s="115" t="s">
        <v>28</v>
      </c>
      <c r="G148" s="115" t="s">
        <v>27</v>
      </c>
      <c r="H148" s="117" t="s">
        <v>58</v>
      </c>
      <c r="I148" s="117" t="s">
        <v>53</v>
      </c>
      <c r="J148" s="147"/>
    </row>
    <row r="149" spans="1:10" x14ac:dyDescent="0.2">
      <c r="A149" s="118" t="s">
        <v>66</v>
      </c>
      <c r="B149" s="125">
        <f t="shared" ref="B149:B160" si="24">(B132/B115)^(1/6)-1</f>
        <v>8.5367462317018861E-2</v>
      </c>
      <c r="C149" s="125">
        <f t="shared" ref="C149:H149" si="25">(C132/C115)^(1/6)-1</f>
        <v>0.14822653162806043</v>
      </c>
      <c r="D149" s="125">
        <f t="shared" si="25"/>
        <v>0.17567695231006941</v>
      </c>
      <c r="E149" s="125">
        <f t="shared" si="25"/>
        <v>0.15169662632749703</v>
      </c>
      <c r="F149" s="125">
        <f t="shared" si="25"/>
        <v>0.1514541031410308</v>
      </c>
      <c r="G149" s="125">
        <f t="shared" si="25"/>
        <v>0.10304762862760808</v>
      </c>
      <c r="H149" s="125">
        <f t="shared" si="25"/>
        <v>0.13938586523611418</v>
      </c>
      <c r="I149" s="125">
        <f t="shared" ref="I149:J160" si="26">(I132/I115)^(1/6)-1</f>
        <v>-6.6999389215063321E-3</v>
      </c>
      <c r="J149" s="125">
        <f t="shared" si="26"/>
        <v>6.7781377046150171E-2</v>
      </c>
    </row>
    <row r="150" spans="1:10" x14ac:dyDescent="0.2">
      <c r="A150" s="118" t="s">
        <v>67</v>
      </c>
      <c r="B150" s="125">
        <f t="shared" si="24"/>
        <v>0.12362586984835255</v>
      </c>
      <c r="C150" s="125">
        <f t="shared" ref="C150:H160" si="27">(C133/C116)^(1/6)-1</f>
        <v>0.18836163199320821</v>
      </c>
      <c r="D150" s="125">
        <f t="shared" si="27"/>
        <v>0.21565674321797856</v>
      </c>
      <c r="E150" s="125">
        <f t="shared" si="27"/>
        <v>0.19146553275630884</v>
      </c>
      <c r="F150" s="125">
        <f t="shared" si="27"/>
        <v>0.12532472225429214</v>
      </c>
      <c r="G150" s="125">
        <f t="shared" si="27"/>
        <v>0.14100619387898905</v>
      </c>
      <c r="H150" s="125">
        <f t="shared" si="27"/>
        <v>0.17951600147824287</v>
      </c>
      <c r="I150" s="125">
        <f t="shared" si="26"/>
        <v>2.6724800390705461E-2</v>
      </c>
      <c r="J150" s="125">
        <f t="shared" si="26"/>
        <v>6.9406470451728319E-2</v>
      </c>
    </row>
    <row r="151" spans="1:10" x14ac:dyDescent="0.2">
      <c r="A151" s="118" t="s">
        <v>72</v>
      </c>
      <c r="B151" s="125">
        <f t="shared" si="24"/>
        <v>0.11822862609300366</v>
      </c>
      <c r="C151" s="125">
        <f t="shared" si="27"/>
        <v>0.17852701192677034</v>
      </c>
      <c r="D151" s="125">
        <f t="shared" si="27"/>
        <v>0.21188329532008954</v>
      </c>
      <c r="E151" s="125">
        <f t="shared" si="27"/>
        <v>0.18562295839065368</v>
      </c>
      <c r="F151" s="125">
        <f t="shared" si="27"/>
        <v>0.10922935467512418</v>
      </c>
      <c r="G151" s="125">
        <f t="shared" si="27"/>
        <v>0.13607534820224498</v>
      </c>
      <c r="H151" s="125">
        <f t="shared" si="27"/>
        <v>0.17190193415048771</v>
      </c>
      <c r="I151" s="125">
        <f t="shared" si="26"/>
        <v>2.054826773081686E-2</v>
      </c>
      <c r="J151" s="125">
        <f t="shared" si="26"/>
        <v>7.1713705106080994E-2</v>
      </c>
    </row>
    <row r="152" spans="1:10" x14ac:dyDescent="0.2">
      <c r="A152" s="118" t="s">
        <v>69</v>
      </c>
      <c r="B152" s="125">
        <f t="shared" si="24"/>
        <v>9.5774207382494314E-2</v>
      </c>
      <c r="C152" s="125">
        <f t="shared" si="27"/>
        <v>0.14592955770576266</v>
      </c>
      <c r="D152" s="125">
        <f t="shared" si="27"/>
        <v>0.19670855556983335</v>
      </c>
      <c r="E152" s="125">
        <f t="shared" si="27"/>
        <v>0.16341754374272566</v>
      </c>
      <c r="F152" s="125">
        <f t="shared" si="27"/>
        <v>6.834562121952148E-2</v>
      </c>
      <c r="G152" s="125">
        <f t="shared" si="27"/>
        <v>0.11019171912135262</v>
      </c>
      <c r="H152" s="125">
        <f t="shared" si="27"/>
        <v>0.14158930580649942</v>
      </c>
      <c r="I152" s="125">
        <f t="shared" si="26"/>
        <v>-4.7671983016347452E-3</v>
      </c>
      <c r="J152" s="125">
        <f t="shared" si="26"/>
        <v>3.511729374329331E-2</v>
      </c>
    </row>
    <row r="153" spans="1:10" x14ac:dyDescent="0.2">
      <c r="A153" s="118" t="s">
        <v>65</v>
      </c>
      <c r="B153" s="125">
        <f t="shared" si="24"/>
        <v>0.15392942798421139</v>
      </c>
      <c r="C153" s="125">
        <f t="shared" si="27"/>
        <v>0.21105785001792743</v>
      </c>
      <c r="D153" s="125">
        <f t="shared" si="27"/>
        <v>0.26204675795404819</v>
      </c>
      <c r="E153" s="125">
        <f t="shared" si="27"/>
        <v>0.229158775138117</v>
      </c>
      <c r="F153" s="125">
        <f t="shared" si="27"/>
        <v>3.1069280786650166E-2</v>
      </c>
      <c r="G153" s="125">
        <f t="shared" si="27"/>
        <v>0.1782526186366955</v>
      </c>
      <c r="H153" s="125">
        <f t="shared" si="27"/>
        <v>0.20929142957571489</v>
      </c>
      <c r="I153" s="125">
        <f t="shared" si="26"/>
        <v>5.7196560672639007E-2</v>
      </c>
      <c r="J153" s="125">
        <f t="shared" si="26"/>
        <v>6.195960413109769E-2</v>
      </c>
    </row>
    <row r="154" spans="1:10" x14ac:dyDescent="0.2">
      <c r="A154" s="118" t="s">
        <v>75</v>
      </c>
      <c r="B154" s="125">
        <f t="shared" si="24"/>
        <v>9.3722758240155191E-2</v>
      </c>
      <c r="C154" s="125">
        <f t="shared" si="27"/>
        <v>0.14917175064238508</v>
      </c>
      <c r="D154" s="125">
        <f t="shared" si="27"/>
        <v>0.18502468825119323</v>
      </c>
      <c r="E154" s="125">
        <f t="shared" si="27"/>
        <v>0.15896437718232459</v>
      </c>
      <c r="F154" s="125">
        <f t="shared" si="27"/>
        <v>3.6243029060766263E-2</v>
      </c>
      <c r="G154" s="125">
        <f t="shared" si="27"/>
        <v>0.11126802819464743</v>
      </c>
      <c r="H154" s="125">
        <f t="shared" si="27"/>
        <v>0.14347932839855604</v>
      </c>
      <c r="I154" s="125">
        <f t="shared" si="26"/>
        <v>-3.5283846770502114E-2</v>
      </c>
      <c r="J154" s="125">
        <f t="shared" si="26"/>
        <v>4.8868605737806714E-2</v>
      </c>
    </row>
    <row r="155" spans="1:10" x14ac:dyDescent="0.2">
      <c r="A155" s="118" t="s">
        <v>73</v>
      </c>
      <c r="B155" s="125">
        <f t="shared" si="24"/>
        <v>0.14024460866607935</v>
      </c>
      <c r="C155" s="125">
        <f t="shared" si="27"/>
        <v>0.17315051725754649</v>
      </c>
      <c r="D155" s="125">
        <f t="shared" si="27"/>
        <v>0.25732603777738738</v>
      </c>
      <c r="E155" s="125">
        <f t="shared" si="27"/>
        <v>0.20837127763345409</v>
      </c>
      <c r="F155" s="125">
        <f t="shared" si="27"/>
        <v>8.0185062997695011E-2</v>
      </c>
      <c r="G155" s="125">
        <f t="shared" si="27"/>
        <v>0.16410303877399035</v>
      </c>
      <c r="H155" s="125">
        <f t="shared" si="27"/>
        <v>0.18713769598936469</v>
      </c>
      <c r="I155" s="125">
        <f t="shared" si="26"/>
        <v>1.7294885265185522E-2</v>
      </c>
      <c r="J155" s="125">
        <f t="shared" si="26"/>
        <v>4.3163368583565287E-2</v>
      </c>
    </row>
    <row r="156" spans="1:10" x14ac:dyDescent="0.2">
      <c r="A156" s="118" t="s">
        <v>70</v>
      </c>
      <c r="B156" s="125">
        <f t="shared" si="24"/>
        <v>0.12716033262273552</v>
      </c>
      <c r="C156" s="125">
        <f t="shared" si="27"/>
        <v>0.15413141166340827</v>
      </c>
      <c r="D156" s="125">
        <f t="shared" si="27"/>
        <v>0.24136683094986666</v>
      </c>
      <c r="E156" s="125">
        <f t="shared" si="27"/>
        <v>0.18716479613416359</v>
      </c>
      <c r="F156" s="125">
        <f t="shared" si="27"/>
        <v>8.5776160678248115E-2</v>
      </c>
      <c r="G156" s="125">
        <f t="shared" si="27"/>
        <v>0.12011776105538763</v>
      </c>
      <c r="H156" s="125">
        <f t="shared" si="27"/>
        <v>0.16645666692086225</v>
      </c>
      <c r="I156" s="125">
        <f t="shared" si="26"/>
        <v>1.6158774828567646E-2</v>
      </c>
      <c r="J156" s="125">
        <f t="shared" si="26"/>
        <v>6.0402925549876141E-2</v>
      </c>
    </row>
    <row r="157" spans="1:10" x14ac:dyDescent="0.2">
      <c r="A157" s="118" t="s">
        <v>68</v>
      </c>
      <c r="B157" s="125">
        <f t="shared" si="24"/>
        <v>0.17494928543607813</v>
      </c>
      <c r="C157" s="125">
        <f t="shared" si="27"/>
        <v>0.19964240465920646</v>
      </c>
      <c r="D157" s="125">
        <f t="shared" si="27"/>
        <v>6.549137830550178E-2</v>
      </c>
      <c r="E157" s="125">
        <f t="shared" si="27"/>
        <v>0.27926286491715691</v>
      </c>
      <c r="F157" s="125">
        <f t="shared" si="27"/>
        <v>3.8457379982548279E-3</v>
      </c>
      <c r="G157" s="125">
        <f t="shared" si="27"/>
        <v>0.19112667741304024</v>
      </c>
      <c r="H157" s="125">
        <f t="shared" si="27"/>
        <v>0.2065623991888148</v>
      </c>
      <c r="I157" s="125">
        <f t="shared" si="26"/>
        <v>5.2371035363093288E-2</v>
      </c>
      <c r="J157" s="125">
        <f t="shared" si="26"/>
        <v>8.6313089276809141E-2</v>
      </c>
    </row>
    <row r="158" spans="1:10" x14ac:dyDescent="0.2">
      <c r="A158" s="118" t="s">
        <v>71</v>
      </c>
      <c r="B158" s="125">
        <f t="shared" si="24"/>
        <v>0.1246963220508599</v>
      </c>
      <c r="C158" s="125">
        <f t="shared" si="27"/>
        <v>0.12422825532838533</v>
      </c>
      <c r="D158" s="125">
        <f t="shared" si="27"/>
        <v>0.11108374785016717</v>
      </c>
      <c r="E158" s="125">
        <f t="shared" si="27"/>
        <v>0.18850966466296426</v>
      </c>
      <c r="F158" s="125">
        <f t="shared" si="27"/>
        <v>4.1120168985029126E-2</v>
      </c>
      <c r="G158" s="125">
        <f t="shared" si="27"/>
        <v>0.1522686836035394</v>
      </c>
      <c r="H158" s="125">
        <f t="shared" si="27"/>
        <v>0.32277988626019538</v>
      </c>
      <c r="I158" s="125">
        <f t="shared" si="26"/>
        <v>7.0544277536651379E-2</v>
      </c>
      <c r="J158" s="125">
        <f t="shared" si="26"/>
        <v>4.1726137508173222E-2</v>
      </c>
    </row>
    <row r="159" spans="1:10" x14ac:dyDescent="0.2">
      <c r="A159" s="118" t="s">
        <v>74</v>
      </c>
      <c r="B159" s="125">
        <f t="shared" si="24"/>
        <v>0.25979903087918155</v>
      </c>
      <c r="C159" s="125">
        <f t="shared" si="27"/>
        <v>0.13362836263576239</v>
      </c>
      <c r="D159" s="125">
        <f t="shared" si="27"/>
        <v>0.12787737417823486</v>
      </c>
      <c r="E159" s="125">
        <f t="shared" si="27"/>
        <v>0.29802046915107594</v>
      </c>
      <c r="F159" s="125">
        <f t="shared" si="27"/>
        <v>5.7651502072906258E-3</v>
      </c>
      <c r="G159" s="125">
        <f t="shared" si="27"/>
        <v>0.19327887253578724</v>
      </c>
      <c r="H159" s="125">
        <f t="shared" si="27"/>
        <v>0.20409912865877011</v>
      </c>
      <c r="I159" s="125">
        <f t="shared" si="26"/>
        <v>7.283639811627296E-2</v>
      </c>
      <c r="J159" s="125">
        <f t="shared" si="26"/>
        <v>7.8911790553922723E-2</v>
      </c>
    </row>
    <row r="160" spans="1:10" x14ac:dyDescent="0.2">
      <c r="A160" s="118" t="s">
        <v>76</v>
      </c>
      <c r="B160" s="125">
        <f t="shared" si="24"/>
        <v>0.11958095610706931</v>
      </c>
      <c r="C160" s="125">
        <f t="shared" si="27"/>
        <v>0.16594822355842198</v>
      </c>
      <c r="D160" s="125">
        <f t="shared" si="27"/>
        <v>0.20741965615156888</v>
      </c>
      <c r="E160" s="125">
        <f t="shared" si="27"/>
        <v>0.18593928799966752</v>
      </c>
      <c r="F160" s="125">
        <f t="shared" si="27"/>
        <v>0.12720763135815871</v>
      </c>
      <c r="G160" s="125">
        <f t="shared" si="27"/>
        <v>0.13938772637732133</v>
      </c>
      <c r="H160" s="125">
        <f t="shared" si="27"/>
        <v>0.16166652629820755</v>
      </c>
      <c r="I160" s="125">
        <f t="shared" si="26"/>
        <v>-3.6113914848292628E-2</v>
      </c>
      <c r="J160" s="125">
        <f t="shared" si="26"/>
        <v>5.1160720262720671E-2</v>
      </c>
    </row>
    <row r="161" spans="1:10" x14ac:dyDescent="0.2">
      <c r="A161" s="123" t="s">
        <v>151</v>
      </c>
    </row>
    <row r="163" spans="1:10" s="97" customFormat="1" x14ac:dyDescent="0.2">
      <c r="A163" s="116" t="s">
        <v>116</v>
      </c>
      <c r="B163" s="98"/>
    </row>
    <row r="164" spans="1:10" s="121" customFormat="1" x14ac:dyDescent="0.2">
      <c r="A164" s="119"/>
      <c r="B164" s="120"/>
    </row>
    <row r="165" spans="1:10" s="121" customFormat="1" x14ac:dyDescent="0.2">
      <c r="A165" s="122" t="s">
        <v>148</v>
      </c>
      <c r="B165" s="120"/>
    </row>
    <row r="166" spans="1:10" x14ac:dyDescent="0.2">
      <c r="A166" s="145"/>
      <c r="B166" s="147" t="s">
        <v>26</v>
      </c>
      <c r="C166" s="147"/>
      <c r="D166" s="147" t="s">
        <v>55</v>
      </c>
      <c r="E166" s="147"/>
      <c r="F166" s="147" t="s">
        <v>147</v>
      </c>
      <c r="G166" s="147"/>
      <c r="H166" s="147" t="s">
        <v>57</v>
      </c>
      <c r="I166" s="147"/>
      <c r="J166" s="147" t="s">
        <v>59</v>
      </c>
    </row>
    <row r="167" spans="1:10" x14ac:dyDescent="0.2">
      <c r="A167" s="146"/>
      <c r="B167" s="115" t="s">
        <v>30</v>
      </c>
      <c r="C167" s="115" t="s">
        <v>31</v>
      </c>
      <c r="D167" s="115" t="s">
        <v>28</v>
      </c>
      <c r="E167" s="115" t="s">
        <v>27</v>
      </c>
      <c r="F167" s="115" t="s">
        <v>28</v>
      </c>
      <c r="G167" s="115" t="s">
        <v>27</v>
      </c>
      <c r="H167" s="117" t="s">
        <v>58</v>
      </c>
      <c r="I167" s="117" t="s">
        <v>53</v>
      </c>
      <c r="J167" s="147"/>
    </row>
    <row r="168" spans="1:10" x14ac:dyDescent="0.2">
      <c r="A168" s="118" t="s">
        <v>67</v>
      </c>
      <c r="B168" s="124">
        <v>19.029137556468214</v>
      </c>
      <c r="C168" s="124">
        <v>18.57462046927262</v>
      </c>
      <c r="D168" s="124">
        <v>3.508637982390185</v>
      </c>
      <c r="E168" s="124">
        <v>21.614048659949724</v>
      </c>
      <c r="F168" s="124">
        <v>0.68873587001298464</v>
      </c>
      <c r="G168" s="124">
        <v>5.9833161087450613</v>
      </c>
      <c r="H168" s="124">
        <v>4.1176678539693663</v>
      </c>
      <c r="I168" s="124">
        <v>2.7870349672208259</v>
      </c>
      <c r="J168" s="124">
        <v>8.4089406968122908</v>
      </c>
    </row>
    <row r="169" spans="1:10" x14ac:dyDescent="0.2">
      <c r="A169" s="118" t="s">
        <v>72</v>
      </c>
      <c r="B169" s="124">
        <v>6.527057474897787</v>
      </c>
      <c r="C169" s="124">
        <v>10.989908871869606</v>
      </c>
      <c r="D169" s="124">
        <v>1.2177479599351542</v>
      </c>
      <c r="E169" s="124">
        <v>7.6412955905048552</v>
      </c>
      <c r="F169" s="124">
        <v>0.3911894392291802</v>
      </c>
      <c r="G169" s="124">
        <v>1.804774350472703</v>
      </c>
      <c r="H169" s="124">
        <v>2.8336549695516267</v>
      </c>
      <c r="I169" s="124">
        <v>2.4405985992108628</v>
      </c>
      <c r="J169" s="124">
        <v>10.792739492649398</v>
      </c>
    </row>
    <row r="170" spans="1:10" x14ac:dyDescent="0.2">
      <c r="A170" s="118" t="s">
        <v>69</v>
      </c>
      <c r="B170" s="124">
        <v>7.4580392343553097</v>
      </c>
      <c r="C170" s="124">
        <v>8.0789291090835302</v>
      </c>
      <c r="D170" s="124">
        <v>1.0912323062726601</v>
      </c>
      <c r="E170" s="124">
        <v>6.820567115377508</v>
      </c>
      <c r="F170" s="124">
        <v>0.44283734063095559</v>
      </c>
      <c r="G170" s="124">
        <v>2.173129972817573</v>
      </c>
      <c r="H170" s="124">
        <v>2.4365450319870257</v>
      </c>
      <c r="I170" s="124">
        <v>2.9446551681537252</v>
      </c>
      <c r="J170" s="124">
        <v>12.569135002788361</v>
      </c>
    </row>
    <row r="171" spans="1:10" x14ac:dyDescent="0.2">
      <c r="A171" s="118" t="s">
        <v>73</v>
      </c>
      <c r="B171" s="124">
        <v>7.143413674307781</v>
      </c>
      <c r="C171" s="124">
        <v>7.2427969610125373</v>
      </c>
      <c r="D171" s="124">
        <v>1.5340804106650592</v>
      </c>
      <c r="E171" s="124">
        <v>9.3455015812379152</v>
      </c>
      <c r="F171" s="124">
        <v>0.21990426750906977</v>
      </c>
      <c r="G171" s="124">
        <v>2.6125167277172823</v>
      </c>
      <c r="H171" s="124">
        <v>1.9727976822782121</v>
      </c>
      <c r="I171" s="124">
        <v>1.8672924180223733</v>
      </c>
      <c r="J171" s="124">
        <v>11.730158890321151</v>
      </c>
    </row>
    <row r="172" spans="1:10" x14ac:dyDescent="0.2">
      <c r="A172" s="118" t="s">
        <v>75</v>
      </c>
      <c r="B172" s="124">
        <v>9.1299464261522196</v>
      </c>
      <c r="C172" s="124">
        <v>8.5956318875496276</v>
      </c>
      <c r="D172" s="124">
        <v>1.989161157622976</v>
      </c>
      <c r="E172" s="124">
        <v>12.138565382076724</v>
      </c>
      <c r="F172" s="124">
        <v>0.30802009845630796</v>
      </c>
      <c r="G172" s="124">
        <v>2.7939898222674073</v>
      </c>
      <c r="H172" s="124">
        <v>1.2530612689608076</v>
      </c>
      <c r="I172" s="124">
        <v>0.1861363317678521</v>
      </c>
      <c r="J172" s="124">
        <v>3.0580772326623</v>
      </c>
    </row>
    <row r="173" spans="1:10" x14ac:dyDescent="0.2">
      <c r="A173" s="118" t="s">
        <v>66</v>
      </c>
      <c r="B173" s="124">
        <v>9.7690950737772315</v>
      </c>
      <c r="C173" s="124">
        <v>7.1133683879901985</v>
      </c>
      <c r="D173" s="124">
        <v>1.0156173571080596</v>
      </c>
      <c r="E173" s="124">
        <v>6.3239016479910335</v>
      </c>
      <c r="F173" s="124">
        <v>0.36376342142531043</v>
      </c>
      <c r="G173" s="124">
        <v>1.9468888492105076</v>
      </c>
      <c r="H173" s="124">
        <v>1.7155131245220381</v>
      </c>
      <c r="I173" s="124">
        <v>1.4390082963929445</v>
      </c>
      <c r="J173" s="124">
        <v>4.9657176099738418</v>
      </c>
    </row>
    <row r="174" spans="1:10" x14ac:dyDescent="0.2">
      <c r="A174" s="118" t="s">
        <v>65</v>
      </c>
      <c r="B174" s="124">
        <v>5.6296903315957127</v>
      </c>
      <c r="C174" s="124">
        <v>4.9452573718773589</v>
      </c>
      <c r="D174" s="124">
        <v>0.33198777884069552</v>
      </c>
      <c r="E174" s="124">
        <v>2.4727491339940135</v>
      </c>
      <c r="F174" s="124">
        <v>2.9873407476440308E-2</v>
      </c>
      <c r="G174" s="124">
        <v>0.87054656411824138</v>
      </c>
      <c r="H174" s="124">
        <v>2.8598348152343482</v>
      </c>
      <c r="I174" s="124">
        <v>4.3677353598760984</v>
      </c>
      <c r="J174" s="124">
        <v>2.7019506095737928</v>
      </c>
    </row>
    <row r="175" spans="1:10" x14ac:dyDescent="0.2">
      <c r="A175" s="118" t="s">
        <v>70</v>
      </c>
      <c r="B175" s="124">
        <v>1.8044588840810292</v>
      </c>
      <c r="C175" s="124">
        <v>1.6832926413856197</v>
      </c>
      <c r="D175" s="124">
        <v>0.44875600715871822</v>
      </c>
      <c r="E175" s="124">
        <v>2.6718251927579657</v>
      </c>
      <c r="F175" s="124">
        <v>8.2268409068077086E-2</v>
      </c>
      <c r="G175" s="124">
        <v>0.73105372513199851</v>
      </c>
      <c r="H175" s="124">
        <v>1.3001625177534797</v>
      </c>
      <c r="I175" s="124">
        <v>1.2384120790458868</v>
      </c>
      <c r="J175" s="124">
        <v>3.5552610018385673</v>
      </c>
    </row>
    <row r="176" spans="1:10" x14ac:dyDescent="0.2">
      <c r="A176" s="118" t="s">
        <v>68</v>
      </c>
      <c r="B176" s="124">
        <v>2.6046622883415962</v>
      </c>
      <c r="C176" s="124">
        <v>4.1101317408339799</v>
      </c>
      <c r="D176" s="124">
        <v>4.9405184246860433E-2</v>
      </c>
      <c r="E176" s="124">
        <v>0.75102592020238801</v>
      </c>
      <c r="F176" s="124">
        <v>4.9888909285550698E-3</v>
      </c>
      <c r="G176" s="124">
        <v>0.24485766331468348</v>
      </c>
      <c r="H176" s="124">
        <v>1.1018592839341097</v>
      </c>
      <c r="I176" s="124">
        <v>1.5515225778039168</v>
      </c>
      <c r="J176" s="124">
        <v>2.8362202598765216</v>
      </c>
    </row>
    <row r="177" spans="1:10" x14ac:dyDescent="0.2">
      <c r="A177" s="118" t="s">
        <v>74</v>
      </c>
      <c r="B177" s="124">
        <v>1.3461429625083541</v>
      </c>
      <c r="C177" s="124">
        <v>1.175178671528164</v>
      </c>
      <c r="D177" s="124">
        <v>8.4873752057213661E-2</v>
      </c>
      <c r="E177" s="124">
        <v>0.93793050881031237</v>
      </c>
      <c r="F177" s="124">
        <v>5.8312513723719267E-3</v>
      </c>
      <c r="G177" s="124">
        <v>0.31622126708428044</v>
      </c>
      <c r="H177" s="124">
        <v>0.3758481476047697</v>
      </c>
      <c r="I177" s="124">
        <v>0.61704531620507264</v>
      </c>
      <c r="J177" s="124">
        <v>2.8529473324128589</v>
      </c>
    </row>
    <row r="178" spans="1:10" x14ac:dyDescent="0.2">
      <c r="A178" s="118" t="s">
        <v>71</v>
      </c>
      <c r="B178" s="124">
        <v>1.0852938683600633</v>
      </c>
      <c r="C178" s="124">
        <v>0.68756270255118335</v>
      </c>
      <c r="D178" s="124">
        <v>0.18024420843232863</v>
      </c>
      <c r="E178" s="124">
        <v>0.95062687046965455</v>
      </c>
      <c r="F178" s="124">
        <v>3.6894548220438111E-2</v>
      </c>
      <c r="G178" s="124">
        <v>0.2754473782592099</v>
      </c>
      <c r="H178" s="124">
        <v>0.13283736610589464</v>
      </c>
      <c r="I178" s="124">
        <v>0.12441730622755034</v>
      </c>
      <c r="J178" s="124">
        <v>1.2368630277538246</v>
      </c>
    </row>
    <row r="179" spans="1:10" x14ac:dyDescent="0.2">
      <c r="A179" s="118" t="s">
        <v>76</v>
      </c>
      <c r="B179" s="124">
        <v>5.3337154312933182</v>
      </c>
      <c r="C179" s="124">
        <v>4.6743728216546225</v>
      </c>
      <c r="D179" s="124">
        <v>1.0099036260830656</v>
      </c>
      <c r="E179" s="124">
        <v>6.0708677202184784</v>
      </c>
      <c r="F179" s="124">
        <v>0.16136844993880081</v>
      </c>
      <c r="G179" s="124">
        <v>1.6612203456793064</v>
      </c>
      <c r="H179" s="124">
        <v>0.75421497116114722</v>
      </c>
      <c r="I179" s="124">
        <v>0.35721434789182827</v>
      </c>
      <c r="J179" s="124">
        <v>2.8407540826819289</v>
      </c>
    </row>
    <row r="180" spans="1:10" x14ac:dyDescent="0.2">
      <c r="A180" s="123" t="s">
        <v>151</v>
      </c>
    </row>
    <row r="182" spans="1:10" x14ac:dyDescent="0.2">
      <c r="A182" s="21" t="s">
        <v>149</v>
      </c>
    </row>
    <row r="183" spans="1:10" x14ac:dyDescent="0.2">
      <c r="A183" s="145"/>
      <c r="B183" s="147" t="s">
        <v>26</v>
      </c>
      <c r="C183" s="147"/>
      <c r="D183" s="147" t="s">
        <v>55</v>
      </c>
      <c r="E183" s="147"/>
      <c r="F183" s="147" t="s">
        <v>147</v>
      </c>
      <c r="G183" s="147"/>
      <c r="H183" s="147" t="s">
        <v>57</v>
      </c>
      <c r="I183" s="147"/>
      <c r="J183" s="147" t="s">
        <v>59</v>
      </c>
    </row>
    <row r="184" spans="1:10" x14ac:dyDescent="0.2">
      <c r="A184" s="146"/>
      <c r="B184" s="115" t="s">
        <v>30</v>
      </c>
      <c r="C184" s="115" t="s">
        <v>31</v>
      </c>
      <c r="D184" s="115" t="s">
        <v>28</v>
      </c>
      <c r="E184" s="115" t="s">
        <v>27</v>
      </c>
      <c r="F184" s="115" t="s">
        <v>28</v>
      </c>
      <c r="G184" s="115" t="s">
        <v>27</v>
      </c>
      <c r="H184" s="117" t="s">
        <v>58</v>
      </c>
      <c r="I184" s="117" t="s">
        <v>53</v>
      </c>
      <c r="J184" s="147"/>
    </row>
    <row r="185" spans="1:10" x14ac:dyDescent="0.2">
      <c r="A185" s="118" t="s">
        <v>67</v>
      </c>
      <c r="B185" s="124">
        <v>33.498316628044925</v>
      </c>
      <c r="C185" s="124">
        <v>66.618937027165742</v>
      </c>
      <c r="D185" s="124">
        <v>13.918076051288459</v>
      </c>
      <c r="E185" s="124">
        <v>80.958637281402233</v>
      </c>
      <c r="F185" s="124">
        <v>0.67456276076522326</v>
      </c>
      <c r="G185" s="124">
        <v>6.2279511307117597</v>
      </c>
      <c r="H185" s="124">
        <v>11.660000532221426</v>
      </c>
      <c r="I185" s="124">
        <v>5.6672262166195981</v>
      </c>
      <c r="J185" s="135">
        <v>11.514818862655472</v>
      </c>
    </row>
    <row r="186" spans="1:10" x14ac:dyDescent="0.2">
      <c r="A186" s="118" t="s">
        <v>72</v>
      </c>
      <c r="B186" s="124">
        <v>10.595511526045399</v>
      </c>
      <c r="C186" s="124">
        <v>35.190478959655628</v>
      </c>
      <c r="D186" s="124">
        <v>4.6856920480556585</v>
      </c>
      <c r="E186" s="124">
        <v>26.746169924752348</v>
      </c>
      <c r="F186" s="124">
        <v>0.23375298456331992</v>
      </c>
      <c r="G186" s="124">
        <v>1.7714313162228796</v>
      </c>
      <c r="H186" s="124">
        <v>7.3896402962017387</v>
      </c>
      <c r="I186" s="124">
        <v>4.52494408978656</v>
      </c>
      <c r="J186" s="135">
        <v>113.34535051839939</v>
      </c>
    </row>
    <row r="187" spans="1:10" x14ac:dyDescent="0.2">
      <c r="A187" s="118" t="s">
        <v>69</v>
      </c>
      <c r="B187" s="124">
        <v>11.137765385461901</v>
      </c>
      <c r="C187" s="124">
        <v>23.211031233131887</v>
      </c>
      <c r="D187" s="124">
        <v>3.8847305724913315</v>
      </c>
      <c r="E187" s="124">
        <v>21.996057904092204</v>
      </c>
      <c r="F187" s="124">
        <v>0.24641815717448642</v>
      </c>
      <c r="G187" s="124">
        <v>1.8831369922583137</v>
      </c>
      <c r="H187" s="124">
        <v>5.7263374045226021</v>
      </c>
      <c r="I187" s="124">
        <v>4.8569179067266495</v>
      </c>
      <c r="J187" s="135">
        <v>19.589664795445152</v>
      </c>
    </row>
    <row r="188" spans="1:10" x14ac:dyDescent="0.2">
      <c r="A188" s="118" t="s">
        <v>73</v>
      </c>
      <c r="B188" s="124">
        <v>10.098133216668357</v>
      </c>
      <c r="C188" s="124">
        <v>19.446251179291497</v>
      </c>
      <c r="D188" s="124">
        <v>4.8743283841164287</v>
      </c>
      <c r="E188" s="124">
        <v>28.083748003847873</v>
      </c>
      <c r="F188" s="124">
        <v>0.2238079792560578</v>
      </c>
      <c r="G188" s="124">
        <v>2.1758891021150037</v>
      </c>
      <c r="H188" s="124">
        <v>4.3497850995533023</v>
      </c>
      <c r="I188" s="124">
        <v>2.8634905507835295</v>
      </c>
      <c r="J188" s="135">
        <v>18.090950638799871</v>
      </c>
    </row>
    <row r="189" spans="1:10" x14ac:dyDescent="0.2">
      <c r="A189" s="118" t="s">
        <v>75</v>
      </c>
      <c r="B189" s="124">
        <v>15.145509891396662</v>
      </c>
      <c r="C189" s="124">
        <v>28.06298368210323</v>
      </c>
      <c r="D189" s="124">
        <v>7.4835894655561654</v>
      </c>
      <c r="E189" s="124">
        <v>42.991543851688007</v>
      </c>
      <c r="F189" s="124">
        <v>0.33111881055551184</v>
      </c>
      <c r="G189" s="124">
        <v>2.8145018541874882</v>
      </c>
      <c r="H189" s="124">
        <v>3.2205352377144467</v>
      </c>
      <c r="I189" s="124">
        <v>0.23870738287770998</v>
      </c>
      <c r="J189" s="135">
        <v>3.047598063424672</v>
      </c>
    </row>
    <row r="190" spans="1:10" x14ac:dyDescent="0.2">
      <c r="A190" s="118" t="s">
        <v>66</v>
      </c>
      <c r="B190" s="124">
        <v>16.864958234426755</v>
      </c>
      <c r="C190" s="124">
        <v>24.082642418743173</v>
      </c>
      <c r="D190" s="124">
        <v>4.183461535691686</v>
      </c>
      <c r="E190" s="124">
        <v>23.928792296248265</v>
      </c>
      <c r="F190" s="124">
        <v>0.26212691138113592</v>
      </c>
      <c r="G190" s="124">
        <v>1.9763834341156172</v>
      </c>
      <c r="H190" s="124">
        <v>4.6973020901999067</v>
      </c>
      <c r="I190" s="124">
        <v>2.8144328282701268</v>
      </c>
      <c r="J190" s="135">
        <v>7.0412161177191859</v>
      </c>
    </row>
    <row r="191" spans="1:10" x14ac:dyDescent="0.2">
      <c r="A191" s="118" t="s">
        <v>65</v>
      </c>
      <c r="B191" s="124">
        <v>13.823196586666867</v>
      </c>
      <c r="C191" s="124">
        <v>24.139822889680961</v>
      </c>
      <c r="D191" s="124">
        <v>2.4523651423765132</v>
      </c>
      <c r="E191" s="124">
        <v>14.114057895216851</v>
      </c>
      <c r="F191" s="124">
        <v>3.3405399264470337E-2</v>
      </c>
      <c r="G191" s="124">
        <v>1.2565600523764702</v>
      </c>
      <c r="H191" s="124">
        <v>11.274407940265476</v>
      </c>
      <c r="I191" s="124">
        <v>12.595204490681548</v>
      </c>
      <c r="J191" s="135">
        <v>6.8637651110751898</v>
      </c>
    </row>
    <row r="192" spans="1:10" x14ac:dyDescent="0.2">
      <c r="A192" s="118" t="s">
        <v>70</v>
      </c>
      <c r="B192" s="124">
        <v>3.0879425650773009</v>
      </c>
      <c r="C192" s="124">
        <v>4.3972763097767427</v>
      </c>
      <c r="D192" s="124">
        <v>2.1358466347455591</v>
      </c>
      <c r="E192" s="124">
        <v>9.9988558483978434</v>
      </c>
      <c r="F192" s="124">
        <v>8.9257860321489635E-2</v>
      </c>
      <c r="G192" s="124">
        <v>0.6617853016748072</v>
      </c>
      <c r="H192" s="124">
        <v>3.2614661391160813</v>
      </c>
      <c r="I192" s="124">
        <v>2.1154966410761351</v>
      </c>
      <c r="J192" s="135">
        <v>4.5233609572021525</v>
      </c>
    </row>
    <row r="193" spans="1:10" x14ac:dyDescent="0.2">
      <c r="A193" s="118" t="s">
        <v>68</v>
      </c>
      <c r="B193" s="124">
        <v>5.0880353895898267</v>
      </c>
      <c r="C193" s="124">
        <v>14.598513624858409</v>
      </c>
      <c r="D193" s="124">
        <v>8.6664120624121418E-2</v>
      </c>
      <c r="E193" s="124">
        <v>4.0076968063901353</v>
      </c>
      <c r="F193" s="124">
        <v>5.0790383525681172E-3</v>
      </c>
      <c r="G193" s="124">
        <v>0.40947603873185529</v>
      </c>
      <c r="H193" s="124">
        <v>3.3704480037897069</v>
      </c>
      <c r="I193" s="124">
        <v>3.363421097759741</v>
      </c>
      <c r="J193" s="135">
        <v>4.1401408033475615</v>
      </c>
    </row>
    <row r="194" spans="1:10" x14ac:dyDescent="0.2">
      <c r="A194" s="118" t="s">
        <v>74</v>
      </c>
      <c r="B194" s="124">
        <v>2.7531204837855938</v>
      </c>
      <c r="C194" s="124">
        <v>3.4871481759129597</v>
      </c>
      <c r="D194" s="124">
        <v>0.21135464308931962</v>
      </c>
      <c r="E194" s="124">
        <v>4.9297542528178138</v>
      </c>
      <c r="F194" s="124">
        <v>6.0034140217338113E-3</v>
      </c>
      <c r="G194" s="124">
        <v>0.55176243013236281</v>
      </c>
      <c r="H194" s="124">
        <v>1.4319849489935379</v>
      </c>
      <c r="I194" s="124">
        <v>1.3191317662040931</v>
      </c>
      <c r="J194" s="135">
        <v>4.1924622506416558</v>
      </c>
    </row>
    <row r="195" spans="1:10" x14ac:dyDescent="0.2">
      <c r="A195" s="118" t="s">
        <v>71</v>
      </c>
      <c r="B195" s="124">
        <v>2.1403850469097971</v>
      </c>
      <c r="C195" s="124">
        <v>1.1818915245599815</v>
      </c>
      <c r="D195" s="124">
        <v>0.61880487713490773</v>
      </c>
      <c r="E195" s="124">
        <v>4.5480555213847431</v>
      </c>
      <c r="F195" s="124">
        <v>4.239843382798239E-2</v>
      </c>
      <c r="G195" s="124">
        <v>0.45925886466915983</v>
      </c>
      <c r="H195" s="124">
        <v>0.26301162964531694</v>
      </c>
      <c r="I195" s="124">
        <v>0.16943583439821647</v>
      </c>
      <c r="J195" s="135">
        <v>1.6291088673499443</v>
      </c>
    </row>
    <row r="196" spans="1:10" x14ac:dyDescent="0.2">
      <c r="A196" s="118" t="s">
        <v>76</v>
      </c>
      <c r="B196" s="124">
        <v>8.3888751231270398</v>
      </c>
      <c r="C196" s="124">
        <v>13.600752842440013</v>
      </c>
      <c r="D196" s="124">
        <v>3.649102853384</v>
      </c>
      <c r="E196" s="124">
        <v>20.619987005816025</v>
      </c>
      <c r="F196" s="124">
        <v>0.16959125347341994</v>
      </c>
      <c r="G196" s="124">
        <v>1.5730532809339104</v>
      </c>
      <c r="H196" s="124">
        <v>1.8743142671898225</v>
      </c>
      <c r="I196" s="124">
        <v>0.45053299792661894</v>
      </c>
      <c r="J196" s="135">
        <v>2.8539959735444413</v>
      </c>
    </row>
    <row r="197" spans="1:10" x14ac:dyDescent="0.2">
      <c r="A197" s="123" t="s">
        <v>151</v>
      </c>
      <c r="J197" s="128"/>
    </row>
    <row r="199" spans="1:10" x14ac:dyDescent="0.2">
      <c r="A199" s="21" t="s">
        <v>150</v>
      </c>
    </row>
    <row r="200" spans="1:10" x14ac:dyDescent="0.2">
      <c r="A200" s="145"/>
      <c r="B200" s="147" t="s">
        <v>26</v>
      </c>
      <c r="C200" s="147"/>
      <c r="D200" s="147" t="s">
        <v>55</v>
      </c>
      <c r="E200" s="147"/>
      <c r="F200" s="147" t="s">
        <v>147</v>
      </c>
      <c r="G200" s="147"/>
      <c r="H200" s="147" t="s">
        <v>57</v>
      </c>
      <c r="I200" s="147"/>
      <c r="J200" s="147" t="s">
        <v>59</v>
      </c>
    </row>
    <row r="201" spans="1:10" x14ac:dyDescent="0.2">
      <c r="A201" s="146"/>
      <c r="B201" s="115" t="s">
        <v>30</v>
      </c>
      <c r="C201" s="115" t="s">
        <v>31</v>
      </c>
      <c r="D201" s="115" t="s">
        <v>28</v>
      </c>
      <c r="E201" s="115" t="s">
        <v>27</v>
      </c>
      <c r="F201" s="115" t="s">
        <v>28</v>
      </c>
      <c r="G201" s="115" t="s">
        <v>27</v>
      </c>
      <c r="H201" s="117" t="s">
        <v>58</v>
      </c>
      <c r="I201" s="117" t="s">
        <v>53</v>
      </c>
      <c r="J201" s="147"/>
    </row>
    <row r="202" spans="1:10" x14ac:dyDescent="0.2">
      <c r="A202" s="118" t="s">
        <v>67</v>
      </c>
      <c r="B202" s="125">
        <f t="shared" ref="B202:I202" si="28">(B185/B168)^(1/6)-1</f>
        <v>9.8838783956908483E-2</v>
      </c>
      <c r="C202" s="125">
        <f t="shared" si="28"/>
        <v>0.23721817622010066</v>
      </c>
      <c r="D202" s="125">
        <f t="shared" si="28"/>
        <v>0.25817226512338665</v>
      </c>
      <c r="E202" s="125">
        <f t="shared" si="28"/>
        <v>0.24620027882407047</v>
      </c>
      <c r="F202" s="125">
        <f t="shared" si="28"/>
        <v>-3.4595229620165702E-3</v>
      </c>
      <c r="G202" s="125">
        <f t="shared" si="28"/>
        <v>6.7010958294912992E-3</v>
      </c>
      <c r="H202" s="125">
        <f t="shared" si="28"/>
        <v>0.18943635825288241</v>
      </c>
      <c r="I202" s="125">
        <f t="shared" si="28"/>
        <v>0.12556700891266059</v>
      </c>
      <c r="J202" s="125">
        <f>(J185/J168)^(1/6)-1</f>
        <v>5.3786515197215001E-2</v>
      </c>
    </row>
    <row r="203" spans="1:10" x14ac:dyDescent="0.2">
      <c r="A203" s="118" t="s">
        <v>72</v>
      </c>
      <c r="B203" s="125">
        <f t="shared" ref="B203:J203" si="29">(B186/B169)^(1/6)-1</f>
        <v>8.4095184269219025E-2</v>
      </c>
      <c r="C203" s="125">
        <f t="shared" si="29"/>
        <v>0.21405542635926578</v>
      </c>
      <c r="D203" s="125">
        <f t="shared" si="29"/>
        <v>0.25180319397214834</v>
      </c>
      <c r="E203" s="125">
        <f t="shared" si="29"/>
        <v>0.23220348639309951</v>
      </c>
      <c r="F203" s="125">
        <f t="shared" si="29"/>
        <v>-8.2241658541071572E-2</v>
      </c>
      <c r="G203" s="125">
        <f t="shared" si="29"/>
        <v>-3.1031248820718726E-3</v>
      </c>
      <c r="H203" s="125">
        <f t="shared" si="29"/>
        <v>0.17321981230858685</v>
      </c>
      <c r="I203" s="125">
        <f t="shared" si="29"/>
        <v>0.10837352441329284</v>
      </c>
      <c r="J203" s="125">
        <f t="shared" si="29"/>
        <v>0.47983059700494812</v>
      </c>
    </row>
    <row r="204" spans="1:10" x14ac:dyDescent="0.2">
      <c r="A204" s="118" t="s">
        <v>69</v>
      </c>
      <c r="B204" s="125">
        <f t="shared" ref="B204:J204" si="30">(B187/B170)^(1/6)-1</f>
        <v>6.9126022199792247E-2</v>
      </c>
      <c r="C204" s="125">
        <f t="shared" si="30"/>
        <v>0.19231252579881808</v>
      </c>
      <c r="D204" s="125">
        <f t="shared" si="30"/>
        <v>0.23568359620775681</v>
      </c>
      <c r="E204" s="125">
        <f t="shared" si="30"/>
        <v>0.215497475679578</v>
      </c>
      <c r="F204" s="125">
        <f t="shared" si="30"/>
        <v>-9.3074920205296952E-2</v>
      </c>
      <c r="G204" s="125">
        <f t="shared" si="30"/>
        <v>-2.3588912942000051E-2</v>
      </c>
      <c r="H204" s="125">
        <f t="shared" si="30"/>
        <v>0.15305604039777543</v>
      </c>
      <c r="I204" s="125">
        <f t="shared" si="30"/>
        <v>8.6978748034322928E-2</v>
      </c>
      <c r="J204" s="125">
        <f t="shared" si="30"/>
        <v>7.6763359908057271E-2</v>
      </c>
    </row>
    <row r="205" spans="1:10" x14ac:dyDescent="0.2">
      <c r="A205" s="118" t="s">
        <v>73</v>
      </c>
      <c r="B205" s="125">
        <f t="shared" ref="B205:J205" si="31">(B188/B171)^(1/6)-1</f>
        <v>5.9390032544394122E-2</v>
      </c>
      <c r="C205" s="125">
        <f t="shared" si="31"/>
        <v>0.17893066276061798</v>
      </c>
      <c r="D205" s="125">
        <f t="shared" si="31"/>
        <v>0.21248891458811614</v>
      </c>
      <c r="E205" s="125">
        <f t="shared" si="31"/>
        <v>0.20127399423435666</v>
      </c>
      <c r="F205" s="125">
        <f t="shared" si="31"/>
        <v>2.9369953433464602E-3</v>
      </c>
      <c r="G205" s="125">
        <f t="shared" si="31"/>
        <v>-3.0019628029919754E-2</v>
      </c>
      <c r="H205" s="125">
        <f t="shared" si="31"/>
        <v>0.14085611710835755</v>
      </c>
      <c r="I205" s="125">
        <f t="shared" si="31"/>
        <v>7.3858939293522718E-2</v>
      </c>
      <c r="J205" s="125">
        <f t="shared" si="31"/>
        <v>7.4879010336807328E-2</v>
      </c>
    </row>
    <row r="206" spans="1:10" x14ac:dyDescent="0.2">
      <c r="A206" s="118" t="s">
        <v>75</v>
      </c>
      <c r="B206" s="125">
        <f t="shared" ref="B206:J206" si="32">(B189/B172)^(1/6)-1</f>
        <v>8.8017660907634188E-2</v>
      </c>
      <c r="C206" s="125">
        <f t="shared" si="32"/>
        <v>0.21798705503153348</v>
      </c>
      <c r="D206" s="125">
        <f t="shared" si="32"/>
        <v>0.24711546314954602</v>
      </c>
      <c r="E206" s="125">
        <f t="shared" si="32"/>
        <v>0.23462750102933083</v>
      </c>
      <c r="F206" s="125">
        <f t="shared" si="32"/>
        <v>1.2124955049969355E-2</v>
      </c>
      <c r="G206" s="125">
        <f t="shared" si="32"/>
        <v>1.2198545183566001E-3</v>
      </c>
      <c r="H206" s="125">
        <f t="shared" si="32"/>
        <v>0.17037748401465969</v>
      </c>
      <c r="I206" s="125">
        <f t="shared" si="32"/>
        <v>4.2331309788976368E-2</v>
      </c>
      <c r="J206" s="125">
        <f t="shared" si="32"/>
        <v>-5.7193687395928894E-4</v>
      </c>
    </row>
    <row r="207" spans="1:10" x14ac:dyDescent="0.2">
      <c r="A207" s="118" t="s">
        <v>66</v>
      </c>
      <c r="B207" s="125">
        <f t="shared" ref="B207:J207" si="33">(B190/B173)^(1/6)-1</f>
        <v>9.5271588860771583E-2</v>
      </c>
      <c r="C207" s="125">
        <f t="shared" si="33"/>
        <v>0.22538193290642727</v>
      </c>
      <c r="D207" s="125">
        <f t="shared" si="33"/>
        <v>0.26609884024429964</v>
      </c>
      <c r="E207" s="125">
        <f t="shared" si="33"/>
        <v>0.24831046732363649</v>
      </c>
      <c r="F207" s="125">
        <f t="shared" si="33"/>
        <v>-5.3148007587282886E-2</v>
      </c>
      <c r="G207" s="125">
        <f t="shared" si="33"/>
        <v>2.5091409013782151E-3</v>
      </c>
      <c r="H207" s="125">
        <f t="shared" si="33"/>
        <v>0.18279389533332213</v>
      </c>
      <c r="I207" s="125">
        <f t="shared" si="33"/>
        <v>0.11829040423292092</v>
      </c>
      <c r="J207" s="125">
        <f t="shared" si="33"/>
        <v>5.9931036826923911E-2</v>
      </c>
    </row>
    <row r="208" spans="1:10" x14ac:dyDescent="0.2">
      <c r="A208" s="118" t="s">
        <v>65</v>
      </c>
      <c r="B208" s="125">
        <f t="shared" ref="B208:J208" si="34">(B191/B174)^(1/6)-1</f>
        <v>0.16150387483803019</v>
      </c>
      <c r="C208" s="125">
        <f t="shared" si="34"/>
        <v>0.3024394135289592</v>
      </c>
      <c r="D208" s="125">
        <f t="shared" si="34"/>
        <v>0.39554498248725256</v>
      </c>
      <c r="E208" s="125">
        <f t="shared" si="34"/>
        <v>0.33683756089334405</v>
      </c>
      <c r="F208" s="125">
        <f t="shared" si="34"/>
        <v>1.8799330003536063E-2</v>
      </c>
      <c r="G208" s="125">
        <f t="shared" si="34"/>
        <v>6.3078187242461503E-2</v>
      </c>
      <c r="H208" s="125">
        <f t="shared" si="34"/>
        <v>0.25687512938427437</v>
      </c>
      <c r="I208" s="125">
        <f t="shared" si="34"/>
        <v>0.19304864285094503</v>
      </c>
      <c r="J208" s="125">
        <f t="shared" si="34"/>
        <v>0.16810218005586708</v>
      </c>
    </row>
    <row r="209" spans="1:10" x14ac:dyDescent="0.2">
      <c r="A209" s="118" t="s">
        <v>70</v>
      </c>
      <c r="B209" s="125">
        <f t="shared" ref="B209:J209" si="35">(B192/B175)^(1/6)-1</f>
        <v>9.3671858151592069E-2</v>
      </c>
      <c r="C209" s="125">
        <f t="shared" si="35"/>
        <v>0.17355655037174755</v>
      </c>
      <c r="D209" s="125">
        <f t="shared" si="35"/>
        <v>0.29696014794071846</v>
      </c>
      <c r="E209" s="125">
        <f t="shared" si="35"/>
        <v>0.24601626402662169</v>
      </c>
      <c r="F209" s="125">
        <f t="shared" si="35"/>
        <v>1.368315314117452E-2</v>
      </c>
      <c r="G209" s="125">
        <f t="shared" si="35"/>
        <v>-1.6454089132174943E-2</v>
      </c>
      <c r="H209" s="125">
        <f t="shared" si="35"/>
        <v>0.16565278432253283</v>
      </c>
      <c r="I209" s="125">
        <f t="shared" si="35"/>
        <v>9.3346603470853218E-2</v>
      </c>
      <c r="J209" s="125">
        <f t="shared" si="35"/>
        <v>4.0954210112566836E-2</v>
      </c>
    </row>
    <row r="210" spans="1:10" x14ac:dyDescent="0.2">
      <c r="A210" s="118" t="s">
        <v>68</v>
      </c>
      <c r="B210" s="125">
        <f t="shared" ref="B210:J210" si="36">(B193/B176)^(1/6)-1</f>
        <v>0.1180634494385282</v>
      </c>
      <c r="C210" s="125">
        <f t="shared" si="36"/>
        <v>0.23521384122633826</v>
      </c>
      <c r="D210" s="125">
        <f t="shared" si="36"/>
        <v>9.8190801949119111E-2</v>
      </c>
      <c r="E210" s="125">
        <f t="shared" si="36"/>
        <v>0.32192451128400701</v>
      </c>
      <c r="F210" s="125">
        <f t="shared" si="36"/>
        <v>2.9891781669324491E-3</v>
      </c>
      <c r="G210" s="125">
        <f t="shared" si="36"/>
        <v>8.9479673757552503E-2</v>
      </c>
      <c r="H210" s="125">
        <f t="shared" si="36"/>
        <v>0.20483317159459835</v>
      </c>
      <c r="I210" s="125">
        <f t="shared" si="36"/>
        <v>0.13763739018775145</v>
      </c>
      <c r="J210" s="125">
        <f t="shared" si="36"/>
        <v>6.5072552298946817E-2</v>
      </c>
    </row>
    <row r="211" spans="1:10" x14ac:dyDescent="0.2">
      <c r="A211" s="118" t="s">
        <v>74</v>
      </c>
      <c r="B211" s="125">
        <f t="shared" ref="B211:J211" si="37">(B194/B177)^(1/6)-1</f>
        <v>0.12664995951495017</v>
      </c>
      <c r="C211" s="125">
        <f t="shared" si="37"/>
        <v>0.1987475985856535</v>
      </c>
      <c r="D211" s="125">
        <f t="shared" si="37"/>
        <v>0.16423253555487971</v>
      </c>
      <c r="E211" s="125">
        <f t="shared" si="37"/>
        <v>0.31858794595792084</v>
      </c>
      <c r="F211" s="125">
        <f t="shared" si="37"/>
        <v>4.8612259498694854E-3</v>
      </c>
      <c r="G211" s="125">
        <f t="shared" si="37"/>
        <v>9.7219477687290556E-2</v>
      </c>
      <c r="H211" s="125">
        <f t="shared" si="37"/>
        <v>0.24974384500778557</v>
      </c>
      <c r="I211" s="125">
        <f t="shared" si="37"/>
        <v>0.13499823572794689</v>
      </c>
      <c r="J211" s="125">
        <f t="shared" si="37"/>
        <v>6.6258650889778226E-2</v>
      </c>
    </row>
    <row r="212" spans="1:10" x14ac:dyDescent="0.2">
      <c r="A212" s="118" t="s">
        <v>71</v>
      </c>
      <c r="B212" s="125">
        <f t="shared" ref="B212:J212" si="38">(B195/B178)^(1/6)-1</f>
        <v>0.11984373967862472</v>
      </c>
      <c r="C212" s="125">
        <f t="shared" si="38"/>
        <v>9.4487698616124494E-2</v>
      </c>
      <c r="D212" s="125">
        <f t="shared" si="38"/>
        <v>0.22823669463849128</v>
      </c>
      <c r="E212" s="125">
        <f t="shared" si="38"/>
        <v>0.29808344728185765</v>
      </c>
      <c r="F212" s="125">
        <f t="shared" si="38"/>
        <v>2.3445222277791888E-2</v>
      </c>
      <c r="G212" s="125">
        <f t="shared" si="38"/>
        <v>8.8937993533606541E-2</v>
      </c>
      <c r="H212" s="125">
        <f t="shared" si="38"/>
        <v>0.12057892259850234</v>
      </c>
      <c r="I212" s="125">
        <f t="shared" si="38"/>
        <v>5.2819883943967083E-2</v>
      </c>
      <c r="J212" s="125">
        <f t="shared" si="38"/>
        <v>4.6979271166150971E-2</v>
      </c>
    </row>
    <row r="213" spans="1:10" x14ac:dyDescent="0.2">
      <c r="A213" s="118" t="s">
        <v>76</v>
      </c>
      <c r="B213" s="125">
        <f t="shared" ref="B213:J213" si="39">(B196/B179)^(1/6)-1</f>
        <v>7.839777068661391E-2</v>
      </c>
      <c r="C213" s="125">
        <f t="shared" si="39"/>
        <v>0.19483132511301071</v>
      </c>
      <c r="D213" s="125">
        <f t="shared" si="39"/>
        <v>0.23875198143087917</v>
      </c>
      <c r="E213" s="125">
        <f t="shared" si="39"/>
        <v>0.22604460191807929</v>
      </c>
      <c r="F213" s="125">
        <f t="shared" si="39"/>
        <v>8.317884838157763E-3</v>
      </c>
      <c r="G213" s="125">
        <f t="shared" si="39"/>
        <v>-9.0478173524740635E-3</v>
      </c>
      <c r="H213" s="125">
        <f t="shared" si="39"/>
        <v>0.16383445536956032</v>
      </c>
      <c r="I213" s="125">
        <f t="shared" si="39"/>
        <v>3.9440461907458868E-2</v>
      </c>
      <c r="J213" s="125">
        <f t="shared" si="39"/>
        <v>7.7539533746295852E-4</v>
      </c>
    </row>
    <row r="214" spans="1:10" x14ac:dyDescent="0.2">
      <c r="A214" s="123" t="s">
        <v>151</v>
      </c>
    </row>
    <row r="216" spans="1:10" s="97" customFormat="1" x14ac:dyDescent="0.2">
      <c r="A216" s="116" t="s">
        <v>119</v>
      </c>
      <c r="B216" s="98"/>
    </row>
    <row r="217" spans="1:10" s="121" customFormat="1" x14ac:dyDescent="0.2">
      <c r="A217" s="119"/>
      <c r="B217" s="120"/>
    </row>
    <row r="218" spans="1:10" s="121" customFormat="1" x14ac:dyDescent="0.2">
      <c r="A218" s="122" t="s">
        <v>158</v>
      </c>
      <c r="B218" s="120"/>
    </row>
    <row r="219" spans="1:10" x14ac:dyDescent="0.2">
      <c r="A219" s="145"/>
      <c r="B219" s="147" t="s">
        <v>26</v>
      </c>
      <c r="C219" s="147"/>
      <c r="D219" s="147" t="s">
        <v>55</v>
      </c>
      <c r="E219" s="147"/>
      <c r="F219" s="147" t="s">
        <v>147</v>
      </c>
      <c r="G219" s="147"/>
      <c r="H219" s="147" t="s">
        <v>57</v>
      </c>
      <c r="I219" s="147"/>
      <c r="J219" s="147" t="s">
        <v>59</v>
      </c>
    </row>
    <row r="220" spans="1:10" x14ac:dyDescent="0.2">
      <c r="A220" s="146"/>
      <c r="B220" s="115" t="s">
        <v>30</v>
      </c>
      <c r="C220" s="115" t="s">
        <v>31</v>
      </c>
      <c r="D220" s="115" t="s">
        <v>28</v>
      </c>
      <c r="E220" s="115" t="s">
        <v>27</v>
      </c>
      <c r="F220" s="115" t="s">
        <v>28</v>
      </c>
      <c r="G220" s="115" t="s">
        <v>27</v>
      </c>
      <c r="H220" s="117" t="s">
        <v>58</v>
      </c>
      <c r="I220" s="117" t="s">
        <v>53</v>
      </c>
      <c r="J220" s="147"/>
    </row>
    <row r="221" spans="1:10" x14ac:dyDescent="0.2">
      <c r="A221" s="118" t="s">
        <v>67</v>
      </c>
      <c r="B221" s="124">
        <v>15.60285605161609</v>
      </c>
      <c r="C221" s="124">
        <v>9.885269492306735</v>
      </c>
      <c r="D221" s="124">
        <v>1.3318220719983724</v>
      </c>
      <c r="E221" s="124">
        <v>7.660511681390811</v>
      </c>
      <c r="F221" s="124">
        <v>1.2383750375077895</v>
      </c>
      <c r="G221" s="124">
        <v>8.8630191267840281</v>
      </c>
      <c r="H221" s="124">
        <v>8.0919355707907528</v>
      </c>
      <c r="I221" s="124">
        <v>4.1577207114266077</v>
      </c>
      <c r="J221" s="124">
        <v>5.9792478678371861</v>
      </c>
    </row>
    <row r="222" spans="1:10" x14ac:dyDescent="0.2">
      <c r="A222" s="118" t="s">
        <v>66</v>
      </c>
      <c r="B222" s="124">
        <v>15.10071755311669</v>
      </c>
      <c r="C222" s="124">
        <v>7.2580388738553632</v>
      </c>
      <c r="D222" s="124">
        <v>0.7535278749290345</v>
      </c>
      <c r="E222" s="124">
        <v>4.3381796299731272</v>
      </c>
      <c r="F222" s="124">
        <v>0.78039598636343088</v>
      </c>
      <c r="G222" s="124">
        <v>5.585609608920346</v>
      </c>
      <c r="H222" s="124">
        <v>6.46430061626124</v>
      </c>
      <c r="I222" s="124">
        <v>4.1994622908269301</v>
      </c>
      <c r="J222" s="124">
        <v>4.8132747350179468</v>
      </c>
    </row>
    <row r="223" spans="1:10" x14ac:dyDescent="0.2">
      <c r="A223" s="118" t="s">
        <v>72</v>
      </c>
      <c r="B223" s="124">
        <v>6.9057209257938474</v>
      </c>
      <c r="C223" s="124">
        <v>7.6265871985263942</v>
      </c>
      <c r="D223" s="124">
        <v>0.61732565597718447</v>
      </c>
      <c r="E223" s="124">
        <v>3.5521905093976232</v>
      </c>
      <c r="F223" s="124">
        <v>0.49555138380798336</v>
      </c>
      <c r="G223" s="124">
        <v>3.5494478520148514</v>
      </c>
      <c r="H223" s="124">
        <v>7.2973706292624376</v>
      </c>
      <c r="I223" s="124">
        <v>4.7895027364813787</v>
      </c>
      <c r="J223" s="124">
        <v>8.3572762809000665</v>
      </c>
    </row>
    <row r="224" spans="1:10" x14ac:dyDescent="0.2">
      <c r="A224" s="118" t="s">
        <v>75</v>
      </c>
      <c r="B224" s="124">
        <v>11.909123884604963</v>
      </c>
      <c r="C224" s="124">
        <v>7.3757501692064587</v>
      </c>
      <c r="D224" s="124">
        <v>1.2100201823301131</v>
      </c>
      <c r="E224" s="124">
        <v>6.9614469271224726</v>
      </c>
      <c r="F224" s="124">
        <v>0.93758502256037757</v>
      </c>
      <c r="G224" s="124">
        <v>6.7111206782714703</v>
      </c>
      <c r="H224" s="124">
        <v>3.7938646643420713</v>
      </c>
      <c r="I224" s="124">
        <v>0.66449260983377045</v>
      </c>
      <c r="J224" s="124">
        <v>2.8384736801267025</v>
      </c>
    </row>
    <row r="225" spans="1:10" x14ac:dyDescent="0.2">
      <c r="A225" s="118" t="s">
        <v>65</v>
      </c>
      <c r="B225" s="124">
        <v>6.3460759025330402</v>
      </c>
      <c r="C225" s="124">
        <v>3.6830549577794836</v>
      </c>
      <c r="D225" s="124">
        <v>0.21490054973743516</v>
      </c>
      <c r="E225" s="124">
        <v>1.2419812538049699</v>
      </c>
      <c r="F225" s="124">
        <v>0.23924714412785494</v>
      </c>
      <c r="G225" s="124">
        <v>1.7169472003584374</v>
      </c>
      <c r="H225" s="124">
        <v>7.8166902521047419</v>
      </c>
      <c r="I225" s="124">
        <v>9.1696443437406714</v>
      </c>
      <c r="J225" s="124">
        <v>8.8635300938446289</v>
      </c>
    </row>
    <row r="226" spans="1:10" x14ac:dyDescent="0.2">
      <c r="A226" s="118" t="s">
        <v>73</v>
      </c>
      <c r="B226" s="124">
        <v>7.0155510911259418</v>
      </c>
      <c r="C226" s="124">
        <v>4.6570105917588416</v>
      </c>
      <c r="D226" s="124">
        <v>0.69829077206585599</v>
      </c>
      <c r="E226" s="124">
        <v>4.0172217836181492</v>
      </c>
      <c r="F226" s="124">
        <v>0.65176993587160603</v>
      </c>
      <c r="G226" s="124">
        <v>4.6643875832892405</v>
      </c>
      <c r="H226" s="124">
        <v>4.6364581050308518</v>
      </c>
      <c r="I226" s="124">
        <v>3.3699918366913431</v>
      </c>
      <c r="J226" s="124">
        <v>8.0998497068996578</v>
      </c>
    </row>
    <row r="227" spans="1:10" x14ac:dyDescent="0.2">
      <c r="A227" s="118" t="s">
        <v>69</v>
      </c>
      <c r="B227" s="124">
        <v>5.9395738359662573</v>
      </c>
      <c r="C227" s="124">
        <v>4.17480792554427</v>
      </c>
      <c r="D227" s="124">
        <v>0.40867130196404777</v>
      </c>
      <c r="E227" s="124">
        <v>2.3541816518623606</v>
      </c>
      <c r="F227" s="124">
        <v>0.44365630756342228</v>
      </c>
      <c r="G227" s="124">
        <v>3.1769768315383491</v>
      </c>
      <c r="H227" s="124">
        <v>4.6785599556053334</v>
      </c>
      <c r="I227" s="124">
        <v>4.2946155322363433</v>
      </c>
      <c r="J227" s="124">
        <v>9.1720877636658944</v>
      </c>
    </row>
    <row r="228" spans="1:10" x14ac:dyDescent="0.2">
      <c r="A228" s="118" t="s">
        <v>70</v>
      </c>
      <c r="B228" s="124">
        <v>2.4369804608327614</v>
      </c>
      <c r="C228" s="124">
        <v>1.6170962747117541</v>
      </c>
      <c r="D228" s="124">
        <v>0.29680618742819248</v>
      </c>
      <c r="E228" s="124">
        <v>1.7078416836056014</v>
      </c>
      <c r="F228" s="124">
        <v>0.28018513115954136</v>
      </c>
      <c r="G228" s="124">
        <v>2.0030044008860499</v>
      </c>
      <c r="H228" s="124">
        <v>4.5101009323952601</v>
      </c>
      <c r="I228" s="124">
        <v>3.300836364887735</v>
      </c>
      <c r="J228" s="124">
        <v>2.8964192787965302</v>
      </c>
    </row>
    <row r="229" spans="1:10" x14ac:dyDescent="0.2">
      <c r="A229" s="118" t="s">
        <v>68</v>
      </c>
      <c r="B229" s="124">
        <v>3.3516861350018305</v>
      </c>
      <c r="C229" s="124">
        <v>3.5942708303896262</v>
      </c>
      <c r="D229" s="124">
        <v>7.6581702630379792E-2</v>
      </c>
      <c r="E229" s="124">
        <v>0.4383474228246928</v>
      </c>
      <c r="F229" s="124">
        <v>9.4402855745413183E-2</v>
      </c>
      <c r="G229" s="124">
        <v>0.68041964575915015</v>
      </c>
      <c r="H229" s="124">
        <v>3.4531525025559868</v>
      </c>
      <c r="I229" s="124">
        <v>3.8549294322880341</v>
      </c>
      <c r="J229" s="124">
        <v>2.8016832635373219</v>
      </c>
    </row>
    <row r="230" spans="1:10" x14ac:dyDescent="0.2">
      <c r="A230" s="118" t="s">
        <v>71</v>
      </c>
      <c r="B230" s="124">
        <v>1.608176098204168</v>
      </c>
      <c r="C230" s="124">
        <v>0.77935643238057262</v>
      </c>
      <c r="D230" s="124">
        <v>0.13552418262476887</v>
      </c>
      <c r="E230" s="124">
        <v>0.78496074106647395</v>
      </c>
      <c r="F230" s="124">
        <v>0.13108506041232576</v>
      </c>
      <c r="G230" s="124">
        <v>0.93956245298947483</v>
      </c>
      <c r="H230" s="124">
        <v>0.68187631858640074</v>
      </c>
      <c r="I230" s="124">
        <v>0.39216900176659608</v>
      </c>
      <c r="J230" s="124">
        <v>1.0435003798652942</v>
      </c>
    </row>
    <row r="231" spans="1:10" x14ac:dyDescent="0.2">
      <c r="A231" s="118" t="s">
        <v>74</v>
      </c>
      <c r="B231" s="124">
        <v>0.42333857957973509</v>
      </c>
      <c r="C231" s="124">
        <v>0.13258177674367236</v>
      </c>
      <c r="D231" s="124">
        <v>1.6409315724489192E-2</v>
      </c>
      <c r="E231" s="124">
        <v>5.0025545647839439E-2</v>
      </c>
      <c r="F231" s="124">
        <v>1.6054215212736232E-2</v>
      </c>
      <c r="G231" s="124">
        <v>9.2810611263971332E-2</v>
      </c>
      <c r="H231" s="124">
        <v>0.20932197587248672</v>
      </c>
      <c r="I231" s="124">
        <v>0.16460899154652317</v>
      </c>
      <c r="J231" s="124">
        <v>2.0074326269482459</v>
      </c>
    </row>
    <row r="232" spans="1:10" x14ac:dyDescent="0.2">
      <c r="A232" s="118" t="s">
        <v>76</v>
      </c>
      <c r="B232" s="124">
        <v>5.0742200504140573</v>
      </c>
      <c r="C232" s="124">
        <v>2.9142208399045604</v>
      </c>
      <c r="D232" s="124">
        <v>0.44038817596220547</v>
      </c>
      <c r="E232" s="124">
        <v>2.5362929651466333</v>
      </c>
      <c r="F232" s="124">
        <v>0.413224168965385</v>
      </c>
      <c r="G232" s="124">
        <v>2.9577129967601361</v>
      </c>
      <c r="H232" s="124">
        <v>1.6867556747158665</v>
      </c>
      <c r="I232" s="124">
        <v>0.61041875631925746</v>
      </c>
      <c r="J232" s="124">
        <v>2.2174249481913821</v>
      </c>
    </row>
    <row r="233" spans="1:10" x14ac:dyDescent="0.2">
      <c r="A233" s="123" t="s">
        <v>151</v>
      </c>
    </row>
    <row r="235" spans="1:10" x14ac:dyDescent="0.2">
      <c r="A235" s="21" t="s">
        <v>159</v>
      </c>
    </row>
    <row r="236" spans="1:10" x14ac:dyDescent="0.2">
      <c r="A236" s="145"/>
      <c r="B236" s="147" t="s">
        <v>26</v>
      </c>
      <c r="C236" s="147"/>
      <c r="D236" s="147" t="s">
        <v>55</v>
      </c>
      <c r="E236" s="147"/>
      <c r="F236" s="147" t="s">
        <v>147</v>
      </c>
      <c r="G236" s="147"/>
      <c r="H236" s="147" t="s">
        <v>57</v>
      </c>
      <c r="I236" s="147"/>
      <c r="J236" s="147" t="s">
        <v>59</v>
      </c>
    </row>
    <row r="237" spans="1:10" x14ac:dyDescent="0.2">
      <c r="A237" s="146"/>
      <c r="B237" s="115" t="s">
        <v>30</v>
      </c>
      <c r="C237" s="115" t="s">
        <v>31</v>
      </c>
      <c r="D237" s="115" t="s">
        <v>28</v>
      </c>
      <c r="E237" s="115" t="s">
        <v>27</v>
      </c>
      <c r="F237" s="115" t="s">
        <v>28</v>
      </c>
      <c r="G237" s="115" t="s">
        <v>27</v>
      </c>
      <c r="H237" s="117" t="s">
        <v>58</v>
      </c>
      <c r="I237" s="117" t="s">
        <v>53</v>
      </c>
      <c r="J237" s="147"/>
    </row>
    <row r="238" spans="1:10" x14ac:dyDescent="0.2">
      <c r="A238" s="118" t="s">
        <v>67</v>
      </c>
      <c r="B238" s="124">
        <v>32.80327576193514</v>
      </c>
      <c r="C238" s="124">
        <v>25.765559920075145</v>
      </c>
      <c r="D238" s="124">
        <v>2.6386855830081415</v>
      </c>
      <c r="E238" s="124">
        <v>15.342422628109714</v>
      </c>
      <c r="F238" s="124">
        <v>3.9973702224879393</v>
      </c>
      <c r="G238" s="124">
        <v>24.230572247762552</v>
      </c>
      <c r="H238" s="124">
        <v>21.433273190389261</v>
      </c>
      <c r="I238" s="124">
        <v>5.6218313470947594</v>
      </c>
      <c r="J238" s="124">
        <v>7.9619698655180242</v>
      </c>
    </row>
    <row r="239" spans="1:10" x14ac:dyDescent="0.2">
      <c r="A239" s="118" t="s">
        <v>66</v>
      </c>
      <c r="B239" s="124">
        <v>29.202941335423514</v>
      </c>
      <c r="C239" s="124">
        <v>17.060759022941831</v>
      </c>
      <c r="D239" s="124">
        <v>1.3815651405641374</v>
      </c>
      <c r="E239" s="124">
        <v>8.064517159575745</v>
      </c>
      <c r="F239" s="124">
        <v>2.3259296868936046</v>
      </c>
      <c r="G239" s="124">
        <v>14.119710047147407</v>
      </c>
      <c r="H239" s="124">
        <v>15.718593669594544</v>
      </c>
      <c r="I239" s="124">
        <v>5.1914632528033904</v>
      </c>
      <c r="J239" s="124">
        <v>6.724701148104514</v>
      </c>
    </row>
    <row r="240" spans="1:10" x14ac:dyDescent="0.2">
      <c r="A240" s="118" t="s">
        <v>72</v>
      </c>
      <c r="B240" s="124">
        <v>13.715224958205999</v>
      </c>
      <c r="C240" s="124">
        <v>18.164186843570125</v>
      </c>
      <c r="D240" s="124">
        <v>1.150851674840079</v>
      </c>
      <c r="E240" s="124">
        <v>6.7045651437923981</v>
      </c>
      <c r="F240" s="124">
        <v>1.5095661875712163</v>
      </c>
      <c r="G240" s="124">
        <v>9.1593325979147533</v>
      </c>
      <c r="H240" s="124">
        <v>17.918527499801176</v>
      </c>
      <c r="I240" s="124">
        <v>6.0081080017542625</v>
      </c>
      <c r="J240" s="124">
        <v>11.343799529431694</v>
      </c>
    </row>
    <row r="241" spans="1:10" x14ac:dyDescent="0.2">
      <c r="A241" s="118" t="s">
        <v>75</v>
      </c>
      <c r="B241" s="124">
        <v>24.809936153785955</v>
      </c>
      <c r="C241" s="124">
        <v>18.738200381166994</v>
      </c>
      <c r="D241" s="124">
        <v>2.3704196740568579</v>
      </c>
      <c r="E241" s="124">
        <v>13.779115436343632</v>
      </c>
      <c r="F241" s="124">
        <v>3.0001172728393688</v>
      </c>
      <c r="G241" s="124">
        <v>18.173918987650236</v>
      </c>
      <c r="H241" s="124">
        <v>9.9375310281352984</v>
      </c>
      <c r="I241" s="124">
        <v>0.76325799822407159</v>
      </c>
      <c r="J241" s="124">
        <v>3.5413264768463595</v>
      </c>
    </row>
    <row r="242" spans="1:10" x14ac:dyDescent="0.2">
      <c r="A242" s="118" t="s">
        <v>65</v>
      </c>
      <c r="B242" s="124">
        <v>16.286949260126121</v>
      </c>
      <c r="C242" s="124">
        <v>11.175277124968055</v>
      </c>
      <c r="D242" s="124">
        <v>0.54940496690673668</v>
      </c>
      <c r="E242" s="124">
        <v>3.2012154666602064</v>
      </c>
      <c r="F242" s="124">
        <v>0.97670968298090899</v>
      </c>
      <c r="G242" s="124">
        <v>5.9100408021992186</v>
      </c>
      <c r="H242" s="124">
        <v>25.096741941771189</v>
      </c>
      <c r="I242" s="124">
        <v>15.300439319917279</v>
      </c>
      <c r="J242" s="124">
        <v>11.381085578474352</v>
      </c>
    </row>
    <row r="243" spans="1:10" x14ac:dyDescent="0.2">
      <c r="A243" s="118" t="s">
        <v>73</v>
      </c>
      <c r="B243" s="124">
        <v>18.840767033648309</v>
      </c>
      <c r="C243" s="124">
        <v>15.132886807811744</v>
      </c>
      <c r="D243" s="124">
        <v>1.7820862162957294</v>
      </c>
      <c r="E243" s="124">
        <v>10.342691906487069</v>
      </c>
      <c r="F243" s="124">
        <v>2.6955244143872106</v>
      </c>
      <c r="G243" s="124">
        <v>16.346932389694778</v>
      </c>
      <c r="H243" s="124">
        <v>15.653224319980161</v>
      </c>
      <c r="I243" s="124">
        <v>5.8453596039849565</v>
      </c>
      <c r="J243" s="124">
        <v>8.4391136069170791</v>
      </c>
    </row>
    <row r="244" spans="1:10" x14ac:dyDescent="0.2">
      <c r="A244" s="118" t="s">
        <v>69</v>
      </c>
      <c r="B244" s="124">
        <v>14.170312784742947</v>
      </c>
      <c r="C244" s="124">
        <v>11.743247486525748</v>
      </c>
      <c r="D244" s="124">
        <v>0.9329502241459745</v>
      </c>
      <c r="E244" s="124">
        <v>5.4326935321255716</v>
      </c>
      <c r="F244" s="124">
        <v>1.6338134631908128</v>
      </c>
      <c r="G244" s="124">
        <v>9.9040403691513639</v>
      </c>
      <c r="H244" s="124">
        <v>13.903579750714483</v>
      </c>
      <c r="I244" s="124">
        <v>6.5487679779640047</v>
      </c>
      <c r="J244" s="124">
        <v>10.516836496203302</v>
      </c>
    </row>
    <row r="245" spans="1:10" x14ac:dyDescent="0.2">
      <c r="A245" s="118" t="s">
        <v>70</v>
      </c>
      <c r="B245" s="124">
        <v>5.1995594465684061</v>
      </c>
      <c r="C245" s="124">
        <v>3.2348037641585798</v>
      </c>
      <c r="D245" s="124">
        <v>0.58186181629802636</v>
      </c>
      <c r="E245" s="124">
        <v>3.3935505444232739</v>
      </c>
      <c r="F245" s="124">
        <v>0.88902368288936362</v>
      </c>
      <c r="G245" s="124">
        <v>5.3876766042662512</v>
      </c>
      <c r="H245" s="124">
        <v>11.311095859868246</v>
      </c>
      <c r="I245" s="124">
        <v>4.1794271086473085</v>
      </c>
      <c r="J245" s="124">
        <v>3.7495171624208603</v>
      </c>
    </row>
    <row r="246" spans="1:10" x14ac:dyDescent="0.2">
      <c r="A246" s="118" t="s">
        <v>68</v>
      </c>
      <c r="B246" s="124">
        <v>9.0895177106483978</v>
      </c>
      <c r="C246" s="124">
        <v>11.398758035184789</v>
      </c>
      <c r="D246" s="124">
        <v>0.22594769548519419</v>
      </c>
      <c r="E246" s="124">
        <v>1.3213043207297497</v>
      </c>
      <c r="F246" s="124">
        <v>0.43295553377286078</v>
      </c>
      <c r="G246" s="124">
        <v>2.6147359065909996</v>
      </c>
      <c r="H246" s="124">
        <v>11.588781188497633</v>
      </c>
      <c r="I246" s="124">
        <v>6.6536794606199869</v>
      </c>
      <c r="J246" s="124">
        <v>4.0353921347318122</v>
      </c>
    </row>
    <row r="247" spans="1:10" x14ac:dyDescent="0.2">
      <c r="A247" s="118" t="s">
        <v>71</v>
      </c>
      <c r="B247" s="124">
        <v>3.5857479261243284</v>
      </c>
      <c r="C247" s="124">
        <v>1.1055046562344919</v>
      </c>
      <c r="D247" s="124">
        <v>0.29024777273725977</v>
      </c>
      <c r="E247" s="124">
        <v>1.6707467070540492</v>
      </c>
      <c r="F247" s="124">
        <v>0.44713325688321298</v>
      </c>
      <c r="G247" s="124">
        <v>2.6841045293192725</v>
      </c>
      <c r="H247" s="124">
        <v>1.7593895657156593</v>
      </c>
      <c r="I247" s="124">
        <v>0.37493852356214458</v>
      </c>
      <c r="J247" s="124">
        <v>1.1359805276298027</v>
      </c>
    </row>
    <row r="248" spans="1:10" x14ac:dyDescent="0.2">
      <c r="A248" s="118" t="s">
        <v>74</v>
      </c>
      <c r="B248" s="124">
        <v>1.2528024990295961</v>
      </c>
      <c r="C248" s="124">
        <v>0.59889620214759887</v>
      </c>
      <c r="D248" s="124">
        <v>3.6723411996609966E-2</v>
      </c>
      <c r="E248" s="124">
        <v>0.14255012540360776</v>
      </c>
      <c r="F248" s="124">
        <v>5.2532829707367709E-2</v>
      </c>
      <c r="G248" s="124">
        <v>0.47548084040339589</v>
      </c>
      <c r="H248" s="124">
        <v>0.6070821753482879</v>
      </c>
      <c r="I248" s="124">
        <v>8.1993589084127766E-2</v>
      </c>
      <c r="J248" s="124">
        <v>2.8497581700972923</v>
      </c>
    </row>
    <row r="249" spans="1:10" x14ac:dyDescent="0.2">
      <c r="A249" s="118" t="s">
        <v>76</v>
      </c>
      <c r="B249" s="124">
        <v>11.014907941940814</v>
      </c>
      <c r="C249" s="124">
        <v>7.0398326842437164</v>
      </c>
      <c r="D249" s="124">
        <v>0.90144883588031621</v>
      </c>
      <c r="E249" s="124">
        <v>5.2613272667275925</v>
      </c>
      <c r="F249" s="124">
        <v>1.3802839695042173</v>
      </c>
      <c r="G249" s="124">
        <v>8.3330138451027889</v>
      </c>
      <c r="H249" s="124">
        <v>4.5349228662576246</v>
      </c>
      <c r="I249" s="124">
        <v>0.71451025793658951</v>
      </c>
      <c r="J249" s="124">
        <v>2.6909305598995208</v>
      </c>
    </row>
    <row r="250" spans="1:10" x14ac:dyDescent="0.2">
      <c r="A250" s="123" t="s">
        <v>151</v>
      </c>
    </row>
    <row r="252" spans="1:10" x14ac:dyDescent="0.2">
      <c r="A252" s="21" t="s">
        <v>160</v>
      </c>
    </row>
    <row r="253" spans="1:10" x14ac:dyDescent="0.2">
      <c r="A253" s="145"/>
      <c r="B253" s="147" t="s">
        <v>26</v>
      </c>
      <c r="C253" s="147"/>
      <c r="D253" s="147" t="s">
        <v>55</v>
      </c>
      <c r="E253" s="147"/>
      <c r="F253" s="147" t="s">
        <v>147</v>
      </c>
      <c r="G253" s="147"/>
      <c r="H253" s="147" t="s">
        <v>57</v>
      </c>
      <c r="I253" s="147"/>
      <c r="J253" s="147" t="s">
        <v>59</v>
      </c>
    </row>
    <row r="254" spans="1:10" x14ac:dyDescent="0.2">
      <c r="A254" s="146"/>
      <c r="B254" s="115" t="s">
        <v>30</v>
      </c>
      <c r="C254" s="115" t="s">
        <v>31</v>
      </c>
      <c r="D254" s="115" t="s">
        <v>28</v>
      </c>
      <c r="E254" s="115" t="s">
        <v>27</v>
      </c>
      <c r="F254" s="115" t="s">
        <v>28</v>
      </c>
      <c r="G254" s="115" t="s">
        <v>27</v>
      </c>
      <c r="H254" s="117" t="s">
        <v>58</v>
      </c>
      <c r="I254" s="117" t="s">
        <v>53</v>
      </c>
      <c r="J254" s="147"/>
    </row>
    <row r="255" spans="1:10" x14ac:dyDescent="0.2">
      <c r="A255" s="118" t="s">
        <v>67</v>
      </c>
      <c r="B255" s="125">
        <f t="shared" ref="B255:J255" si="40">(B238/B221)^(1/6)-1</f>
        <v>0.13184125280685244</v>
      </c>
      <c r="C255" s="125">
        <f t="shared" si="40"/>
        <v>0.17311839614574853</v>
      </c>
      <c r="D255" s="125">
        <f t="shared" si="40"/>
        <v>0.1207022383909353</v>
      </c>
      <c r="E255" s="125">
        <f t="shared" si="40"/>
        <v>0.12272319161693068</v>
      </c>
      <c r="F255" s="125">
        <f t="shared" si="40"/>
        <v>0.21568305699913815</v>
      </c>
      <c r="G255" s="125">
        <f t="shared" si="40"/>
        <v>0.18248869491404718</v>
      </c>
      <c r="H255" s="125">
        <f t="shared" si="40"/>
        <v>0.17626727293325239</v>
      </c>
      <c r="I255" s="125">
        <f t="shared" si="40"/>
        <v>5.1567325866139546E-2</v>
      </c>
      <c r="J255" s="125">
        <f t="shared" si="40"/>
        <v>4.8887706689117127E-2</v>
      </c>
    </row>
    <row r="256" spans="1:10" x14ac:dyDescent="0.2">
      <c r="A256" s="118" t="s">
        <v>66</v>
      </c>
      <c r="B256" s="125">
        <f t="shared" ref="B256:J256" si="41">(B239/B222)^(1/6)-1</f>
        <v>0.11619010602239466</v>
      </c>
      <c r="C256" s="125">
        <f t="shared" si="41"/>
        <v>0.15308992212427563</v>
      </c>
      <c r="D256" s="125">
        <f t="shared" si="41"/>
        <v>0.10631467694405572</v>
      </c>
      <c r="E256" s="125">
        <f t="shared" si="41"/>
        <v>0.1088644831076131</v>
      </c>
      <c r="F256" s="125">
        <f t="shared" si="41"/>
        <v>0.19962891678361694</v>
      </c>
      <c r="G256" s="125">
        <f t="shared" si="41"/>
        <v>0.16714782925606797</v>
      </c>
      <c r="H256" s="125">
        <f t="shared" si="41"/>
        <v>0.15961909239510663</v>
      </c>
      <c r="I256" s="125">
        <f t="shared" si="41"/>
        <v>3.5975177784668411E-2</v>
      </c>
      <c r="J256" s="125">
        <f t="shared" si="41"/>
        <v>5.7317424881361934E-2</v>
      </c>
    </row>
    <row r="257" spans="1:10" x14ac:dyDescent="0.2">
      <c r="A257" s="118" t="s">
        <v>72</v>
      </c>
      <c r="B257" s="125">
        <f t="shared" ref="B257:J257" si="42">(B240/B223)^(1/6)-1</f>
        <v>0.1211549841628623</v>
      </c>
      <c r="C257" s="125">
        <f t="shared" si="42"/>
        <v>0.15561797048717563</v>
      </c>
      <c r="D257" s="125">
        <f t="shared" si="42"/>
        <v>0.10938980689868094</v>
      </c>
      <c r="E257" s="125">
        <f t="shared" si="42"/>
        <v>0.1116781274212808</v>
      </c>
      <c r="F257" s="125">
        <f t="shared" si="42"/>
        <v>0.20400209995756868</v>
      </c>
      <c r="G257" s="125">
        <f t="shared" si="42"/>
        <v>0.1711625365357734</v>
      </c>
      <c r="H257" s="125">
        <f t="shared" si="42"/>
        <v>0.16150919496049365</v>
      </c>
      <c r="I257" s="125">
        <f t="shared" si="42"/>
        <v>3.8503307875150217E-2</v>
      </c>
      <c r="J257" s="125">
        <f t="shared" si="42"/>
        <v>5.2241995105964278E-2</v>
      </c>
    </row>
    <row r="258" spans="1:10" x14ac:dyDescent="0.2">
      <c r="A258" s="118" t="s">
        <v>75</v>
      </c>
      <c r="B258" s="125">
        <f t="shared" ref="B258:J258" si="43">(B241/B224)^(1/6)-1</f>
        <v>0.13011933592306613</v>
      </c>
      <c r="C258" s="125">
        <f t="shared" si="43"/>
        <v>0.16811862030932034</v>
      </c>
      <c r="D258" s="125">
        <f t="shared" si="43"/>
        <v>0.1185930195137801</v>
      </c>
      <c r="E258" s="125">
        <f t="shared" si="43"/>
        <v>0.12052178302249539</v>
      </c>
      <c r="F258" s="125">
        <f t="shared" si="43"/>
        <v>0.21391402302131812</v>
      </c>
      <c r="G258" s="125">
        <f t="shared" si="43"/>
        <v>0.18061670315776657</v>
      </c>
      <c r="H258" s="125">
        <f t="shared" si="43"/>
        <v>0.17408474119660644</v>
      </c>
      <c r="I258" s="125">
        <f t="shared" si="43"/>
        <v>2.336415599090258E-2</v>
      </c>
      <c r="J258" s="125">
        <f t="shared" si="43"/>
        <v>3.7560705567029506E-2</v>
      </c>
    </row>
    <row r="259" spans="1:10" x14ac:dyDescent="0.2">
      <c r="A259" s="118" t="s">
        <v>65</v>
      </c>
      <c r="B259" s="125">
        <f t="shared" ref="B259:J259" si="44">(B242/B225)^(1/6)-1</f>
        <v>0.17009847555395474</v>
      </c>
      <c r="C259" s="125">
        <f t="shared" si="44"/>
        <v>0.20321069533249481</v>
      </c>
      <c r="D259" s="125">
        <f t="shared" si="44"/>
        <v>0.16934458576872058</v>
      </c>
      <c r="E259" s="125">
        <f t="shared" si="44"/>
        <v>0.17093641125125703</v>
      </c>
      <c r="F259" s="125">
        <f t="shared" si="44"/>
        <v>0.26421165103726652</v>
      </c>
      <c r="G259" s="125">
        <f t="shared" si="44"/>
        <v>0.22877468790458377</v>
      </c>
      <c r="H259" s="125">
        <f t="shared" si="44"/>
        <v>0.21459756759617754</v>
      </c>
      <c r="I259" s="125">
        <f t="shared" si="44"/>
        <v>8.9076954589066171E-2</v>
      </c>
      <c r="J259" s="125">
        <f t="shared" si="44"/>
        <v>4.2548243467722902E-2</v>
      </c>
    </row>
    <row r="260" spans="1:10" x14ac:dyDescent="0.2">
      <c r="A260" s="118" t="s">
        <v>73</v>
      </c>
      <c r="B260" s="125">
        <f t="shared" ref="B260:J260" si="45">(B243/B226)^(1/6)-1</f>
        <v>0.1789791677639303</v>
      </c>
      <c r="C260" s="125">
        <f t="shared" si="45"/>
        <v>0.21703320172366136</v>
      </c>
      <c r="D260" s="125">
        <f t="shared" si="45"/>
        <v>0.16900239621321766</v>
      </c>
      <c r="E260" s="125">
        <f t="shared" si="45"/>
        <v>0.17071530625836751</v>
      </c>
      <c r="F260" s="125">
        <f t="shared" si="45"/>
        <v>0.2669461544283751</v>
      </c>
      <c r="G260" s="125">
        <f t="shared" si="45"/>
        <v>0.23246219365524379</v>
      </c>
      <c r="H260" s="125">
        <f t="shared" si="45"/>
        <v>0.22481241037338107</v>
      </c>
      <c r="I260" s="125">
        <f t="shared" si="45"/>
        <v>9.6134206696425473E-2</v>
      </c>
      <c r="J260" s="125">
        <f t="shared" si="45"/>
        <v>6.8620657195608281E-3</v>
      </c>
    </row>
    <row r="261" spans="1:10" x14ac:dyDescent="0.2">
      <c r="A261" s="118" t="s">
        <v>69</v>
      </c>
      <c r="B261" s="125">
        <f t="shared" ref="B261:J261" si="46">(B244/B227)^(1/6)-1</f>
        <v>0.15594549967512017</v>
      </c>
      <c r="C261" s="125">
        <f t="shared" si="46"/>
        <v>0.18811538344411316</v>
      </c>
      <c r="D261" s="125">
        <f t="shared" si="46"/>
        <v>0.14748598167668114</v>
      </c>
      <c r="E261" s="125">
        <f t="shared" si="46"/>
        <v>0.14955354742548899</v>
      </c>
      <c r="F261" s="125">
        <f t="shared" si="46"/>
        <v>0.24267997978764777</v>
      </c>
      <c r="G261" s="125">
        <f t="shared" si="46"/>
        <v>0.20864768818875445</v>
      </c>
      <c r="H261" s="125">
        <f t="shared" si="46"/>
        <v>0.19904570793909682</v>
      </c>
      <c r="I261" s="125">
        <f t="shared" si="46"/>
        <v>7.285052700189576E-2</v>
      </c>
      <c r="J261" s="125">
        <f t="shared" si="46"/>
        <v>2.3064040675689679E-2</v>
      </c>
    </row>
    <row r="262" spans="1:10" x14ac:dyDescent="0.2">
      <c r="A262" s="118" t="s">
        <v>70</v>
      </c>
      <c r="B262" s="125">
        <f t="shared" ref="B262:J262" si="47">(B245/B228)^(1/6)-1</f>
        <v>0.13462517853305633</v>
      </c>
      <c r="C262" s="125">
        <f t="shared" si="47"/>
        <v>0.12249740032360878</v>
      </c>
      <c r="D262" s="125">
        <f t="shared" si="47"/>
        <v>0.1187279400807304</v>
      </c>
      <c r="E262" s="125">
        <f t="shared" si="47"/>
        <v>0.12124654752973041</v>
      </c>
      <c r="F262" s="125">
        <f t="shared" si="47"/>
        <v>0.21221049860104046</v>
      </c>
      <c r="G262" s="125">
        <f t="shared" si="47"/>
        <v>0.17928815374640306</v>
      </c>
      <c r="H262" s="125">
        <f t="shared" si="47"/>
        <v>0.16560947832702699</v>
      </c>
      <c r="I262" s="125">
        <f t="shared" si="47"/>
        <v>4.011683714821368E-2</v>
      </c>
      <c r="J262" s="125">
        <f t="shared" si="47"/>
        <v>4.3964312445766485E-2</v>
      </c>
    </row>
    <row r="263" spans="1:10" x14ac:dyDescent="0.2">
      <c r="A263" s="118" t="s">
        <v>68</v>
      </c>
      <c r="B263" s="125">
        <f t="shared" ref="B263:J263" si="48">(B246/B229)^(1/6)-1</f>
        <v>0.18089943883717852</v>
      </c>
      <c r="C263" s="125">
        <f t="shared" si="48"/>
        <v>0.21210745614250981</v>
      </c>
      <c r="D263" s="125">
        <f t="shared" si="48"/>
        <v>0.19760559533664956</v>
      </c>
      <c r="E263" s="125">
        <f t="shared" si="48"/>
        <v>0.20188818595423408</v>
      </c>
      <c r="F263" s="125">
        <f t="shared" si="48"/>
        <v>0.28897064580562981</v>
      </c>
      <c r="G263" s="125">
        <f t="shared" si="48"/>
        <v>0.25153163297480785</v>
      </c>
      <c r="H263" s="125">
        <f t="shared" si="48"/>
        <v>0.22359304768238775</v>
      </c>
      <c r="I263" s="125">
        <f t="shared" si="48"/>
        <v>9.5235655309849676E-2</v>
      </c>
      <c r="J263" s="125">
        <f t="shared" si="48"/>
        <v>6.2701070112355595E-2</v>
      </c>
    </row>
    <row r="264" spans="1:10" x14ac:dyDescent="0.2">
      <c r="A264" s="118" t="s">
        <v>71</v>
      </c>
      <c r="B264" s="125">
        <f t="shared" ref="B264:J264" si="49">(B247/B230)^(1/6)-1</f>
        <v>0.14298630149014802</v>
      </c>
      <c r="C264" s="125">
        <f t="shared" si="49"/>
        <v>5.9995631219908585E-2</v>
      </c>
      <c r="D264" s="125">
        <f t="shared" si="49"/>
        <v>0.13533845967039926</v>
      </c>
      <c r="E264" s="125">
        <f t="shared" si="49"/>
        <v>0.13416727704635489</v>
      </c>
      <c r="F264" s="125">
        <f t="shared" si="49"/>
        <v>0.22691354883741033</v>
      </c>
      <c r="G264" s="125">
        <f t="shared" si="49"/>
        <v>0.19118430346320614</v>
      </c>
      <c r="H264" s="125">
        <f t="shared" si="49"/>
        <v>0.17114158092898135</v>
      </c>
      <c r="I264" s="125">
        <f t="shared" si="49"/>
        <v>-7.4604977054999466E-3</v>
      </c>
      <c r="J264" s="125">
        <f t="shared" si="49"/>
        <v>1.4253182854959467E-2</v>
      </c>
    </row>
    <row r="265" spans="1:10" x14ac:dyDescent="0.2">
      <c r="A265" s="118" t="s">
        <v>74</v>
      </c>
      <c r="B265" s="125">
        <f t="shared" ref="B265:J265" si="50">(B248/B231)^(1/6)-1</f>
        <v>0.19820867750926618</v>
      </c>
      <c r="C265" s="125">
        <f t="shared" si="50"/>
        <v>0.2857147336072281</v>
      </c>
      <c r="D265" s="125">
        <f t="shared" si="50"/>
        <v>0.14369114595890098</v>
      </c>
      <c r="E265" s="125">
        <f t="shared" si="50"/>
        <v>0.1906824750713132</v>
      </c>
      <c r="F265" s="125">
        <f t="shared" si="50"/>
        <v>0.2184478680497659</v>
      </c>
      <c r="G265" s="125">
        <f t="shared" si="50"/>
        <v>0.31297331067932199</v>
      </c>
      <c r="H265" s="125">
        <f t="shared" si="50"/>
        <v>0.19418636821642821</v>
      </c>
      <c r="I265" s="125">
        <f t="shared" si="50"/>
        <v>-0.10966306434872997</v>
      </c>
      <c r="J265" s="125">
        <f t="shared" si="50"/>
        <v>6.0134996722389422E-2</v>
      </c>
    </row>
    <row r="266" spans="1:10" x14ac:dyDescent="0.2">
      <c r="A266" s="118" t="s">
        <v>76</v>
      </c>
      <c r="B266" s="125">
        <f t="shared" ref="B266:J266" si="51">(B249/B232)^(1/6)-1</f>
        <v>0.13789431884871006</v>
      </c>
      <c r="C266" s="125">
        <f t="shared" si="51"/>
        <v>0.15835047112204648</v>
      </c>
      <c r="D266" s="125">
        <f t="shared" si="51"/>
        <v>0.12681055223066107</v>
      </c>
      <c r="E266" s="125">
        <f t="shared" si="51"/>
        <v>0.12931730553988685</v>
      </c>
      <c r="F266" s="125">
        <f t="shared" si="51"/>
        <v>0.22263583749949434</v>
      </c>
      <c r="G266" s="125">
        <f t="shared" si="51"/>
        <v>0.18843202301238948</v>
      </c>
      <c r="H266" s="125">
        <f t="shared" si="51"/>
        <v>0.17919678773628167</v>
      </c>
      <c r="I266" s="125">
        <f t="shared" si="51"/>
        <v>2.6589378131634867E-2</v>
      </c>
      <c r="J266" s="125">
        <f t="shared" si="51"/>
        <v>3.2782634327531923E-2</v>
      </c>
    </row>
    <row r="267" spans="1:10" x14ac:dyDescent="0.2">
      <c r="A267" s="123" t="s">
        <v>151</v>
      </c>
    </row>
    <row r="269" spans="1:10" s="97" customFormat="1" x14ac:dyDescent="0.2">
      <c r="A269" s="116" t="s">
        <v>120</v>
      </c>
      <c r="B269" s="98"/>
    </row>
    <row r="270" spans="1:10" s="121" customFormat="1" x14ac:dyDescent="0.2">
      <c r="A270" s="119"/>
      <c r="B270" s="120"/>
    </row>
    <row r="271" spans="1:10" s="121" customFormat="1" x14ac:dyDescent="0.2">
      <c r="A271" s="122" t="s">
        <v>161</v>
      </c>
      <c r="B271" s="120"/>
    </row>
    <row r="272" spans="1:10" x14ac:dyDescent="0.2">
      <c r="A272" s="145"/>
      <c r="B272" s="147" t="s">
        <v>26</v>
      </c>
      <c r="C272" s="147"/>
      <c r="D272" s="147" t="s">
        <v>55</v>
      </c>
      <c r="E272" s="147"/>
      <c r="F272" s="147" t="s">
        <v>147</v>
      </c>
      <c r="G272" s="147"/>
      <c r="H272" s="147" t="s">
        <v>57</v>
      </c>
      <c r="I272" s="147"/>
      <c r="J272" s="147" t="s">
        <v>59</v>
      </c>
    </row>
    <row r="273" spans="1:10" x14ac:dyDescent="0.2">
      <c r="A273" s="146"/>
      <c r="B273" s="115" t="s">
        <v>30</v>
      </c>
      <c r="C273" s="115" t="s">
        <v>31</v>
      </c>
      <c r="D273" s="115" t="s">
        <v>28</v>
      </c>
      <c r="E273" s="115" t="s">
        <v>27</v>
      </c>
      <c r="F273" s="115" t="s">
        <v>28</v>
      </c>
      <c r="G273" s="115" t="s">
        <v>27</v>
      </c>
      <c r="H273" s="117" t="s">
        <v>58</v>
      </c>
      <c r="I273" s="117" t="s">
        <v>53</v>
      </c>
      <c r="J273" s="147"/>
    </row>
    <row r="274" spans="1:10" x14ac:dyDescent="0.2">
      <c r="A274" s="118" t="s">
        <v>67</v>
      </c>
      <c r="B274" s="124">
        <v>6.7519744747517842</v>
      </c>
      <c r="C274" s="124">
        <v>5.5544933220350785</v>
      </c>
      <c r="D274" s="124">
        <v>0.65712061555969603</v>
      </c>
      <c r="E274" s="124">
        <v>1.7816014327888081</v>
      </c>
      <c r="F274" s="124">
        <v>0.32365994686686289</v>
      </c>
      <c r="G274" s="124">
        <v>4.250202511396254</v>
      </c>
      <c r="H274" s="124">
        <v>3.3625510852062632</v>
      </c>
      <c r="I274" s="124">
        <v>1.526815332734579</v>
      </c>
      <c r="J274" s="124">
        <v>3.2901779912544429</v>
      </c>
    </row>
    <row r="275" spans="1:10" x14ac:dyDescent="0.2">
      <c r="A275" s="118" t="s">
        <v>66</v>
      </c>
      <c r="B275" s="124">
        <v>7.6383360960999918</v>
      </c>
      <c r="C275" s="124">
        <v>4.7832588079239304</v>
      </c>
      <c r="D275" s="124">
        <v>0.43820830028787983</v>
      </c>
      <c r="E275" s="124">
        <v>1.1874675077280255</v>
      </c>
      <c r="F275" s="124">
        <v>0.23872268295533744</v>
      </c>
      <c r="G275" s="124">
        <v>3.1417291137255576</v>
      </c>
      <c r="H275" s="124">
        <v>3.1453708890868315</v>
      </c>
      <c r="I275" s="124">
        <v>1.8194427985346893</v>
      </c>
      <c r="J275" s="124">
        <v>2.5933022391273437</v>
      </c>
    </row>
    <row r="276" spans="1:10" x14ac:dyDescent="0.2">
      <c r="A276" s="118" t="s">
        <v>72</v>
      </c>
      <c r="B276" s="124">
        <v>3.0925269918332066</v>
      </c>
      <c r="C276" s="124">
        <v>4.4258807546863563</v>
      </c>
      <c r="D276" s="124">
        <v>0.31721837637225964</v>
      </c>
      <c r="E276" s="124">
        <v>0.85813383388772391</v>
      </c>
      <c r="F276" s="124">
        <v>0.13419676063785629</v>
      </c>
      <c r="G276" s="124">
        <v>1.7610745841446316</v>
      </c>
      <c r="H276" s="124">
        <v>3.1272934393875955</v>
      </c>
      <c r="I276" s="124">
        <v>1.8233706543072585</v>
      </c>
      <c r="J276" s="124">
        <v>4.3470059628679749</v>
      </c>
    </row>
    <row r="277" spans="1:10" x14ac:dyDescent="0.2">
      <c r="A277" s="118" t="s">
        <v>69</v>
      </c>
      <c r="B277" s="124">
        <v>3.1973586639469929</v>
      </c>
      <c r="C277" s="124">
        <v>2.9390642658759951</v>
      </c>
      <c r="D277" s="124">
        <v>0.25554450264133177</v>
      </c>
      <c r="E277" s="124">
        <v>0.692390039597652</v>
      </c>
      <c r="F277" s="124">
        <v>0.14526714098863744</v>
      </c>
      <c r="G277" s="124">
        <v>1.9076921294105966</v>
      </c>
      <c r="H277" s="124">
        <v>2.4185497876426152</v>
      </c>
      <c r="I277" s="124">
        <v>1.9874070254823619</v>
      </c>
      <c r="J277" s="124">
        <v>4.8728215668317736</v>
      </c>
    </row>
    <row r="278" spans="1:10" x14ac:dyDescent="0.2">
      <c r="A278" s="118" t="s">
        <v>73</v>
      </c>
      <c r="B278" s="124">
        <v>3.1545802059121324</v>
      </c>
      <c r="C278" s="124">
        <v>2.72041985186948</v>
      </c>
      <c r="D278" s="124">
        <v>0.36023194393357882</v>
      </c>
      <c r="E278" s="124">
        <v>0.97324570726496307</v>
      </c>
      <c r="F278" s="124">
        <v>0.17665258586755131</v>
      </c>
      <c r="G278" s="124">
        <v>2.3219698547569751</v>
      </c>
      <c r="H278" s="124">
        <v>1.9856746889037615</v>
      </c>
      <c r="I278" s="124">
        <v>1.2767647834200968</v>
      </c>
      <c r="J278" s="124">
        <v>4.434446648994685</v>
      </c>
    </row>
    <row r="279" spans="1:10" x14ac:dyDescent="0.2">
      <c r="A279" s="118" t="s">
        <v>65</v>
      </c>
      <c r="B279" s="124">
        <v>2.3410479158274331</v>
      </c>
      <c r="C279" s="124">
        <v>1.7508978116241192</v>
      </c>
      <c r="D279" s="124">
        <v>9.2914687781072217E-2</v>
      </c>
      <c r="E279" s="124">
        <v>0.25065252918466746</v>
      </c>
      <c r="F279" s="124">
        <v>5.3402789025050509E-2</v>
      </c>
      <c r="G279" s="124">
        <v>0.69921997470733555</v>
      </c>
      <c r="H279" s="124">
        <v>2.7316089118641864</v>
      </c>
      <c r="I279" s="124">
        <v>2.8663212529585658</v>
      </c>
      <c r="J279" s="124">
        <v>4.702203512774024</v>
      </c>
    </row>
    <row r="280" spans="1:10" x14ac:dyDescent="0.2">
      <c r="A280" s="118" t="s">
        <v>75</v>
      </c>
      <c r="B280" s="124">
        <v>4.223994827755063</v>
      </c>
      <c r="C280" s="124">
        <v>3.3801709737084638</v>
      </c>
      <c r="D280" s="124">
        <v>0.48700836087790589</v>
      </c>
      <c r="E280" s="124">
        <v>1.3203743573400835</v>
      </c>
      <c r="F280" s="124">
        <v>0.20028963915599102</v>
      </c>
      <c r="G280" s="124">
        <v>2.6238998464781371</v>
      </c>
      <c r="H280" s="124">
        <v>1.268224036238119</v>
      </c>
      <c r="I280" s="124">
        <v>0.15700673453725733</v>
      </c>
      <c r="J280" s="124">
        <v>1.1964203287492881</v>
      </c>
    </row>
    <row r="281" spans="1:10" x14ac:dyDescent="0.2">
      <c r="A281" s="118" t="s">
        <v>70</v>
      </c>
      <c r="B281" s="124">
        <v>1.3149518186658562</v>
      </c>
      <c r="C281" s="124">
        <v>1.1530465018012626</v>
      </c>
      <c r="D281" s="124">
        <v>0.1871707525978637</v>
      </c>
      <c r="E281" s="124">
        <v>0.50721967153159087</v>
      </c>
      <c r="F281" s="124">
        <v>9.2322007427043704E-2</v>
      </c>
      <c r="G281" s="124">
        <v>1.2098419318733575</v>
      </c>
      <c r="H281" s="124">
        <v>2.3367169465550401</v>
      </c>
      <c r="I281" s="124">
        <v>1.5243952266236622</v>
      </c>
      <c r="J281" s="124">
        <v>1.681807305383459</v>
      </c>
    </row>
    <row r="282" spans="1:10" x14ac:dyDescent="0.2">
      <c r="A282" s="118" t="s">
        <v>68</v>
      </c>
      <c r="B282" s="124">
        <v>1.4493186069297619</v>
      </c>
      <c r="C282" s="124">
        <v>2.003006221484473</v>
      </c>
      <c r="D282" s="124">
        <v>4.1036685191555893E-2</v>
      </c>
      <c r="E282" s="124">
        <v>0.1110138651770054</v>
      </c>
      <c r="F282" s="124">
        <v>2.5231414499988579E-2</v>
      </c>
      <c r="G282" s="124">
        <v>0.32973272643896923</v>
      </c>
      <c r="H282" s="124">
        <v>1.4007547764565138</v>
      </c>
      <c r="I282" s="124">
        <v>1.3929015970412191</v>
      </c>
      <c r="J282" s="124">
        <v>1.2350015603630036</v>
      </c>
    </row>
    <row r="283" spans="1:10" x14ac:dyDescent="0.2">
      <c r="A283" s="118" t="s">
        <v>74</v>
      </c>
      <c r="B283" s="124">
        <v>0.94456420578201661</v>
      </c>
      <c r="C283" s="124">
        <v>0.79409072732173036</v>
      </c>
      <c r="D283" s="124">
        <v>7.2285412483156314E-2</v>
      </c>
      <c r="E283" s="124">
        <v>0.19506562267582656</v>
      </c>
      <c r="F283" s="124">
        <v>3.6851744673267829E-2</v>
      </c>
      <c r="G283" s="124">
        <v>0.48124031400177775</v>
      </c>
      <c r="H283" s="124">
        <v>0.73353739913718274</v>
      </c>
      <c r="I283" s="124">
        <v>0.73984426704593953</v>
      </c>
      <c r="J283" s="124">
        <v>1.3185820621964226</v>
      </c>
    </row>
    <row r="284" spans="1:10" x14ac:dyDescent="0.2">
      <c r="A284" s="118" t="s">
        <v>71</v>
      </c>
      <c r="B284" s="124">
        <v>0.64269886589732916</v>
      </c>
      <c r="C284" s="124">
        <v>0.39765171341323097</v>
      </c>
      <c r="D284" s="124">
        <v>6.1031701176010061E-2</v>
      </c>
      <c r="E284" s="124">
        <v>0.1676704211337198</v>
      </c>
      <c r="F284" s="124">
        <v>3.0343040994470695E-2</v>
      </c>
      <c r="G284" s="124">
        <v>0.4027896194979958</v>
      </c>
      <c r="H284" s="124">
        <v>0.22510893290962078</v>
      </c>
      <c r="I284" s="124">
        <v>8.6693436230012841E-2</v>
      </c>
      <c r="J284" s="124">
        <v>0.53087145494042187</v>
      </c>
    </row>
    <row r="285" spans="1:10" x14ac:dyDescent="0.2">
      <c r="A285" s="118" t="s">
        <v>76</v>
      </c>
      <c r="B285" s="124">
        <v>2.1854943186925966</v>
      </c>
      <c r="C285" s="124">
        <v>1.6287748748230761</v>
      </c>
      <c r="D285" s="124">
        <v>0.21853282151553929</v>
      </c>
      <c r="E285" s="124">
        <v>0.58979519153483284</v>
      </c>
      <c r="F285" s="124">
        <v>0.10669258407071516</v>
      </c>
      <c r="G285" s="124">
        <v>1.406667067057281</v>
      </c>
      <c r="H285" s="124">
        <v>0.67055559760024586</v>
      </c>
      <c r="I285" s="124">
        <v>0.187144122622799</v>
      </c>
      <c r="J285" s="124">
        <v>1.1453827850106491</v>
      </c>
    </row>
    <row r="286" spans="1:10" x14ac:dyDescent="0.2">
      <c r="A286" s="123" t="s">
        <v>151</v>
      </c>
    </row>
    <row r="288" spans="1:10" x14ac:dyDescent="0.2">
      <c r="A288" s="21" t="s">
        <v>162</v>
      </c>
    </row>
    <row r="289" spans="1:10" x14ac:dyDescent="0.2">
      <c r="A289" s="145"/>
      <c r="B289" s="147" t="s">
        <v>26</v>
      </c>
      <c r="C289" s="147"/>
      <c r="D289" s="147" t="s">
        <v>55</v>
      </c>
      <c r="E289" s="147"/>
      <c r="F289" s="147" t="s">
        <v>147</v>
      </c>
      <c r="G289" s="147"/>
      <c r="H289" s="147" t="s">
        <v>57</v>
      </c>
      <c r="I289" s="147"/>
      <c r="J289" s="147" t="s">
        <v>59</v>
      </c>
    </row>
    <row r="290" spans="1:10" x14ac:dyDescent="0.2">
      <c r="A290" s="146"/>
      <c r="B290" s="115" t="s">
        <v>30</v>
      </c>
      <c r="C290" s="115" t="s">
        <v>31</v>
      </c>
      <c r="D290" s="115" t="s">
        <v>28</v>
      </c>
      <c r="E290" s="115" t="s">
        <v>27</v>
      </c>
      <c r="F290" s="115" t="s">
        <v>28</v>
      </c>
      <c r="G290" s="115" t="s">
        <v>27</v>
      </c>
      <c r="H290" s="117" t="s">
        <v>58</v>
      </c>
      <c r="I290" s="117" t="s">
        <v>53</v>
      </c>
      <c r="J290" s="147"/>
    </row>
    <row r="291" spans="1:10" x14ac:dyDescent="0.2">
      <c r="A291" s="118" t="s">
        <v>67</v>
      </c>
      <c r="B291" s="124">
        <v>13.261936159738347</v>
      </c>
      <c r="C291" s="124">
        <v>17.949646573318894</v>
      </c>
      <c r="D291" s="124">
        <v>2.3874823900723356</v>
      </c>
      <c r="E291" s="124">
        <v>4.7950315307225795</v>
      </c>
      <c r="F291" s="124">
        <v>0.4810332132201286</v>
      </c>
      <c r="G291" s="124">
        <v>10.166935318376209</v>
      </c>
      <c r="H291" s="124">
        <v>10.212525255145014</v>
      </c>
      <c r="I291" s="124">
        <v>2.2696225082847659</v>
      </c>
      <c r="J291" s="124">
        <v>4.7288556115817304</v>
      </c>
    </row>
    <row r="292" spans="1:10" x14ac:dyDescent="0.2">
      <c r="A292" s="118" t="s">
        <v>66</v>
      </c>
      <c r="B292" s="124">
        <v>13.383202533229387</v>
      </c>
      <c r="C292" s="124">
        <v>13.672886244251638</v>
      </c>
      <c r="D292" s="124">
        <v>1.4341097511703202</v>
      </c>
      <c r="E292" s="124">
        <v>2.8809515174048621</v>
      </c>
      <c r="F292" s="124">
        <v>0.31969333657718096</v>
      </c>
      <c r="G292" s="124">
        <v>6.7426882703814286</v>
      </c>
      <c r="H292" s="124">
        <v>8.5008517007242386</v>
      </c>
      <c r="I292" s="124">
        <v>2.3990941163378259</v>
      </c>
      <c r="J292" s="124">
        <v>3.8960529486741677</v>
      </c>
    </row>
    <row r="293" spans="1:10" x14ac:dyDescent="0.2">
      <c r="A293" s="118" t="s">
        <v>72</v>
      </c>
      <c r="B293" s="124">
        <v>4.7882064618989313</v>
      </c>
      <c r="C293" s="124">
        <v>10.742089029688396</v>
      </c>
      <c r="D293" s="124">
        <v>0.90371454491131231</v>
      </c>
      <c r="E293" s="124">
        <v>1.8142918982969365</v>
      </c>
      <c r="F293" s="124">
        <v>0.15867453543874771</v>
      </c>
      <c r="G293" s="124">
        <v>3.3091603329402934</v>
      </c>
      <c r="H293" s="124">
        <v>7.2223429788620557</v>
      </c>
      <c r="I293" s="124">
        <v>2.0336897892747179</v>
      </c>
      <c r="J293" s="124">
        <v>6.1699270538692792</v>
      </c>
    </row>
    <row r="294" spans="1:10" x14ac:dyDescent="0.2">
      <c r="A294" s="118" t="s">
        <v>69</v>
      </c>
      <c r="B294" s="124">
        <v>6.1466000457223444</v>
      </c>
      <c r="C294" s="124">
        <v>8.9506317976229841</v>
      </c>
      <c r="D294" s="124">
        <v>0.9208883708308675</v>
      </c>
      <c r="E294" s="124">
        <v>1.8471172303598637</v>
      </c>
      <c r="F294" s="124">
        <v>0.21399796675722696</v>
      </c>
      <c r="G294" s="124">
        <v>4.4769538258796739</v>
      </c>
      <c r="H294" s="124">
        <v>7.073774435287417</v>
      </c>
      <c r="I294" s="124">
        <v>2.8547310031088031</v>
      </c>
      <c r="J294" s="124">
        <v>5.9258311199009812</v>
      </c>
    </row>
    <row r="295" spans="1:10" x14ac:dyDescent="0.2">
      <c r="A295" s="118" t="s">
        <v>73</v>
      </c>
      <c r="B295" s="124">
        <v>5.5702167522952823</v>
      </c>
      <c r="C295" s="124">
        <v>7.4993737130708418</v>
      </c>
      <c r="D295" s="124">
        <v>1.1680915472249622</v>
      </c>
      <c r="E295" s="124">
        <v>2.3468933006296973</v>
      </c>
      <c r="F295" s="124">
        <v>0.23611095949940564</v>
      </c>
      <c r="G295" s="124">
        <v>4.9570603830651869</v>
      </c>
      <c r="H295" s="124">
        <v>5.2961096336756537</v>
      </c>
      <c r="I295" s="124">
        <v>1.6400613488533495</v>
      </c>
      <c r="J295" s="124">
        <v>4.6241032250939087</v>
      </c>
    </row>
    <row r="296" spans="1:10" x14ac:dyDescent="0.2">
      <c r="A296" s="118" t="s">
        <v>65</v>
      </c>
      <c r="B296" s="124">
        <v>5.0154352549974863</v>
      </c>
      <c r="C296" s="124">
        <v>5.7973580535179021</v>
      </c>
      <c r="D296" s="124">
        <v>0.39835699037804473</v>
      </c>
      <c r="E296" s="124">
        <v>0.79455137414377408</v>
      </c>
      <c r="F296" s="124">
        <v>8.8464134259209806E-2</v>
      </c>
      <c r="G296" s="124">
        <v>1.9102241253087646</v>
      </c>
      <c r="H296" s="124">
        <v>8.8913752658897725</v>
      </c>
      <c r="I296" s="124">
        <v>4.6291928636556054</v>
      </c>
      <c r="J296" s="124">
        <v>6.39080347785006</v>
      </c>
    </row>
    <row r="297" spans="1:10" x14ac:dyDescent="0.2">
      <c r="A297" s="118" t="s">
        <v>75</v>
      </c>
      <c r="B297" s="124">
        <v>6.3152474037711652</v>
      </c>
      <c r="C297" s="124">
        <v>7.9061957892261683</v>
      </c>
      <c r="D297" s="124">
        <v>1.3339909039889388</v>
      </c>
      <c r="E297" s="124">
        <v>2.6804892103802196</v>
      </c>
      <c r="F297" s="124">
        <v>0.22780817534755049</v>
      </c>
      <c r="G297" s="124">
        <v>4.7472069527033769</v>
      </c>
      <c r="H297" s="124">
        <v>2.8520997239701771</v>
      </c>
      <c r="I297" s="124">
        <v>9.0511786759835233E-2</v>
      </c>
      <c r="J297" s="124">
        <v>1.4835629992261166</v>
      </c>
    </row>
    <row r="298" spans="1:10" x14ac:dyDescent="0.2">
      <c r="A298" s="118" t="s">
        <v>70</v>
      </c>
      <c r="B298" s="124">
        <v>2.8827173952997023</v>
      </c>
      <c r="C298" s="124">
        <v>3.6810696964916683</v>
      </c>
      <c r="D298" s="124">
        <v>0.75633149883772843</v>
      </c>
      <c r="E298" s="124">
        <v>1.5199587770262317</v>
      </c>
      <c r="F298" s="124">
        <v>0.15324675207887892</v>
      </c>
      <c r="G298" s="124">
        <v>3.1983442629299526</v>
      </c>
      <c r="H298" s="124">
        <v>7.6027951899024497</v>
      </c>
      <c r="I298" s="124">
        <v>2.4353925581970226</v>
      </c>
      <c r="J298" s="124">
        <v>2.3801237623986302</v>
      </c>
    </row>
    <row r="299" spans="1:10" x14ac:dyDescent="0.2">
      <c r="A299" s="118" t="s">
        <v>68</v>
      </c>
      <c r="B299" s="124">
        <v>3.3291955886853088</v>
      </c>
      <c r="C299" s="124">
        <v>7.1058372694601823</v>
      </c>
      <c r="D299" s="124">
        <v>0.20637271519483616</v>
      </c>
      <c r="E299" s="124">
        <v>0.41391597993319518</v>
      </c>
      <c r="F299" s="124">
        <v>4.3710708217870278E-2</v>
      </c>
      <c r="G299" s="124">
        <v>1.0270199357853333</v>
      </c>
      <c r="H299" s="124">
        <v>4.8412660704516428</v>
      </c>
      <c r="I299" s="124">
        <v>2.3654727472667885</v>
      </c>
      <c r="J299" s="124">
        <v>1.9823226271568046</v>
      </c>
    </row>
    <row r="300" spans="1:10" x14ac:dyDescent="0.2">
      <c r="A300" s="118" t="s">
        <v>74</v>
      </c>
      <c r="B300" s="124">
        <v>2.6640485335683244</v>
      </c>
      <c r="C300" s="124">
        <v>3.3033538784016834</v>
      </c>
      <c r="D300" s="124">
        <v>0.4081053514745987</v>
      </c>
      <c r="E300" s="124">
        <v>0.81274307393604028</v>
      </c>
      <c r="F300" s="124">
        <v>8.0205481516551283E-2</v>
      </c>
      <c r="G300" s="124">
        <v>1.7489190535681578</v>
      </c>
      <c r="H300" s="124">
        <v>3.1822193335655258</v>
      </c>
      <c r="I300" s="124">
        <v>1.5747160885022595</v>
      </c>
      <c r="J300" s="124">
        <v>2.029185609310145</v>
      </c>
    </row>
    <row r="301" spans="1:10" x14ac:dyDescent="0.2">
      <c r="A301" s="118" t="s">
        <v>71</v>
      </c>
      <c r="B301" s="124">
        <v>1.2370448594297225</v>
      </c>
      <c r="C301" s="124">
        <v>0.68965364473280777</v>
      </c>
      <c r="D301" s="124">
        <v>0.22323048580970828</v>
      </c>
      <c r="E301" s="124">
        <v>0.45832679374579904</v>
      </c>
      <c r="F301" s="124">
        <v>3.8039107025953145E-2</v>
      </c>
      <c r="G301" s="124">
        <v>0.93220106183602625</v>
      </c>
      <c r="H301" s="124">
        <v>0.56216073044442016</v>
      </c>
      <c r="I301" s="124">
        <v>3.1286311078695797E-2</v>
      </c>
      <c r="J301" s="124">
        <v>0.61231514211698479</v>
      </c>
    </row>
    <row r="302" spans="1:10" x14ac:dyDescent="0.2">
      <c r="A302" s="118" t="s">
        <v>76</v>
      </c>
      <c r="B302" s="124">
        <v>4.1598590475182498</v>
      </c>
      <c r="C302" s="124">
        <v>4.6531583473188265</v>
      </c>
      <c r="D302" s="124">
        <v>0.77180043943846388</v>
      </c>
      <c r="E302" s="124">
        <v>1.5488044628699609</v>
      </c>
      <c r="F302" s="124">
        <v>0.1553953817283262</v>
      </c>
      <c r="G302" s="124">
        <v>3.2592557112329397</v>
      </c>
      <c r="H302" s="124">
        <v>1.9173744990574675</v>
      </c>
      <c r="I302" s="124">
        <v>0.20184795933961963</v>
      </c>
      <c r="J302" s="124">
        <v>1.479135516156215</v>
      </c>
    </row>
    <row r="303" spans="1:10" x14ac:dyDescent="0.2">
      <c r="A303" s="123" t="s">
        <v>151</v>
      </c>
    </row>
    <row r="305" spans="1:10" x14ac:dyDescent="0.2">
      <c r="A305" s="21" t="s">
        <v>163</v>
      </c>
    </row>
    <row r="306" spans="1:10" x14ac:dyDescent="0.2">
      <c r="A306" s="145"/>
      <c r="B306" s="147" t="s">
        <v>26</v>
      </c>
      <c r="C306" s="147"/>
      <c r="D306" s="147" t="s">
        <v>55</v>
      </c>
      <c r="E306" s="147"/>
      <c r="F306" s="147" t="s">
        <v>147</v>
      </c>
      <c r="G306" s="147"/>
      <c r="H306" s="147" t="s">
        <v>57</v>
      </c>
      <c r="I306" s="147"/>
      <c r="J306" s="147" t="s">
        <v>59</v>
      </c>
    </row>
    <row r="307" spans="1:10" x14ac:dyDescent="0.2">
      <c r="A307" s="146"/>
      <c r="B307" s="115" t="s">
        <v>30</v>
      </c>
      <c r="C307" s="115" t="s">
        <v>31</v>
      </c>
      <c r="D307" s="115" t="s">
        <v>28</v>
      </c>
      <c r="E307" s="115" t="s">
        <v>27</v>
      </c>
      <c r="F307" s="115" t="s">
        <v>28</v>
      </c>
      <c r="G307" s="115" t="s">
        <v>27</v>
      </c>
      <c r="H307" s="117" t="s">
        <v>58</v>
      </c>
      <c r="I307" s="117" t="s">
        <v>53</v>
      </c>
      <c r="J307" s="147"/>
    </row>
    <row r="308" spans="1:10" x14ac:dyDescent="0.2">
      <c r="A308" s="118" t="s">
        <v>67</v>
      </c>
      <c r="B308" s="125">
        <f t="shared" ref="B308:J308" si="52">(B291/B274)^(1/6)-1</f>
        <v>0.11908400952232889</v>
      </c>
      <c r="C308" s="125">
        <f t="shared" si="52"/>
        <v>0.21591133984705002</v>
      </c>
      <c r="D308" s="125">
        <f t="shared" si="52"/>
        <v>0.23988816361113852</v>
      </c>
      <c r="E308" s="125">
        <f t="shared" si="52"/>
        <v>0.17940641504592136</v>
      </c>
      <c r="F308" s="125">
        <f t="shared" si="52"/>
        <v>6.826996344639058E-2</v>
      </c>
      <c r="G308" s="125">
        <f t="shared" si="52"/>
        <v>0.15645855403339737</v>
      </c>
      <c r="H308" s="125">
        <f t="shared" si="52"/>
        <v>0.20340194407089318</v>
      </c>
      <c r="I308" s="125">
        <f t="shared" si="52"/>
        <v>6.8303176007066702E-2</v>
      </c>
      <c r="J308" s="125">
        <f t="shared" si="52"/>
        <v>6.2321840019353036E-2</v>
      </c>
    </row>
    <row r="309" spans="1:10" x14ac:dyDescent="0.2">
      <c r="A309" s="118" t="s">
        <v>66</v>
      </c>
      <c r="B309" s="125">
        <f t="shared" ref="B309:J309" si="53">(B292/B275)^(1/6)-1</f>
        <v>9.7977770996271474E-2</v>
      </c>
      <c r="C309" s="125">
        <f t="shared" si="53"/>
        <v>0.19130432947524389</v>
      </c>
      <c r="D309" s="125">
        <f t="shared" si="53"/>
        <v>0.21847595922337737</v>
      </c>
      <c r="E309" s="125">
        <f t="shared" si="53"/>
        <v>0.15918397625431036</v>
      </c>
      <c r="F309" s="125">
        <f t="shared" si="53"/>
        <v>4.9880774408267659E-2</v>
      </c>
      <c r="G309" s="125">
        <f t="shared" si="53"/>
        <v>0.13573599687849902</v>
      </c>
      <c r="H309" s="125">
        <f t="shared" si="53"/>
        <v>0.18022577816263863</v>
      </c>
      <c r="I309" s="125">
        <f t="shared" si="53"/>
        <v>4.7172302158673851E-2</v>
      </c>
      <c r="J309" s="125">
        <f t="shared" si="53"/>
        <v>7.0192621967294144E-2</v>
      </c>
    </row>
    <row r="310" spans="1:10" x14ac:dyDescent="0.2">
      <c r="A310" s="118" t="s">
        <v>72</v>
      </c>
      <c r="B310" s="125">
        <f t="shared" ref="B310:J310" si="54">(B293/B276)^(1/6)-1</f>
        <v>7.5581263494806095E-2</v>
      </c>
      <c r="C310" s="125">
        <f t="shared" si="54"/>
        <v>0.15926174991818809</v>
      </c>
      <c r="D310" s="125">
        <f t="shared" si="54"/>
        <v>0.19063548636976413</v>
      </c>
      <c r="E310" s="125">
        <f t="shared" si="54"/>
        <v>0.13290116304252098</v>
      </c>
      <c r="F310" s="125">
        <f t="shared" si="54"/>
        <v>2.8318227119696671E-2</v>
      </c>
      <c r="G310" s="125">
        <f t="shared" si="54"/>
        <v>0.11085321613854404</v>
      </c>
      <c r="H310" s="125">
        <f t="shared" si="54"/>
        <v>0.14970100891687754</v>
      </c>
      <c r="I310" s="125">
        <f t="shared" si="54"/>
        <v>1.8360685033682156E-2</v>
      </c>
      <c r="J310" s="125">
        <f t="shared" si="54"/>
        <v>6.0103574597556664E-2</v>
      </c>
    </row>
    <row r="311" spans="1:10" x14ac:dyDescent="0.2">
      <c r="A311" s="118" t="s">
        <v>69</v>
      </c>
      <c r="B311" s="125">
        <f t="shared" ref="B311:J311" si="55">(B294/B277)^(1/6)-1</f>
        <v>0.11508318394926453</v>
      </c>
      <c r="C311" s="125">
        <f t="shared" si="55"/>
        <v>0.20394718300530035</v>
      </c>
      <c r="D311" s="125">
        <f t="shared" si="55"/>
        <v>0.23819793197456174</v>
      </c>
      <c r="E311" s="125">
        <f t="shared" si="55"/>
        <v>0.17767089307464956</v>
      </c>
      <c r="F311" s="125">
        <f t="shared" si="55"/>
        <v>6.6695287139282078E-2</v>
      </c>
      <c r="G311" s="125">
        <f t="shared" si="55"/>
        <v>0.15277811028454424</v>
      </c>
      <c r="H311" s="125">
        <f t="shared" si="55"/>
        <v>0.19586648828984021</v>
      </c>
      <c r="I311" s="125">
        <f t="shared" si="55"/>
        <v>6.2216545351696517E-2</v>
      </c>
      <c r="J311" s="125">
        <f t="shared" si="55"/>
        <v>3.3145433095660426E-2</v>
      </c>
    </row>
    <row r="312" spans="1:10" x14ac:dyDescent="0.2">
      <c r="A312" s="118" t="s">
        <v>73</v>
      </c>
      <c r="B312" s="125">
        <f t="shared" ref="B312:J312" si="56">(B295/B278)^(1/6)-1</f>
        <v>9.9398365262036936E-2</v>
      </c>
      <c r="C312" s="125">
        <f t="shared" si="56"/>
        <v>0.1841267081310054</v>
      </c>
      <c r="D312" s="125">
        <f t="shared" si="56"/>
        <v>0.21660363554558226</v>
      </c>
      <c r="E312" s="125">
        <f t="shared" si="56"/>
        <v>0.15800866228344845</v>
      </c>
      <c r="F312" s="125">
        <f t="shared" si="56"/>
        <v>4.9540876750976404E-2</v>
      </c>
      <c r="G312" s="125">
        <f t="shared" si="56"/>
        <v>0.13473540446021959</v>
      </c>
      <c r="H312" s="125">
        <f t="shared" si="56"/>
        <v>0.17762805776230417</v>
      </c>
      <c r="I312" s="125">
        <f t="shared" si="56"/>
        <v>4.2617154983780159E-2</v>
      </c>
      <c r="J312" s="125">
        <f t="shared" si="56"/>
        <v>7.0043525322187605E-3</v>
      </c>
    </row>
    <row r="313" spans="1:10" x14ac:dyDescent="0.2">
      <c r="A313" s="118" t="s">
        <v>65</v>
      </c>
      <c r="B313" s="125">
        <f t="shared" ref="B313:J313" si="57">(B296/B279)^(1/6)-1</f>
        <v>0.13540217265562537</v>
      </c>
      <c r="C313" s="125">
        <f t="shared" si="57"/>
        <v>0.22084788170849357</v>
      </c>
      <c r="D313" s="125">
        <f t="shared" si="57"/>
        <v>0.27457289467861323</v>
      </c>
      <c r="E313" s="125">
        <f t="shared" si="57"/>
        <v>0.21201589469119719</v>
      </c>
      <c r="F313" s="125">
        <f t="shared" si="57"/>
        <v>8.7761997589215879E-2</v>
      </c>
      <c r="G313" s="125">
        <f t="shared" si="57"/>
        <v>0.18234735246718348</v>
      </c>
      <c r="H313" s="125">
        <f t="shared" si="57"/>
        <v>0.21737693709569861</v>
      </c>
      <c r="I313" s="125">
        <f t="shared" si="57"/>
        <v>8.317027959582024E-2</v>
      </c>
      <c r="J313" s="125">
        <f t="shared" si="57"/>
        <v>5.2468258756948938E-2</v>
      </c>
    </row>
    <row r="314" spans="1:10" x14ac:dyDescent="0.2">
      <c r="A314" s="118" t="s">
        <v>75</v>
      </c>
      <c r="B314" s="125">
        <f t="shared" ref="B314:J314" si="58">(B297/B280)^(1/6)-1</f>
        <v>6.9328557392224655E-2</v>
      </c>
      <c r="C314" s="125">
        <f t="shared" si="58"/>
        <v>0.15213883654026472</v>
      </c>
      <c r="D314" s="125">
        <f t="shared" si="58"/>
        <v>0.18286743390491034</v>
      </c>
      <c r="E314" s="125">
        <f t="shared" si="58"/>
        <v>0.12525986838629977</v>
      </c>
      <c r="F314" s="125">
        <f t="shared" si="58"/>
        <v>2.1688418115705987E-2</v>
      </c>
      <c r="G314" s="125">
        <f t="shared" si="58"/>
        <v>0.10386293695895743</v>
      </c>
      <c r="H314" s="125">
        <f t="shared" si="58"/>
        <v>0.14462032773739897</v>
      </c>
      <c r="I314" s="125">
        <f t="shared" si="58"/>
        <v>-8.7713721363261499E-2</v>
      </c>
      <c r="J314" s="125">
        <f t="shared" si="58"/>
        <v>3.650253422369909E-2</v>
      </c>
    </row>
    <row r="315" spans="1:10" x14ac:dyDescent="0.2">
      <c r="A315" s="118" t="s">
        <v>70</v>
      </c>
      <c r="B315" s="125">
        <f t="shared" ref="B315:J315" si="59">(B298/B281)^(1/6)-1</f>
        <v>0.13976514424365738</v>
      </c>
      <c r="C315" s="125">
        <f t="shared" si="59"/>
        <v>0.21344809154808964</v>
      </c>
      <c r="D315" s="125">
        <f t="shared" si="59"/>
        <v>0.26205718465418193</v>
      </c>
      <c r="E315" s="125">
        <f t="shared" si="59"/>
        <v>0.20071320493726108</v>
      </c>
      <c r="F315" s="125">
        <f t="shared" si="59"/>
        <v>8.8130557610242688E-2</v>
      </c>
      <c r="G315" s="125">
        <f t="shared" si="59"/>
        <v>0.17588837250768785</v>
      </c>
      <c r="H315" s="125">
        <f t="shared" si="59"/>
        <v>0.2172913347393437</v>
      </c>
      <c r="I315" s="125">
        <f t="shared" si="59"/>
        <v>8.1214593989659356E-2</v>
      </c>
      <c r="J315" s="125">
        <f t="shared" si="59"/>
        <v>5.9588454775882704E-2</v>
      </c>
    </row>
    <row r="316" spans="1:10" x14ac:dyDescent="0.2">
      <c r="A316" s="118" t="s">
        <v>68</v>
      </c>
      <c r="B316" s="125">
        <f t="shared" ref="B316:J316" si="60">(B299/B282)^(1/6)-1</f>
        <v>0.14867166213285343</v>
      </c>
      <c r="C316" s="125">
        <f t="shared" si="60"/>
        <v>0.23496739924056809</v>
      </c>
      <c r="D316" s="125">
        <f t="shared" si="60"/>
        <v>0.30892069490623486</v>
      </c>
      <c r="E316" s="125">
        <f t="shared" si="60"/>
        <v>0.24524792943403417</v>
      </c>
      <c r="F316" s="125">
        <f t="shared" si="60"/>
        <v>9.5908698773895518E-2</v>
      </c>
      <c r="G316" s="125">
        <f t="shared" si="60"/>
        <v>0.20847073210092226</v>
      </c>
      <c r="H316" s="125">
        <f t="shared" si="60"/>
        <v>0.22960647068177531</v>
      </c>
      <c r="I316" s="125">
        <f t="shared" si="60"/>
        <v>9.227732675075262E-2</v>
      </c>
      <c r="J316" s="125">
        <f t="shared" si="60"/>
        <v>8.2059490927697709E-2</v>
      </c>
    </row>
    <row r="317" spans="1:10" x14ac:dyDescent="0.2">
      <c r="A317" s="118" t="s">
        <v>74</v>
      </c>
      <c r="B317" s="125">
        <f t="shared" ref="B317:J317" si="61">(B300/B283)^(1/6)-1</f>
        <v>0.18864392411273978</v>
      </c>
      <c r="C317" s="125">
        <f t="shared" si="61"/>
        <v>0.26817979426057548</v>
      </c>
      <c r="D317" s="125">
        <f t="shared" si="61"/>
        <v>0.33440277881255986</v>
      </c>
      <c r="E317" s="125">
        <f t="shared" si="61"/>
        <v>0.26851446278923308</v>
      </c>
      <c r="F317" s="125">
        <f t="shared" si="61"/>
        <v>0.1383898096724363</v>
      </c>
      <c r="G317" s="125">
        <f t="shared" si="61"/>
        <v>0.23994175361744641</v>
      </c>
      <c r="H317" s="125">
        <f t="shared" si="61"/>
        <v>0.27707962133965869</v>
      </c>
      <c r="I317" s="125">
        <f t="shared" si="61"/>
        <v>0.13416696124333405</v>
      </c>
      <c r="J317" s="125">
        <f t="shared" si="61"/>
        <v>7.4490141211675853E-2</v>
      </c>
    </row>
    <row r="318" spans="1:10" x14ac:dyDescent="0.2">
      <c r="A318" s="118" t="s">
        <v>71</v>
      </c>
      <c r="B318" s="125">
        <f t="shared" ref="B318:J318" si="62">(B301/B284)^(1/6)-1</f>
        <v>0.11531185691710966</v>
      </c>
      <c r="C318" s="125">
        <f t="shared" si="62"/>
        <v>9.6111404199971107E-2</v>
      </c>
      <c r="D318" s="125">
        <f t="shared" si="62"/>
        <v>0.24127022581535962</v>
      </c>
      <c r="E318" s="125">
        <f t="shared" si="62"/>
        <v>0.18246001861806804</v>
      </c>
      <c r="F318" s="125">
        <f t="shared" si="62"/>
        <v>3.8393278381487317E-2</v>
      </c>
      <c r="G318" s="125">
        <f t="shared" si="62"/>
        <v>0.15010781354733616</v>
      </c>
      <c r="H318" s="125">
        <f t="shared" si="62"/>
        <v>0.1647819426661048</v>
      </c>
      <c r="I318" s="125">
        <f t="shared" si="62"/>
        <v>-0.15622233823003684</v>
      </c>
      <c r="J318" s="125">
        <f t="shared" si="62"/>
        <v>2.4073050930483397E-2</v>
      </c>
    </row>
    <row r="319" spans="1:10" x14ac:dyDescent="0.2">
      <c r="A319" s="118" t="s">
        <v>76</v>
      </c>
      <c r="B319" s="125">
        <f t="shared" ref="B319:J319" si="63">(B302/B285)^(1/6)-1</f>
        <v>0.11323834132794985</v>
      </c>
      <c r="C319" s="125">
        <f t="shared" si="63"/>
        <v>0.19119024560269193</v>
      </c>
      <c r="D319" s="125">
        <f t="shared" si="63"/>
        <v>0.23404612149505089</v>
      </c>
      <c r="E319" s="125">
        <f t="shared" si="63"/>
        <v>0.1745798890113861</v>
      </c>
      <c r="F319" s="125">
        <f t="shared" si="63"/>
        <v>6.4675627446697304E-2</v>
      </c>
      <c r="G319" s="125">
        <f t="shared" si="63"/>
        <v>0.15032666202712619</v>
      </c>
      <c r="H319" s="125">
        <f t="shared" si="63"/>
        <v>0.19136643171202117</v>
      </c>
      <c r="I319" s="125">
        <f t="shared" si="63"/>
        <v>1.2685741301474707E-2</v>
      </c>
      <c r="J319" s="125">
        <f t="shared" si="63"/>
        <v>4.3541085144855662E-2</v>
      </c>
    </row>
    <row r="320" spans="1:10" x14ac:dyDescent="0.2">
      <c r="A320" s="123" t="s">
        <v>151</v>
      </c>
    </row>
    <row r="322" spans="1:14" s="97" customFormat="1" x14ac:dyDescent="0.2">
      <c r="A322" s="116" t="s">
        <v>121</v>
      </c>
      <c r="B322" s="98"/>
    </row>
    <row r="323" spans="1:14" s="121" customFormat="1" x14ac:dyDescent="0.2">
      <c r="A323" s="119"/>
      <c r="B323" s="120"/>
    </row>
    <row r="324" spans="1:14" s="121" customFormat="1" x14ac:dyDescent="0.2">
      <c r="A324" s="122" t="s">
        <v>164</v>
      </c>
      <c r="B324" s="120"/>
    </row>
    <row r="325" spans="1:14" x14ac:dyDescent="0.2">
      <c r="A325" s="145"/>
      <c r="B325" s="147" t="s">
        <v>26</v>
      </c>
      <c r="C325" s="147"/>
      <c r="D325" s="147" t="s">
        <v>55</v>
      </c>
      <c r="E325" s="147"/>
      <c r="F325" s="147" t="s">
        <v>147</v>
      </c>
      <c r="G325" s="147"/>
      <c r="H325" s="147" t="s">
        <v>57</v>
      </c>
      <c r="I325" s="147"/>
      <c r="J325" s="147" t="s">
        <v>59</v>
      </c>
    </row>
    <row r="326" spans="1:14" x14ac:dyDescent="0.2">
      <c r="A326" s="146"/>
      <c r="B326" s="115" t="s">
        <v>30</v>
      </c>
      <c r="C326" s="115" t="s">
        <v>31</v>
      </c>
      <c r="D326" s="115" t="s">
        <v>28</v>
      </c>
      <c r="E326" s="115" t="s">
        <v>27</v>
      </c>
      <c r="F326" s="115" t="s">
        <v>28</v>
      </c>
      <c r="G326" s="115" t="s">
        <v>27</v>
      </c>
      <c r="H326" s="117" t="s">
        <v>58</v>
      </c>
      <c r="I326" s="117" t="s">
        <v>53</v>
      </c>
      <c r="J326" s="147"/>
    </row>
    <row r="327" spans="1:14" x14ac:dyDescent="0.2">
      <c r="A327" s="118" t="s">
        <v>69</v>
      </c>
      <c r="B327" s="124">
        <v>6.1335513502155079</v>
      </c>
      <c r="C327" s="124">
        <v>5.6826691150124304</v>
      </c>
      <c r="D327" s="124">
        <v>0.3954873480066835</v>
      </c>
      <c r="E327" s="124">
        <v>1.7992026168764639</v>
      </c>
      <c r="F327" s="124">
        <v>0.2014819382584844</v>
      </c>
      <c r="G327" s="124">
        <v>2.5827793271906598</v>
      </c>
      <c r="H327" s="124">
        <v>2.2883264877554748</v>
      </c>
      <c r="I327" s="124">
        <v>2.4190792442160358</v>
      </c>
      <c r="J327" s="135">
        <v>5.0244890699360631</v>
      </c>
    </row>
    <row r="328" spans="1:14" x14ac:dyDescent="0.2">
      <c r="A328" s="118" t="s">
        <v>72</v>
      </c>
      <c r="B328" s="124">
        <v>4.9948645087976038</v>
      </c>
      <c r="C328" s="124">
        <v>7.1879352173003221</v>
      </c>
      <c r="D328" s="124">
        <v>0.41109210623536208</v>
      </c>
      <c r="E328" s="124">
        <v>1.8707919306716005</v>
      </c>
      <c r="F328" s="124">
        <v>0.15546964837126795</v>
      </c>
      <c r="G328" s="124">
        <v>1.9947673158307702</v>
      </c>
      <c r="H328" s="124">
        <v>2.4756974916921277</v>
      </c>
      <c r="I328" s="124">
        <v>1.8622865633695336</v>
      </c>
      <c r="J328" s="135">
        <v>4.0989871709165415</v>
      </c>
      <c r="N328" s="128"/>
    </row>
    <row r="329" spans="1:14" x14ac:dyDescent="0.2">
      <c r="A329" s="118" t="s">
        <v>67</v>
      </c>
      <c r="B329" s="124">
        <v>6.2471301825299834</v>
      </c>
      <c r="C329" s="124">
        <v>5.0808608669660735</v>
      </c>
      <c r="D329" s="124">
        <v>0.48284937207478007</v>
      </c>
      <c r="E329" s="124">
        <v>2.197143502295646</v>
      </c>
      <c r="F329" s="124">
        <v>0.21280493460883068</v>
      </c>
      <c r="G329" s="124">
        <v>2.7262785740937456</v>
      </c>
      <c r="H329" s="124">
        <v>1.4997807959271148</v>
      </c>
      <c r="I329" s="124">
        <v>0.87679186139904408</v>
      </c>
      <c r="J329" s="135">
        <v>2.6813101125403209</v>
      </c>
    </row>
    <row r="330" spans="1:14" x14ac:dyDescent="0.2">
      <c r="A330" s="118" t="s">
        <v>66</v>
      </c>
      <c r="B330" s="124">
        <v>7.7079645177542275</v>
      </c>
      <c r="C330" s="124">
        <v>4.7804537588854972</v>
      </c>
      <c r="D330" s="124">
        <v>0.35018214914735429</v>
      </c>
      <c r="E330" s="124">
        <v>1.595609140778028</v>
      </c>
      <c r="F330" s="124">
        <v>0.17145655328275475</v>
      </c>
      <c r="G330" s="124">
        <v>2.1993302270994288</v>
      </c>
      <c r="H330" s="124">
        <v>1.5348095675778055</v>
      </c>
      <c r="I330" s="124">
        <v>1.1399918407763125</v>
      </c>
      <c r="J330" s="135">
        <v>2.0696329946267786</v>
      </c>
    </row>
    <row r="331" spans="1:14" x14ac:dyDescent="0.2">
      <c r="A331" s="118" t="s">
        <v>75</v>
      </c>
      <c r="B331" s="124">
        <v>4.9651487074804752</v>
      </c>
      <c r="C331" s="124">
        <v>3.9328594508625412</v>
      </c>
      <c r="D331" s="124">
        <v>0.45608259136037088</v>
      </c>
      <c r="E331" s="124">
        <v>2.0756559521451967</v>
      </c>
      <c r="F331" s="124">
        <v>0.16719195041968649</v>
      </c>
      <c r="G331" s="124">
        <v>2.142794087664202</v>
      </c>
      <c r="H331" s="124">
        <v>0.72638115794219638</v>
      </c>
      <c r="I331" s="124">
        <v>0.14395095091260279</v>
      </c>
      <c r="J331" s="135">
        <v>0.98568207070351122</v>
      </c>
    </row>
    <row r="332" spans="1:14" x14ac:dyDescent="0.2">
      <c r="A332" s="118" t="s">
        <v>73</v>
      </c>
      <c r="B332" s="124">
        <v>2.8000024680393314</v>
      </c>
      <c r="C332" s="124">
        <v>2.3374505015678735</v>
      </c>
      <c r="D332" s="124">
        <v>0.2486039299949645</v>
      </c>
      <c r="E332" s="124">
        <v>1.1315133407929809</v>
      </c>
      <c r="F332" s="124">
        <v>0.10922113038203607</v>
      </c>
      <c r="G332" s="124">
        <v>1.4058732416219082</v>
      </c>
      <c r="H332" s="124">
        <v>0.84297204046573992</v>
      </c>
      <c r="I332" s="124">
        <v>0.69911775300703671</v>
      </c>
      <c r="J332" s="135">
        <v>3.8364150281924991</v>
      </c>
    </row>
    <row r="333" spans="1:14" x14ac:dyDescent="0.2">
      <c r="A333" s="118" t="s">
        <v>65</v>
      </c>
      <c r="B333" s="124">
        <v>2.105051771651532</v>
      </c>
      <c r="C333" s="124">
        <v>1.4986728543676253</v>
      </c>
      <c r="D333" s="124">
        <v>6.1470640217229991E-2</v>
      </c>
      <c r="E333" s="124">
        <v>0.27876917491416492</v>
      </c>
      <c r="F333" s="124">
        <v>3.3043792777030741E-2</v>
      </c>
      <c r="G333" s="124">
        <v>0.41128626102919946</v>
      </c>
      <c r="H333" s="124">
        <v>1.167900639799482</v>
      </c>
      <c r="I333" s="124">
        <v>1.5601856933109055</v>
      </c>
      <c r="J333" s="135">
        <v>1.2476459579520691</v>
      </c>
    </row>
    <row r="334" spans="1:14" x14ac:dyDescent="0.2">
      <c r="A334" s="118" t="s">
        <v>70</v>
      </c>
      <c r="B334" s="124">
        <v>1.241326082646911</v>
      </c>
      <c r="C334" s="124">
        <v>1.0089619537890904</v>
      </c>
      <c r="D334" s="124">
        <v>0.13308963051137027</v>
      </c>
      <c r="E334" s="124">
        <v>0.60855083440192537</v>
      </c>
      <c r="F334" s="124">
        <v>5.9145187938137389E-2</v>
      </c>
      <c r="G334" s="124">
        <v>0.75742396889597019</v>
      </c>
      <c r="H334" s="124">
        <v>1.0384049502235451</v>
      </c>
      <c r="I334" s="124">
        <v>0.87051502103795175</v>
      </c>
      <c r="J334" s="135">
        <v>1.4150635561139036</v>
      </c>
    </row>
    <row r="335" spans="1:14" x14ac:dyDescent="0.2">
      <c r="A335" s="118" t="s">
        <v>68</v>
      </c>
      <c r="B335" s="124">
        <v>0.89330449253906563</v>
      </c>
      <c r="C335" s="124">
        <v>1.0831389608465651</v>
      </c>
      <c r="D335" s="124">
        <v>1.7920242094394578E-2</v>
      </c>
      <c r="E335" s="124">
        <v>6.3156531445835926E-2</v>
      </c>
      <c r="F335" s="124">
        <v>1.0118411544755389E-2</v>
      </c>
      <c r="G335" s="124">
        <v>0.10844647912896818</v>
      </c>
      <c r="H335" s="124">
        <v>0.38020023320897578</v>
      </c>
      <c r="I335" s="124">
        <v>0.48363151383294722</v>
      </c>
      <c r="J335" s="135">
        <v>1.0282080787483547</v>
      </c>
    </row>
    <row r="336" spans="1:14" x14ac:dyDescent="0.2">
      <c r="A336" s="118" t="s">
        <v>71</v>
      </c>
      <c r="B336" s="124">
        <v>1.2084227554429876</v>
      </c>
      <c r="C336" s="124">
        <v>0.75170659370938342</v>
      </c>
      <c r="D336" s="124">
        <v>9.5361349945127821E-2</v>
      </c>
      <c r="E336" s="124">
        <v>0.43911057803260162</v>
      </c>
      <c r="F336" s="124">
        <v>4.3169431678571561E-2</v>
      </c>
      <c r="G336" s="124">
        <v>0.54756860624498715</v>
      </c>
      <c r="H336" s="124">
        <v>0.23526604644265772</v>
      </c>
      <c r="I336" s="124">
        <v>0.17249547585775932</v>
      </c>
      <c r="J336" s="135">
        <v>0.56789509821540352</v>
      </c>
    </row>
    <row r="337" spans="1:14" x14ac:dyDescent="0.2">
      <c r="A337" s="118" t="s">
        <v>74</v>
      </c>
      <c r="B337" s="124">
        <v>0.44420218512115406</v>
      </c>
      <c r="C337" s="124">
        <v>0.2403759885942971</v>
      </c>
      <c r="D337" s="124">
        <v>2.0478912770436251E-2</v>
      </c>
      <c r="E337" s="124">
        <v>7.5129395731174775E-2</v>
      </c>
      <c r="F337" s="124">
        <v>9.6676451497165108E-3</v>
      </c>
      <c r="G337" s="124">
        <v>0.10293933177614316</v>
      </c>
      <c r="H337" s="124">
        <v>0.12705013845557353</v>
      </c>
      <c r="I337" s="124">
        <v>0.16103180867403322</v>
      </c>
      <c r="J337" s="135">
        <v>0.95119976071854384</v>
      </c>
    </row>
    <row r="338" spans="1:14" x14ac:dyDescent="0.2">
      <c r="A338" s="118" t="s">
        <v>76</v>
      </c>
      <c r="B338" s="124">
        <v>2.8303582377555578</v>
      </c>
      <c r="C338" s="124">
        <v>2.0709433661471985</v>
      </c>
      <c r="D338" s="124">
        <v>0.22270731887807754</v>
      </c>
      <c r="E338" s="124">
        <v>1.0151688305907229</v>
      </c>
      <c r="F338" s="124">
        <v>9.7934910733115693E-2</v>
      </c>
      <c r="G338" s="124">
        <v>1.2616005851975316</v>
      </c>
      <c r="H338" s="124">
        <v>0.42953154683851935</v>
      </c>
      <c r="I338" s="124">
        <v>0.18370855466484842</v>
      </c>
      <c r="J338" s="135">
        <v>1.0463902603773898</v>
      </c>
    </row>
    <row r="339" spans="1:14" x14ac:dyDescent="0.2">
      <c r="A339" s="123" t="s">
        <v>151</v>
      </c>
      <c r="J339" s="133"/>
    </row>
    <row r="340" spans="1:14" x14ac:dyDescent="0.2">
      <c r="J340" s="134"/>
    </row>
    <row r="341" spans="1:14" x14ac:dyDescent="0.2">
      <c r="A341" s="21" t="s">
        <v>165</v>
      </c>
      <c r="J341" s="134"/>
    </row>
    <row r="342" spans="1:14" x14ac:dyDescent="0.2">
      <c r="A342" s="145"/>
      <c r="B342" s="147" t="s">
        <v>26</v>
      </c>
      <c r="C342" s="147"/>
      <c r="D342" s="147" t="s">
        <v>55</v>
      </c>
      <c r="E342" s="147"/>
      <c r="F342" s="147" t="s">
        <v>147</v>
      </c>
      <c r="G342" s="147"/>
      <c r="H342" s="147" t="s">
        <v>57</v>
      </c>
      <c r="I342" s="147"/>
      <c r="J342" s="147" t="s">
        <v>59</v>
      </c>
    </row>
    <row r="343" spans="1:14" x14ac:dyDescent="0.2">
      <c r="A343" s="146"/>
      <c r="B343" s="115" t="s">
        <v>30</v>
      </c>
      <c r="C343" s="115" t="s">
        <v>31</v>
      </c>
      <c r="D343" s="115" t="s">
        <v>28</v>
      </c>
      <c r="E343" s="115" t="s">
        <v>27</v>
      </c>
      <c r="F343" s="115" t="s">
        <v>28</v>
      </c>
      <c r="G343" s="115" t="s">
        <v>27</v>
      </c>
      <c r="H343" s="117" t="s">
        <v>58</v>
      </c>
      <c r="I343" s="117" t="s">
        <v>53</v>
      </c>
      <c r="J343" s="147"/>
    </row>
    <row r="344" spans="1:14" x14ac:dyDescent="0.2">
      <c r="A344" s="118" t="s">
        <v>69</v>
      </c>
      <c r="B344" s="124">
        <v>15.117051399587728</v>
      </c>
      <c r="C344" s="124">
        <v>17.615587799642721</v>
      </c>
      <c r="D344" s="124">
        <v>1.0800197483454335</v>
      </c>
      <c r="E344" s="124">
        <v>4.9407860131542796</v>
      </c>
      <c r="F344" s="124">
        <v>0.41136567519260392</v>
      </c>
      <c r="G344" s="124">
        <v>5.8214911860517464</v>
      </c>
      <c r="H344" s="124">
        <v>6.9039002253408839</v>
      </c>
      <c r="I344" s="124">
        <v>4.8416527576331649</v>
      </c>
      <c r="J344" s="135">
        <v>8.8403550161121274</v>
      </c>
    </row>
    <row r="345" spans="1:14" x14ac:dyDescent="0.2">
      <c r="A345" s="118" t="s">
        <v>72</v>
      </c>
      <c r="B345" s="124">
        <v>11.943713447711435</v>
      </c>
      <c r="C345" s="124">
        <v>21.588946490812866</v>
      </c>
      <c r="D345" s="124">
        <v>1.0819374506525825</v>
      </c>
      <c r="E345" s="124">
        <v>4.9528620204595581</v>
      </c>
      <c r="F345" s="124">
        <v>0.30987610182141645</v>
      </c>
      <c r="G345" s="124">
        <v>4.359543249261904</v>
      </c>
      <c r="H345" s="124">
        <v>7.2026599522726205</v>
      </c>
      <c r="I345" s="124">
        <v>3.58962416159613</v>
      </c>
      <c r="J345" s="135">
        <v>14.467689834545913</v>
      </c>
      <c r="N345" s="128"/>
    </row>
    <row r="346" spans="1:14" x14ac:dyDescent="0.2">
      <c r="A346" s="118" t="s">
        <v>67</v>
      </c>
      <c r="B346" s="124">
        <v>14.050798774303166</v>
      </c>
      <c r="C346" s="124">
        <v>14.219014973870523</v>
      </c>
      <c r="D346" s="124">
        <v>1.1987081622563649</v>
      </c>
      <c r="E346" s="124">
        <v>5.4694229182735308</v>
      </c>
      <c r="F346" s="124">
        <v>0.39570632509477771</v>
      </c>
      <c r="G346" s="124">
        <v>5.5866908389420953</v>
      </c>
      <c r="H346" s="124">
        <v>4.1180444910315153</v>
      </c>
      <c r="I346" s="124">
        <v>1.5821605188760648</v>
      </c>
      <c r="J346" s="135">
        <v>4.3258040361593668</v>
      </c>
      <c r="N346" s="128"/>
    </row>
    <row r="347" spans="1:14" x14ac:dyDescent="0.2">
      <c r="A347" s="118" t="s">
        <v>66</v>
      </c>
      <c r="B347" s="124">
        <v>15.748861214982048</v>
      </c>
      <c r="C347" s="124">
        <v>12.07546436253158</v>
      </c>
      <c r="D347" s="124">
        <v>0.79749661452824305</v>
      </c>
      <c r="E347" s="124">
        <v>3.6394555468329641</v>
      </c>
      <c r="F347" s="124">
        <v>0.29287311653734432</v>
      </c>
      <c r="G347" s="124">
        <v>4.1170195463583381</v>
      </c>
      <c r="H347" s="124">
        <v>3.8295673256773179</v>
      </c>
      <c r="I347" s="124">
        <v>1.8690262087148848</v>
      </c>
      <c r="J347" s="135">
        <v>3.1703541785304243</v>
      </c>
    </row>
    <row r="348" spans="1:14" x14ac:dyDescent="0.2">
      <c r="A348" s="118" t="s">
        <v>75</v>
      </c>
      <c r="B348" s="124">
        <v>9.6193082069358198</v>
      </c>
      <c r="C348" s="124">
        <v>9.1498751117938344</v>
      </c>
      <c r="D348" s="124">
        <v>0.96151381479601827</v>
      </c>
      <c r="E348" s="124">
        <v>4.397046166158729</v>
      </c>
      <c r="F348" s="124">
        <v>0.26367462325327862</v>
      </c>
      <c r="G348" s="124">
        <v>3.7504564308865711</v>
      </c>
      <c r="H348" s="124">
        <v>1.6991611494383252</v>
      </c>
      <c r="I348" s="124">
        <v>0.19960876878624897</v>
      </c>
      <c r="J348" s="135">
        <v>1.0184024781748759</v>
      </c>
    </row>
    <row r="349" spans="1:14" x14ac:dyDescent="0.2">
      <c r="A349" s="118" t="s">
        <v>73</v>
      </c>
      <c r="B349" s="124">
        <v>6.7003904640686907</v>
      </c>
      <c r="C349" s="124">
        <v>6.5607476582946065</v>
      </c>
      <c r="D349" s="124">
        <v>0.65354124497201216</v>
      </c>
      <c r="E349" s="124">
        <v>2.9817722853857971</v>
      </c>
      <c r="F349" s="124">
        <v>0.21630451643546475</v>
      </c>
      <c r="G349" s="124">
        <v>3.0416044305486727</v>
      </c>
      <c r="H349" s="124">
        <v>2.4128480242803305</v>
      </c>
      <c r="I349" s="124">
        <v>1.3100850546329457</v>
      </c>
      <c r="J349" s="135">
        <v>5.4621364187764847</v>
      </c>
    </row>
    <row r="350" spans="1:14" x14ac:dyDescent="0.2">
      <c r="A350" s="118" t="s">
        <v>65</v>
      </c>
      <c r="B350" s="124">
        <v>5.2445253038258208</v>
      </c>
      <c r="C350" s="124">
        <v>4.176133314476453</v>
      </c>
      <c r="D350" s="124">
        <v>0.18064893215703226</v>
      </c>
      <c r="E350" s="124">
        <v>0.83870576978087463</v>
      </c>
      <c r="F350" s="124">
        <v>6.7138896130601616E-2</v>
      </c>
      <c r="G350" s="124">
        <v>0.98172793156258176</v>
      </c>
      <c r="H350" s="124">
        <v>3.4432593574652604</v>
      </c>
      <c r="I350" s="124">
        <v>3.0363754406958323</v>
      </c>
      <c r="J350" s="135">
        <v>2.0489449302054266</v>
      </c>
    </row>
    <row r="351" spans="1:14" x14ac:dyDescent="0.2">
      <c r="A351" s="118" t="s">
        <v>70</v>
      </c>
      <c r="B351" s="124">
        <v>3.3396715214971602</v>
      </c>
      <c r="C351" s="124">
        <v>2.8259195446213523</v>
      </c>
      <c r="D351" s="124">
        <v>0.39323244911952066</v>
      </c>
      <c r="E351" s="124">
        <v>1.78345911584823</v>
      </c>
      <c r="F351" s="124">
        <v>0.12766431002131762</v>
      </c>
      <c r="G351" s="124">
        <v>1.8173495645370206</v>
      </c>
      <c r="H351" s="124">
        <v>3.2196575738842106</v>
      </c>
      <c r="I351" s="124">
        <v>1.7762222388133244</v>
      </c>
      <c r="J351" s="135">
        <v>1.9230283545361886</v>
      </c>
    </row>
    <row r="352" spans="1:14" x14ac:dyDescent="0.2">
      <c r="A352" s="118" t="s">
        <v>68</v>
      </c>
      <c r="B352" s="124">
        <v>2.2803803841346677</v>
      </c>
      <c r="C352" s="124">
        <v>2.6724984574666903</v>
      </c>
      <c r="D352" s="124">
        <v>4.6965965694089742E-2</v>
      </c>
      <c r="E352" s="124">
        <v>0.25235076057999201</v>
      </c>
      <c r="F352" s="124">
        <v>1.8953142842825888E-2</v>
      </c>
      <c r="G352" s="124">
        <v>0.32009355013852175</v>
      </c>
      <c r="H352" s="124">
        <v>1.0665965716495183</v>
      </c>
      <c r="I352" s="124">
        <v>0.87289872008870273</v>
      </c>
      <c r="J352" s="135">
        <v>1.8197668283323927</v>
      </c>
    </row>
    <row r="353" spans="1:10" x14ac:dyDescent="0.2">
      <c r="A353" s="118" t="s">
        <v>71</v>
      </c>
      <c r="B353" s="124">
        <v>2.8660714823301481</v>
      </c>
      <c r="C353" s="124">
        <v>1.5994095098539831</v>
      </c>
      <c r="D353" s="124">
        <v>0.24674632500863242</v>
      </c>
      <c r="E353" s="124">
        <v>1.130737994094245</v>
      </c>
      <c r="F353" s="124">
        <v>7.8468909815690172E-2</v>
      </c>
      <c r="G353" s="124">
        <v>1.1523520232572977</v>
      </c>
      <c r="H353" s="124">
        <v>0.63043690577653999</v>
      </c>
      <c r="I353" s="124">
        <v>0.27734813812212233</v>
      </c>
      <c r="J353" s="135">
        <v>0.75816348358784691</v>
      </c>
    </row>
    <row r="354" spans="1:10" x14ac:dyDescent="0.2">
      <c r="A354" s="118" t="s">
        <v>74</v>
      </c>
      <c r="B354" s="124">
        <v>1.3979646802603214</v>
      </c>
      <c r="C354" s="124">
        <v>0.36535899745360151</v>
      </c>
      <c r="D354" s="124">
        <v>6.3979524498500431E-2</v>
      </c>
      <c r="E354" s="124">
        <v>0.33625285715236514</v>
      </c>
      <c r="F354" s="124">
        <v>2.1231452457693593E-2</v>
      </c>
      <c r="G354" s="124">
        <v>0.35101353659863493</v>
      </c>
      <c r="H354" s="124">
        <v>0.43199308992497687</v>
      </c>
      <c r="I354" s="124">
        <v>0.33486061848066367</v>
      </c>
      <c r="J354" s="135">
        <v>1.6337857664923201</v>
      </c>
    </row>
    <row r="355" spans="1:10" x14ac:dyDescent="0.2">
      <c r="A355" s="118" t="s">
        <v>76</v>
      </c>
      <c r="B355" s="124">
        <v>6.485616484938558</v>
      </c>
      <c r="C355" s="124">
        <v>5.4633392801431881</v>
      </c>
      <c r="D355" s="124">
        <v>0.56391768385999319</v>
      </c>
      <c r="E355" s="124">
        <v>2.5636516266643268</v>
      </c>
      <c r="F355" s="124">
        <v>0.18441255710113361</v>
      </c>
      <c r="G355" s="124">
        <v>2.6155313464486789</v>
      </c>
      <c r="H355" s="124">
        <v>1.1795774228747027</v>
      </c>
      <c r="I355" s="124">
        <v>0.3084479127751224</v>
      </c>
      <c r="J355" s="135">
        <v>1.5386709339506983</v>
      </c>
    </row>
    <row r="356" spans="1:10" x14ac:dyDescent="0.2">
      <c r="A356" s="123" t="s">
        <v>151</v>
      </c>
      <c r="J356" s="133"/>
    </row>
    <row r="358" spans="1:10" x14ac:dyDescent="0.2">
      <c r="A358" s="21" t="s">
        <v>166</v>
      </c>
    </row>
    <row r="359" spans="1:10" x14ac:dyDescent="0.2">
      <c r="A359" s="145"/>
      <c r="B359" s="147" t="s">
        <v>26</v>
      </c>
      <c r="C359" s="147"/>
      <c r="D359" s="147" t="s">
        <v>55</v>
      </c>
      <c r="E359" s="147"/>
      <c r="F359" s="147" t="s">
        <v>147</v>
      </c>
      <c r="G359" s="147"/>
      <c r="H359" s="147" t="s">
        <v>57</v>
      </c>
      <c r="I359" s="147"/>
      <c r="J359" s="147" t="s">
        <v>59</v>
      </c>
    </row>
    <row r="360" spans="1:10" x14ac:dyDescent="0.2">
      <c r="A360" s="146"/>
      <c r="B360" s="115" t="s">
        <v>30</v>
      </c>
      <c r="C360" s="115" t="s">
        <v>31</v>
      </c>
      <c r="D360" s="115" t="s">
        <v>28</v>
      </c>
      <c r="E360" s="115" t="s">
        <v>27</v>
      </c>
      <c r="F360" s="115" t="s">
        <v>28</v>
      </c>
      <c r="G360" s="115" t="s">
        <v>27</v>
      </c>
      <c r="H360" s="117" t="s">
        <v>58</v>
      </c>
      <c r="I360" s="117" t="s">
        <v>53</v>
      </c>
      <c r="J360" s="147"/>
    </row>
    <row r="361" spans="1:10" x14ac:dyDescent="0.2">
      <c r="A361" s="118" t="s">
        <v>69</v>
      </c>
      <c r="B361" s="125">
        <f t="shared" ref="B361:B372" si="64">(B344/B327)^(1/6)-1</f>
        <v>0.16223115763986895</v>
      </c>
      <c r="C361" s="125">
        <f t="shared" ref="C361:J361" si="65">(C344/C327)^(1/6)-1</f>
        <v>0.20751016402581524</v>
      </c>
      <c r="D361" s="125">
        <f t="shared" si="65"/>
        <v>0.1822695847991378</v>
      </c>
      <c r="E361" s="125">
        <f t="shared" si="65"/>
        <v>0.18336665754871917</v>
      </c>
      <c r="F361" s="125">
        <f t="shared" si="65"/>
        <v>0.12632914418337249</v>
      </c>
      <c r="G361" s="125">
        <f t="shared" si="65"/>
        <v>0.14505010376094729</v>
      </c>
      <c r="H361" s="125">
        <f t="shared" si="65"/>
        <v>0.2020690621419059</v>
      </c>
      <c r="I361" s="125">
        <f t="shared" si="65"/>
        <v>0.12259712052721161</v>
      </c>
      <c r="J361" s="125">
        <f t="shared" si="65"/>
        <v>9.874345234528259E-2</v>
      </c>
    </row>
    <row r="362" spans="1:10" x14ac:dyDescent="0.2">
      <c r="A362" s="118" t="s">
        <v>72</v>
      </c>
      <c r="B362" s="125">
        <f t="shared" si="64"/>
        <v>0.1563854285469497</v>
      </c>
      <c r="C362" s="125">
        <f t="shared" ref="C362:J372" si="66">(C345/C328)^(1/6)-1</f>
        <v>0.2011702002287028</v>
      </c>
      <c r="D362" s="125">
        <f t="shared" si="66"/>
        <v>0.17501615068155285</v>
      </c>
      <c r="E362" s="125">
        <f t="shared" si="66"/>
        <v>0.17617458330381752</v>
      </c>
      <c r="F362" s="125">
        <f t="shared" si="66"/>
        <v>0.12182146252929482</v>
      </c>
      <c r="G362" s="125">
        <f t="shared" si="66"/>
        <v>0.13917765530582948</v>
      </c>
      <c r="H362" s="125">
        <f t="shared" si="66"/>
        <v>0.19481102811662265</v>
      </c>
      <c r="I362" s="125">
        <f t="shared" si="66"/>
        <v>0.11557920878872974</v>
      </c>
      <c r="J362" s="125">
        <f t="shared" si="66"/>
        <v>0.23392028848204993</v>
      </c>
    </row>
    <row r="363" spans="1:10" x14ac:dyDescent="0.2">
      <c r="A363" s="118" t="s">
        <v>67</v>
      </c>
      <c r="B363" s="125">
        <f t="shared" si="64"/>
        <v>0.14464305168952696</v>
      </c>
      <c r="C363" s="125">
        <f t="shared" si="66"/>
        <v>0.18710381728524195</v>
      </c>
      <c r="D363" s="125">
        <f t="shared" si="66"/>
        <v>0.16363550831113471</v>
      </c>
      <c r="E363" s="125">
        <f t="shared" si="66"/>
        <v>0.16416314738197268</v>
      </c>
      <c r="F363" s="125">
        <f t="shared" si="66"/>
        <v>0.10891574442600249</v>
      </c>
      <c r="G363" s="125">
        <f t="shared" si="66"/>
        <v>0.12701769464623802</v>
      </c>
      <c r="H363" s="125">
        <f t="shared" si="66"/>
        <v>0.18334271371104438</v>
      </c>
      <c r="I363" s="125">
        <f t="shared" si="66"/>
        <v>0.10338143431903424</v>
      </c>
      <c r="J363" s="125">
        <f t="shared" si="66"/>
        <v>8.2978826883461698E-2</v>
      </c>
    </row>
    <row r="364" spans="1:10" x14ac:dyDescent="0.2">
      <c r="A364" s="118" t="s">
        <v>66</v>
      </c>
      <c r="B364" s="125">
        <f t="shared" si="64"/>
        <v>0.12646639818253202</v>
      </c>
      <c r="C364" s="125">
        <f t="shared" si="66"/>
        <v>0.16700429162354702</v>
      </c>
      <c r="D364" s="125">
        <f t="shared" si="66"/>
        <v>0.14702391814657267</v>
      </c>
      <c r="E364" s="125">
        <f t="shared" si="66"/>
        <v>0.1473211087367341</v>
      </c>
      <c r="F364" s="125">
        <f t="shared" si="66"/>
        <v>9.3337481195034711E-2</v>
      </c>
      <c r="G364" s="125">
        <f t="shared" si="66"/>
        <v>0.11015106773053907</v>
      </c>
      <c r="H364" s="125">
        <f t="shared" si="66"/>
        <v>0.16461541772815447</v>
      </c>
      <c r="I364" s="125">
        <f t="shared" si="66"/>
        <v>8.5889435804133551E-2</v>
      </c>
      <c r="J364" s="125">
        <f t="shared" si="66"/>
        <v>7.3665687040918693E-2</v>
      </c>
    </row>
    <row r="365" spans="1:10" x14ac:dyDescent="0.2">
      <c r="A365" s="118" t="s">
        <v>75</v>
      </c>
      <c r="B365" s="125">
        <f t="shared" si="64"/>
        <v>0.11652537240461003</v>
      </c>
      <c r="C365" s="125">
        <f t="shared" si="66"/>
        <v>0.1511125531258215</v>
      </c>
      <c r="D365" s="125">
        <f t="shared" si="66"/>
        <v>0.13236213559970134</v>
      </c>
      <c r="E365" s="125">
        <f t="shared" si="66"/>
        <v>0.13327230623154263</v>
      </c>
      <c r="F365" s="125">
        <f t="shared" si="66"/>
        <v>7.888584453143821E-2</v>
      </c>
      <c r="G365" s="125">
        <f t="shared" si="66"/>
        <v>9.778497100489969E-2</v>
      </c>
      <c r="H365" s="125">
        <f t="shared" si="66"/>
        <v>0.15215701008150151</v>
      </c>
      <c r="I365" s="125">
        <f t="shared" si="66"/>
        <v>5.5992530606304713E-2</v>
      </c>
      <c r="J365" s="125">
        <f t="shared" si="66"/>
        <v>5.4576090397742139E-3</v>
      </c>
    </row>
    <row r="366" spans="1:10" x14ac:dyDescent="0.2">
      <c r="A366" s="118" t="s">
        <v>73</v>
      </c>
      <c r="B366" s="125">
        <f t="shared" si="64"/>
        <v>0.15653012493489471</v>
      </c>
      <c r="C366" s="125">
        <f t="shared" si="66"/>
        <v>0.18768649589167619</v>
      </c>
      <c r="D366" s="125">
        <f t="shared" si="66"/>
        <v>0.1747916071644533</v>
      </c>
      <c r="E366" s="125">
        <f t="shared" si="66"/>
        <v>0.17526499010807362</v>
      </c>
      <c r="F366" s="125">
        <f t="shared" si="66"/>
        <v>0.12062374389990183</v>
      </c>
      <c r="G366" s="125">
        <f t="shared" si="66"/>
        <v>0.13725911899763887</v>
      </c>
      <c r="H366" s="125">
        <f t="shared" si="66"/>
        <v>0.19156974162690132</v>
      </c>
      <c r="I366" s="125">
        <f t="shared" si="66"/>
        <v>0.11034564528537882</v>
      </c>
      <c r="J366" s="125">
        <f t="shared" si="66"/>
        <v>6.0651783337619225E-2</v>
      </c>
    </row>
    <row r="367" spans="1:10" x14ac:dyDescent="0.2">
      <c r="A367" s="118" t="s">
        <v>65</v>
      </c>
      <c r="B367" s="125">
        <f t="shared" si="64"/>
        <v>0.16432413685537917</v>
      </c>
      <c r="C367" s="125">
        <f t="shared" si="66"/>
        <v>0.18625462552688643</v>
      </c>
      <c r="D367" s="125">
        <f t="shared" si="66"/>
        <v>0.19681753545276925</v>
      </c>
      <c r="E367" s="125">
        <f t="shared" si="66"/>
        <v>0.20151025021957958</v>
      </c>
      <c r="F367" s="125">
        <f t="shared" si="66"/>
        <v>0.12541850293764867</v>
      </c>
      <c r="G367" s="125">
        <f t="shared" si="66"/>
        <v>0.15604433771265058</v>
      </c>
      <c r="H367" s="125">
        <f t="shared" si="66"/>
        <v>0.19745896567063959</v>
      </c>
      <c r="I367" s="125">
        <f t="shared" si="66"/>
        <v>0.11736877249999167</v>
      </c>
      <c r="J367" s="125">
        <f t="shared" si="66"/>
        <v>8.6191717864679829E-2</v>
      </c>
    </row>
    <row r="368" spans="1:10" x14ac:dyDescent="0.2">
      <c r="A368" s="118" t="s">
        <v>70</v>
      </c>
      <c r="B368" s="125">
        <f t="shared" si="64"/>
        <v>0.17933262243055159</v>
      </c>
      <c r="C368" s="125">
        <f t="shared" si="66"/>
        <v>0.18726454977081053</v>
      </c>
      <c r="D368" s="125">
        <f t="shared" si="66"/>
        <v>0.19789160538781303</v>
      </c>
      <c r="E368" s="125">
        <f t="shared" si="66"/>
        <v>0.19626588008987889</v>
      </c>
      <c r="F368" s="125">
        <f t="shared" si="66"/>
        <v>0.13681993597098052</v>
      </c>
      <c r="G368" s="125">
        <f t="shared" si="66"/>
        <v>0.15704407963126554</v>
      </c>
      <c r="H368" s="125">
        <f t="shared" si="66"/>
        <v>0.20755565435356416</v>
      </c>
      <c r="I368" s="125">
        <f t="shared" si="66"/>
        <v>0.12621205649670086</v>
      </c>
      <c r="J368" s="125">
        <f t="shared" si="66"/>
        <v>5.2450366310934582E-2</v>
      </c>
    </row>
    <row r="369" spans="1:10" x14ac:dyDescent="0.2">
      <c r="A369" s="118" t="s">
        <v>68</v>
      </c>
      <c r="B369" s="125">
        <f t="shared" si="64"/>
        <v>0.16905415486679432</v>
      </c>
      <c r="C369" s="125">
        <f t="shared" si="66"/>
        <v>0.16244446580196148</v>
      </c>
      <c r="D369" s="125">
        <f t="shared" si="66"/>
        <v>0.17419410947509073</v>
      </c>
      <c r="E369" s="125">
        <f t="shared" si="66"/>
        <v>0.25969205794778127</v>
      </c>
      <c r="F369" s="125">
        <f t="shared" si="66"/>
        <v>0.11026883486697803</v>
      </c>
      <c r="G369" s="125">
        <f t="shared" si="66"/>
        <v>0.1976876677585726</v>
      </c>
      <c r="H369" s="125">
        <f t="shared" si="66"/>
        <v>0.18758481009893235</v>
      </c>
      <c r="I369" s="125">
        <f t="shared" si="66"/>
        <v>0.10342175974625234</v>
      </c>
      <c r="J369" s="125">
        <f t="shared" si="66"/>
        <v>9.9822133376272992E-2</v>
      </c>
    </row>
    <row r="370" spans="1:10" x14ac:dyDescent="0.2">
      <c r="A370" s="118" t="s">
        <v>71</v>
      </c>
      <c r="B370" s="125">
        <f t="shared" si="64"/>
        <v>0.1548121748024549</v>
      </c>
      <c r="C370" s="125">
        <f t="shared" si="66"/>
        <v>0.13410139775242191</v>
      </c>
      <c r="D370" s="125">
        <f t="shared" si="66"/>
        <v>0.1716908824418073</v>
      </c>
      <c r="E370" s="125">
        <f t="shared" si="66"/>
        <v>0.17075138707186666</v>
      </c>
      <c r="F370" s="125">
        <f t="shared" si="66"/>
        <v>0.10472338654562452</v>
      </c>
      <c r="G370" s="125">
        <f t="shared" si="66"/>
        <v>0.1320295700345866</v>
      </c>
      <c r="H370" s="125">
        <f t="shared" si="66"/>
        <v>0.17854742253371292</v>
      </c>
      <c r="I370" s="125">
        <f t="shared" si="66"/>
        <v>8.2367120239332792E-2</v>
      </c>
      <c r="J370" s="125">
        <f t="shared" si="66"/>
        <v>4.9338942594198354E-2</v>
      </c>
    </row>
    <row r="371" spans="1:10" x14ac:dyDescent="0.2">
      <c r="A371" s="118" t="s">
        <v>74</v>
      </c>
      <c r="B371" s="125">
        <f t="shared" si="64"/>
        <v>0.21055888074608609</v>
      </c>
      <c r="C371" s="125">
        <f t="shared" si="66"/>
        <v>7.2271559906494254E-2</v>
      </c>
      <c r="D371" s="125">
        <f t="shared" si="66"/>
        <v>0.20908180396599052</v>
      </c>
      <c r="E371" s="125">
        <f t="shared" si="66"/>
        <v>0.2837368696691791</v>
      </c>
      <c r="F371" s="125">
        <f t="shared" si="66"/>
        <v>0.14010058201943609</v>
      </c>
      <c r="G371" s="125">
        <f t="shared" si="66"/>
        <v>0.22684704176491488</v>
      </c>
      <c r="H371" s="125">
        <f t="shared" si="66"/>
        <v>0.22626295778060479</v>
      </c>
      <c r="I371" s="125">
        <f t="shared" si="66"/>
        <v>0.12977527849174741</v>
      </c>
      <c r="J371" s="125">
        <f t="shared" si="66"/>
        <v>9.4344087771793372E-2</v>
      </c>
    </row>
    <row r="372" spans="1:10" x14ac:dyDescent="0.2">
      <c r="A372" s="118" t="s">
        <v>76</v>
      </c>
      <c r="B372" s="125">
        <f t="shared" si="64"/>
        <v>0.14820202744205324</v>
      </c>
      <c r="C372" s="125">
        <f t="shared" si="66"/>
        <v>0.17547931582788978</v>
      </c>
      <c r="D372" s="125">
        <f t="shared" si="66"/>
        <v>0.16747306780993854</v>
      </c>
      <c r="E372" s="125">
        <f t="shared" si="66"/>
        <v>0.16695324405975476</v>
      </c>
      <c r="F372" s="125">
        <f t="shared" si="66"/>
        <v>0.11124245778491515</v>
      </c>
      <c r="G372" s="125">
        <f t="shared" si="66"/>
        <v>0.12920556014397255</v>
      </c>
      <c r="H372" s="125">
        <f t="shared" si="66"/>
        <v>0.18337365794237792</v>
      </c>
      <c r="I372" s="125">
        <f t="shared" si="66"/>
        <v>9.020643858017352E-2</v>
      </c>
      <c r="J372" s="125">
        <f t="shared" si="66"/>
        <v>6.6371861749047634E-2</v>
      </c>
    </row>
    <row r="373" spans="1:10" x14ac:dyDescent="0.2">
      <c r="A373" s="123" t="s">
        <v>151</v>
      </c>
    </row>
  </sheetData>
  <mergeCells count="126">
    <mergeCell ref="J24:J25"/>
    <mergeCell ref="A41:A42"/>
    <mergeCell ref="B41:C41"/>
    <mergeCell ref="D41:E41"/>
    <mergeCell ref="F41:G41"/>
    <mergeCell ref="H41:I41"/>
    <mergeCell ref="J41:J42"/>
    <mergeCell ref="B7:C7"/>
    <mergeCell ref="D7:E7"/>
    <mergeCell ref="F7:G7"/>
    <mergeCell ref="H7:I7"/>
    <mergeCell ref="J7:J8"/>
    <mergeCell ref="A24:A25"/>
    <mergeCell ref="B24:C24"/>
    <mergeCell ref="D24:E24"/>
    <mergeCell ref="F24:G24"/>
    <mergeCell ref="H24:I24"/>
    <mergeCell ref="A7:A8"/>
    <mergeCell ref="A77:A78"/>
    <mergeCell ref="B77:C77"/>
    <mergeCell ref="D77:E77"/>
    <mergeCell ref="F77:G77"/>
    <mergeCell ref="H77:I77"/>
    <mergeCell ref="J77:J78"/>
    <mergeCell ref="A60:A61"/>
    <mergeCell ref="B60:C60"/>
    <mergeCell ref="D60:E60"/>
    <mergeCell ref="F60:G60"/>
    <mergeCell ref="H60:I60"/>
    <mergeCell ref="J60:J61"/>
    <mergeCell ref="A113:A114"/>
    <mergeCell ref="B113:C113"/>
    <mergeCell ref="D113:E113"/>
    <mergeCell ref="F113:G113"/>
    <mergeCell ref="H113:I113"/>
    <mergeCell ref="J113:J114"/>
    <mergeCell ref="A94:A95"/>
    <mergeCell ref="B94:C94"/>
    <mergeCell ref="D94:E94"/>
    <mergeCell ref="F94:G94"/>
    <mergeCell ref="H94:I94"/>
    <mergeCell ref="J94:J95"/>
    <mergeCell ref="A147:A148"/>
    <mergeCell ref="B147:C147"/>
    <mergeCell ref="D147:E147"/>
    <mergeCell ref="F147:G147"/>
    <mergeCell ref="H147:I147"/>
    <mergeCell ref="J147:J148"/>
    <mergeCell ref="A130:A131"/>
    <mergeCell ref="B130:C130"/>
    <mergeCell ref="D130:E130"/>
    <mergeCell ref="F130:G130"/>
    <mergeCell ref="H130:I130"/>
    <mergeCell ref="J130:J131"/>
    <mergeCell ref="A183:A184"/>
    <mergeCell ref="B183:C183"/>
    <mergeCell ref="D183:E183"/>
    <mergeCell ref="F183:G183"/>
    <mergeCell ref="H183:I183"/>
    <mergeCell ref="J183:J184"/>
    <mergeCell ref="A166:A167"/>
    <mergeCell ref="B166:C166"/>
    <mergeCell ref="D166:E166"/>
    <mergeCell ref="F166:G166"/>
    <mergeCell ref="H166:I166"/>
    <mergeCell ref="J166:J167"/>
    <mergeCell ref="A219:A220"/>
    <mergeCell ref="B219:C219"/>
    <mergeCell ref="D219:E219"/>
    <mergeCell ref="F219:G219"/>
    <mergeCell ref="H219:I219"/>
    <mergeCell ref="J219:J220"/>
    <mergeCell ref="A200:A201"/>
    <mergeCell ref="B200:C200"/>
    <mergeCell ref="D200:E200"/>
    <mergeCell ref="F200:G200"/>
    <mergeCell ref="H200:I200"/>
    <mergeCell ref="J200:J201"/>
    <mergeCell ref="A253:A254"/>
    <mergeCell ref="B253:C253"/>
    <mergeCell ref="D253:E253"/>
    <mergeCell ref="F253:G253"/>
    <mergeCell ref="H253:I253"/>
    <mergeCell ref="J253:J254"/>
    <mergeCell ref="A236:A237"/>
    <mergeCell ref="B236:C236"/>
    <mergeCell ref="D236:E236"/>
    <mergeCell ref="F236:G236"/>
    <mergeCell ref="H236:I236"/>
    <mergeCell ref="J236:J237"/>
    <mergeCell ref="A289:A290"/>
    <mergeCell ref="B289:C289"/>
    <mergeCell ref="D289:E289"/>
    <mergeCell ref="F289:G289"/>
    <mergeCell ref="H289:I289"/>
    <mergeCell ref="J289:J290"/>
    <mergeCell ref="A272:A273"/>
    <mergeCell ref="B272:C272"/>
    <mergeCell ref="D272:E272"/>
    <mergeCell ref="F272:G272"/>
    <mergeCell ref="H272:I272"/>
    <mergeCell ref="J272:J273"/>
    <mergeCell ref="A325:A326"/>
    <mergeCell ref="B325:C325"/>
    <mergeCell ref="D325:E325"/>
    <mergeCell ref="F325:G325"/>
    <mergeCell ref="H325:I325"/>
    <mergeCell ref="J325:J326"/>
    <mergeCell ref="A306:A307"/>
    <mergeCell ref="B306:C306"/>
    <mergeCell ref="D306:E306"/>
    <mergeCell ref="F306:G306"/>
    <mergeCell ref="H306:I306"/>
    <mergeCell ref="J306:J307"/>
    <mergeCell ref="A359:A360"/>
    <mergeCell ref="B359:C359"/>
    <mergeCell ref="D359:E359"/>
    <mergeCell ref="F359:G359"/>
    <mergeCell ref="H359:I359"/>
    <mergeCell ref="J359:J360"/>
    <mergeCell ref="A342:A343"/>
    <mergeCell ref="B342:C342"/>
    <mergeCell ref="D342:E342"/>
    <mergeCell ref="F342:G342"/>
    <mergeCell ref="H342:I342"/>
    <mergeCell ref="J342:J343"/>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41BAB-B9EA-45D8-92C4-A092F7A36B8D}">
  <dimension ref="A2:B54"/>
  <sheetViews>
    <sheetView showGridLines="0" topLeftCell="A16" zoomScale="137" zoomScaleNormal="70" workbookViewId="0">
      <selection activeCell="B26" sqref="B26"/>
    </sheetView>
  </sheetViews>
  <sheetFormatPr defaultColWidth="8.875" defaultRowHeight="15" x14ac:dyDescent="0.2"/>
  <cols>
    <col min="2" max="2" width="174.4765625" customWidth="1"/>
  </cols>
  <sheetData>
    <row r="2" spans="1:2" s="96" customFormat="1" ht="20.25" x14ac:dyDescent="0.2">
      <c r="A2" s="95" t="s">
        <v>122</v>
      </c>
    </row>
    <row r="4" spans="1:2" s="97" customFormat="1" x14ac:dyDescent="0.2">
      <c r="B4" s="98" t="s">
        <v>123</v>
      </c>
    </row>
    <row r="6" spans="1:2" ht="175.5" x14ac:dyDescent="0.2">
      <c r="B6" s="100" t="s">
        <v>124</v>
      </c>
    </row>
    <row r="8" spans="1:2" s="97" customFormat="1" x14ac:dyDescent="0.2">
      <c r="B8" s="98" t="s">
        <v>125</v>
      </c>
    </row>
    <row r="10" spans="1:2" ht="121.5" x14ac:dyDescent="0.2">
      <c r="B10" s="99" t="s">
        <v>126</v>
      </c>
    </row>
    <row r="12" spans="1:2" ht="94.5" x14ac:dyDescent="0.2">
      <c r="B12" s="99" t="s">
        <v>127</v>
      </c>
    </row>
    <row r="14" spans="1:2" s="97" customFormat="1" x14ac:dyDescent="0.2">
      <c r="B14" s="98" t="s">
        <v>128</v>
      </c>
    </row>
    <row r="16" spans="1:2" ht="189" x14ac:dyDescent="0.2">
      <c r="B16" s="99" t="s">
        <v>129</v>
      </c>
    </row>
    <row r="18" spans="2:2" s="97" customFormat="1" x14ac:dyDescent="0.2">
      <c r="B18" s="98" t="s">
        <v>130</v>
      </c>
    </row>
    <row r="20" spans="2:2" ht="68.25" x14ac:dyDescent="0.2">
      <c r="B20" s="101" t="s">
        <v>131</v>
      </c>
    </row>
    <row r="22" spans="2:2" ht="81" x14ac:dyDescent="0.2">
      <c r="B22" s="101" t="s">
        <v>172</v>
      </c>
    </row>
    <row r="24" spans="2:2" ht="148.5" x14ac:dyDescent="0.2">
      <c r="B24" s="101" t="s">
        <v>132</v>
      </c>
    </row>
    <row r="26" spans="2:2" ht="374.45" customHeight="1" x14ac:dyDescent="0.2">
      <c r="B26" s="101" t="s">
        <v>171</v>
      </c>
    </row>
    <row r="27" spans="2:2" ht="14.45" customHeight="1" x14ac:dyDescent="0.2">
      <c r="B27" s="99"/>
    </row>
    <row r="29" spans="2:2" x14ac:dyDescent="0.2">
      <c r="B29" t="s">
        <v>133</v>
      </c>
    </row>
    <row r="30" spans="2:2" ht="317.10000000000002" customHeight="1" x14ac:dyDescent="0.2">
      <c r="B30" s="126" t="s">
        <v>174</v>
      </c>
    </row>
    <row r="32" spans="2:2" x14ac:dyDescent="0.2">
      <c r="B32" t="s">
        <v>134</v>
      </c>
    </row>
    <row r="34" spans="2:2" ht="29.1" customHeight="1" x14ac:dyDescent="0.2">
      <c r="B34" s="101" t="s">
        <v>135</v>
      </c>
    </row>
    <row r="36" spans="2:2" ht="27.75" x14ac:dyDescent="0.2">
      <c r="B36" s="101" t="s">
        <v>136</v>
      </c>
    </row>
    <row r="38" spans="2:2" ht="58.35" customHeight="1" x14ac:dyDescent="0.2">
      <c r="B38" s="99" t="s">
        <v>137</v>
      </c>
    </row>
    <row r="40" spans="2:2" ht="27.75" x14ac:dyDescent="0.2">
      <c r="B40" s="101" t="s">
        <v>138</v>
      </c>
    </row>
    <row r="42" spans="2:2" ht="41.25" x14ac:dyDescent="0.2">
      <c r="B42" s="101" t="s">
        <v>139</v>
      </c>
    </row>
    <row r="44" spans="2:2" ht="27.75" x14ac:dyDescent="0.2">
      <c r="B44" s="101" t="s">
        <v>140</v>
      </c>
    </row>
    <row r="46" spans="2:2" x14ac:dyDescent="0.2">
      <c r="B46" s="102" t="s">
        <v>141</v>
      </c>
    </row>
    <row r="48" spans="2:2" ht="68.25" x14ac:dyDescent="0.2">
      <c r="B48" s="101" t="s">
        <v>142</v>
      </c>
    </row>
    <row r="50" spans="2:2" ht="94.5" x14ac:dyDescent="0.2">
      <c r="B50" s="99" t="s">
        <v>143</v>
      </c>
    </row>
    <row r="52" spans="2:2" ht="81" x14ac:dyDescent="0.2">
      <c r="B52" s="101" t="s">
        <v>173</v>
      </c>
    </row>
    <row r="54" spans="2:2" ht="68.25" x14ac:dyDescent="0.2">
      <c r="B54" s="101" t="s">
        <v>144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3AD2A-6D23-48AD-BD08-56EB35ED0444}">
  <sheetPr>
    <tabColor rgb="FF002060"/>
  </sheetPr>
  <dimension ref="A1"/>
  <sheetViews>
    <sheetView showGridLines="0" zoomScale="85" zoomScaleNormal="85" workbookViewId="0">
      <selection activeCell="F41" sqref="F41"/>
    </sheetView>
  </sheetViews>
  <sheetFormatPr defaultColWidth="8.875" defaultRowHeight="1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E506CA7D48A94CA6B2C273E8B06F38" ma:contentTypeVersion="13" ma:contentTypeDescription="Crée un document." ma:contentTypeScope="" ma:versionID="2ab9b5048c92b3f3b26f9367ff81df92">
  <xsd:schema xmlns:xsd="http://www.w3.org/2001/XMLSchema" xmlns:xs="http://www.w3.org/2001/XMLSchema" xmlns:p="http://schemas.microsoft.com/office/2006/metadata/properties" xmlns:ns2="319e5728-7228-4860-9243-1fc79edd7ced" xmlns:ns3="8aeb0d63-5450-44b9-8ae8-74756e8087ae" targetNamespace="http://schemas.microsoft.com/office/2006/metadata/properties" ma:root="true" ma:fieldsID="6d0632dbfdf8da46d44f0e100f056e12" ns2:_="" ns3:_="">
    <xsd:import namespace="319e5728-7228-4860-9243-1fc79edd7ced"/>
    <xsd:import namespace="8aeb0d63-5450-44b9-8ae8-74756e8087a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OCR"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9e5728-7228-4860-9243-1fc79edd7c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858583a3-28c7-4f23-980c-b6299d66524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aeb0d63-5450-44b9-8ae8-74756e8087a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3231f55-a7dc-4510-ad5a-786bafdba082}" ma:internalName="TaxCatchAll" ma:showField="CatchAllData" ma:web="8aeb0d63-5450-44b9-8ae8-74756e8087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19e5728-7228-4860-9243-1fc79edd7ced">
      <Terms xmlns="http://schemas.microsoft.com/office/infopath/2007/PartnerControls"/>
    </lcf76f155ced4ddcb4097134ff3c332f>
    <TaxCatchAll xmlns="8aeb0d63-5450-44b9-8ae8-74756e8087ae" xsi:nil="true"/>
  </documentManagement>
</p:properties>
</file>

<file path=customXml/itemProps1.xml><?xml version="1.0" encoding="utf-8"?>
<ds:datastoreItem xmlns:ds="http://schemas.openxmlformats.org/officeDocument/2006/customXml" ds:itemID="{4D65FCF1-BAE6-429C-A127-11057E24F69B}">
  <ds:schemaRefs>
    <ds:schemaRef ds:uri="http://schemas.microsoft.com/sharepoint/v3/contenttype/forms"/>
  </ds:schemaRefs>
</ds:datastoreItem>
</file>

<file path=customXml/itemProps2.xml><?xml version="1.0" encoding="utf-8"?>
<ds:datastoreItem xmlns:ds="http://schemas.openxmlformats.org/officeDocument/2006/customXml" ds:itemID="{D411FDCF-0C1F-4295-BEAF-E44697D00377}">
  <ds:schemaRefs>
    <ds:schemaRef ds:uri="http://schemas.microsoft.com/office/2006/metadata/contentType"/>
    <ds:schemaRef ds:uri="http://schemas.microsoft.com/office/2006/metadata/properties/metaAttributes"/>
    <ds:schemaRef ds:uri="http://www.w3.org/2000/xmlns/"/>
    <ds:schemaRef ds:uri="http://www.w3.org/2001/XMLSchema"/>
    <ds:schemaRef ds:uri="319e5728-7228-4860-9243-1fc79edd7ced"/>
    <ds:schemaRef ds:uri="8aeb0d63-5450-44b9-8ae8-74756e8087ae"/>
  </ds:schemaRefs>
</ds:datastoreItem>
</file>

<file path=customXml/itemProps3.xml><?xml version="1.0" encoding="utf-8"?>
<ds:datastoreItem xmlns:ds="http://schemas.openxmlformats.org/officeDocument/2006/customXml" ds:itemID="{F3838254-B1F9-4D56-A240-1CA6C17789F8}">
  <ds:schemaRefs>
    <ds:schemaRef ds:uri="http://schemas.microsoft.com/office/2006/metadata/properties"/>
    <ds:schemaRef ds:uri="http://www.w3.org/2000/xmlns/"/>
    <ds:schemaRef ds:uri="319e5728-7228-4860-9243-1fc79edd7ced"/>
    <ds:schemaRef ds:uri="http://schemas.microsoft.com/office/infopath/2007/PartnerControls"/>
    <ds:schemaRef ds:uri="8aeb0d63-5450-44b9-8ae8-74756e8087ae"/>
    <ds:schemaRef ds:uri="http://www.w3.org/2001/XMLSchema-instance"/>
  </ds:schemaRefs>
</ds:datastoreItem>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Feuilles de calcul</vt:lpstr>
      </vt:variant>
      <vt:variant>
        <vt:i4>13</vt:i4>
      </vt:variant>
    </vt:vector>
  </HeadingPairs>
  <TitlesOfParts>
    <vt:vector size="13" baseType="lpstr">
      <vt:lpstr>About PMR</vt:lpstr>
      <vt:lpstr>Table of contents</vt:lpstr>
      <vt:lpstr>Summary</vt:lpstr>
      <vt:lpstr>Poland</vt:lpstr>
      <vt:lpstr>Austria</vt:lpstr>
      <vt:lpstr>Greece</vt:lpstr>
      <vt:lpstr>Czech Republic</vt:lpstr>
      <vt:lpstr>Hungary</vt:lpstr>
      <vt:lpstr>Slovakia</vt:lpstr>
      <vt:lpstr>Croatia</vt:lpstr>
      <vt:lpstr>Vertical split</vt:lpstr>
      <vt:lpstr>Methodology</vt:lpstr>
      <vt:lpstr>Contacts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Patryk Gawłowicz</dc:creator>
  <cp:lastModifiedBy>Fersing Matthieu</cp:lastModifiedBy>
  <dcterms:created xsi:type="dcterms:W3CDTF">2025-10-13T08:46:57Z</dcterms:created>
  <dcterms:modified xsi:type="dcterms:W3CDTF">2025-11-20T10:31:48Z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0x01010053E506CA7D48A94CA6B2C273E8B06F38</vt:lpwstr>
  </property>
  <property fmtid="{D5CDD505-2E9C-101B-9397-08002B2CF9AE}" pid="3" name="MediaServiceImageTags">
    <vt:lpwstr/>
  </property>
</Properties>
</file>